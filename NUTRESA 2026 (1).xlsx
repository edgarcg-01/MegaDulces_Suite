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70A09364-EE66-4ADC-A870-9A2471E9E382}" xr6:coauthVersionLast="47" xr6:coauthVersionMax="47" xr10:uidLastSave="{00000000-0000-0000-0000-000000000000}"/>
  <bookViews>
    <workbookView xWindow="-120" yWindow="-120" windowWidth="29040" windowHeight="15720" firstSheet="11" activeTab="11" xr2:uid="{00000000-000D-0000-FFFF-FFFF00000000}"/>
  </bookViews>
  <sheets>
    <sheet name="230126" sheetId="1" state="hidden" r:id="rId1"/>
    <sheet name="120226" sheetId="2" state="hidden" r:id="rId2"/>
    <sheet name="120326" sheetId="3" state="hidden" r:id="rId3"/>
    <sheet name="250326" sheetId="4" state="hidden" r:id="rId4"/>
    <sheet name="240426" sheetId="5" state="hidden" r:id="rId5"/>
    <sheet name="190526" sheetId="6" state="hidden" r:id="rId6"/>
    <sheet name="120526" sheetId="7" state="hidden" r:id="rId7"/>
    <sheet name="120626" sheetId="8" state="hidden" r:id="rId8"/>
    <sheet name="180626" sheetId="9" state="hidden" r:id="rId9"/>
    <sheet name="140726" sheetId="10" state="hidden" r:id="rId10"/>
    <sheet name="140726 ph k." sheetId="11" state="hidden" r:id="rId11"/>
    <sheet name="280726" sheetId="12" r:id="rId12"/>
    <sheet name="280726 ph.k." sheetId="13" r:id="rId13"/>
  </sheets>
  <definedNames>
    <definedName name="_xlnm._FilterDatabase" localSheetId="5" hidden="1">'190526'!$A$2:$BN$98</definedName>
    <definedName name="_xlnm._FilterDatabase" localSheetId="0" hidden="1">'230126'!$A$2:$BN$91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94" i="12" l="1"/>
  <c r="S94" i="12"/>
  <c r="O94" i="12"/>
  <c r="AA94" i="12" s="1"/>
  <c r="AB94" i="12" s="1"/>
  <c r="M94" i="12"/>
  <c r="N94" i="12" s="1"/>
  <c r="Y94" i="12" s="1"/>
  <c r="Z94" i="12" s="1"/>
  <c r="V93" i="12"/>
  <c r="S93" i="12"/>
  <c r="O93" i="12"/>
  <c r="AA93" i="12" s="1"/>
  <c r="AB93" i="12" s="1"/>
  <c r="M93" i="12"/>
  <c r="N93" i="12" s="1"/>
  <c r="Y93" i="12" s="1"/>
  <c r="Z93" i="12" s="1"/>
  <c r="V92" i="12"/>
  <c r="S92" i="12"/>
  <c r="O92" i="12"/>
  <c r="AA92" i="12" s="1"/>
  <c r="AB92" i="12" s="1"/>
  <c r="M92" i="12"/>
  <c r="N92" i="12" s="1"/>
  <c r="Y92" i="12" s="1"/>
  <c r="Z92" i="12" s="1"/>
  <c r="V91" i="12"/>
  <c r="S91" i="12"/>
  <c r="O91" i="12"/>
  <c r="AA91" i="12" s="1"/>
  <c r="AB91" i="12" s="1"/>
  <c r="M91" i="12"/>
  <c r="N91" i="12" s="1"/>
  <c r="Y91" i="12" s="1"/>
  <c r="Z91" i="12" s="1"/>
  <c r="V90" i="12"/>
  <c r="S90" i="12"/>
  <c r="O90" i="12"/>
  <c r="AA90" i="12" s="1"/>
  <c r="AB90" i="12" s="1"/>
  <c r="M90" i="12"/>
  <c r="N90" i="12" s="1"/>
  <c r="Y90" i="12" s="1"/>
  <c r="Z90" i="12" s="1"/>
  <c r="V89" i="12"/>
  <c r="S89" i="12"/>
  <c r="O89" i="12"/>
  <c r="AA89" i="12" s="1"/>
  <c r="AB89" i="12" s="1"/>
  <c r="M89" i="12"/>
  <c r="N89" i="12" s="1"/>
  <c r="Y89" i="12" s="1"/>
  <c r="Z89" i="12" s="1"/>
  <c r="V88" i="12"/>
  <c r="S88" i="12"/>
  <c r="O88" i="12"/>
  <c r="AA88" i="12" s="1"/>
  <c r="AB88" i="12" s="1"/>
  <c r="M88" i="12"/>
  <c r="N88" i="12" s="1"/>
  <c r="Y88" i="12" s="1"/>
  <c r="Z88" i="12" s="1"/>
  <c r="V87" i="12"/>
  <c r="S87" i="12"/>
  <c r="O87" i="12"/>
  <c r="AA87" i="12" s="1"/>
  <c r="AB87" i="12" s="1"/>
  <c r="M87" i="12"/>
  <c r="N87" i="12" s="1"/>
  <c r="Y87" i="12" s="1"/>
  <c r="Z87" i="12" s="1"/>
  <c r="V86" i="12"/>
  <c r="S86" i="12"/>
  <c r="O86" i="12"/>
  <c r="AA86" i="12" s="1"/>
  <c r="AB86" i="12" s="1"/>
  <c r="M86" i="12"/>
  <c r="N86" i="12" s="1"/>
  <c r="Y86" i="12" s="1"/>
  <c r="Z86" i="12" s="1"/>
  <c r="V85" i="12"/>
  <c r="S85" i="12"/>
  <c r="P85" i="12"/>
  <c r="K85" i="12" s="1"/>
  <c r="J85" i="12" s="1"/>
  <c r="O85" i="12"/>
  <c r="AA85" i="12" s="1"/>
  <c r="AB85" i="12" s="1"/>
  <c r="M85" i="12"/>
  <c r="N85" i="12" s="1"/>
  <c r="Y85" i="12" s="1"/>
  <c r="Z85" i="12" s="1"/>
  <c r="V84" i="12"/>
  <c r="S84" i="12"/>
  <c r="O84" i="12"/>
  <c r="AA84" i="12" s="1"/>
  <c r="AB84" i="12" s="1"/>
  <c r="M84" i="12"/>
  <c r="N84" i="12" s="1"/>
  <c r="Y84" i="12" s="1"/>
  <c r="Z84" i="12" s="1"/>
  <c r="V83" i="12"/>
  <c r="S83" i="12"/>
  <c r="O83" i="12"/>
  <c r="AA83" i="12" s="1"/>
  <c r="AB83" i="12" s="1"/>
  <c r="M83" i="12"/>
  <c r="N83" i="12" s="1"/>
  <c r="V82" i="12"/>
  <c r="S82" i="12"/>
  <c r="P82" i="12"/>
  <c r="K82" i="12" s="1"/>
  <c r="J82" i="12" s="1"/>
  <c r="O82" i="12"/>
  <c r="AA82" i="12" s="1"/>
  <c r="AB82" i="12" s="1"/>
  <c r="M82" i="12"/>
  <c r="N82" i="12" s="1"/>
  <c r="Y82" i="12" s="1"/>
  <c r="Z82" i="12" s="1"/>
  <c r="V81" i="12"/>
  <c r="S81" i="12"/>
  <c r="P81" i="12"/>
  <c r="K81" i="12" s="1"/>
  <c r="J81" i="12" s="1"/>
  <c r="O81" i="12"/>
  <c r="AA81" i="12" s="1"/>
  <c r="AB81" i="12" s="1"/>
  <c r="M81" i="12"/>
  <c r="N81" i="12" s="1"/>
  <c r="Y81" i="12" s="1"/>
  <c r="Z81" i="12" s="1"/>
  <c r="V80" i="12"/>
  <c r="S80" i="12"/>
  <c r="O80" i="12"/>
  <c r="AA80" i="12" s="1"/>
  <c r="AB80" i="12" s="1"/>
  <c r="M80" i="12"/>
  <c r="N80" i="12" s="1"/>
  <c r="Y80" i="12" s="1"/>
  <c r="Z80" i="12" s="1"/>
  <c r="V79" i="12"/>
  <c r="S79" i="12"/>
  <c r="O79" i="12"/>
  <c r="AA79" i="12" s="1"/>
  <c r="AB79" i="12" s="1"/>
  <c r="M79" i="12"/>
  <c r="N79" i="12" s="1"/>
  <c r="Y79" i="12" s="1"/>
  <c r="Z79" i="12" s="1"/>
  <c r="V78" i="12"/>
  <c r="S78" i="12"/>
  <c r="O78" i="12"/>
  <c r="AA78" i="12" s="1"/>
  <c r="AB78" i="12" s="1"/>
  <c r="M78" i="12"/>
  <c r="N78" i="12" s="1"/>
  <c r="Y78" i="12" s="1"/>
  <c r="Z78" i="12" s="1"/>
  <c r="V77" i="12"/>
  <c r="S77" i="12"/>
  <c r="O77" i="12"/>
  <c r="AA77" i="12" s="1"/>
  <c r="AB77" i="12" s="1"/>
  <c r="M77" i="12"/>
  <c r="N77" i="12" s="1"/>
  <c r="Y77" i="12" s="1"/>
  <c r="Z77" i="12" s="1"/>
  <c r="V76" i="12"/>
  <c r="S76" i="12"/>
  <c r="O76" i="12"/>
  <c r="AA76" i="12" s="1"/>
  <c r="AB76" i="12" s="1"/>
  <c r="M76" i="12"/>
  <c r="N76" i="12" s="1"/>
  <c r="Y76" i="12" s="1"/>
  <c r="Z76" i="12" s="1"/>
  <c r="V75" i="12"/>
  <c r="S75" i="12"/>
  <c r="O75" i="12"/>
  <c r="AA75" i="12" s="1"/>
  <c r="AB75" i="12" s="1"/>
  <c r="M75" i="12"/>
  <c r="N75" i="12" s="1"/>
  <c r="Y75" i="12" s="1"/>
  <c r="Z75" i="12" s="1"/>
  <c r="V74" i="12"/>
  <c r="S74" i="12"/>
  <c r="O74" i="12"/>
  <c r="AA74" i="12" s="1"/>
  <c r="AB74" i="12" s="1"/>
  <c r="M74" i="12"/>
  <c r="N74" i="12" s="1"/>
  <c r="Y74" i="12" s="1"/>
  <c r="Z74" i="12" s="1"/>
  <c r="V73" i="12"/>
  <c r="S73" i="12"/>
  <c r="P73" i="12"/>
  <c r="K73" i="12" s="1"/>
  <c r="J73" i="12" s="1"/>
  <c r="O73" i="12"/>
  <c r="AA73" i="12" s="1"/>
  <c r="AB73" i="12" s="1"/>
  <c r="M73" i="12"/>
  <c r="N73" i="12" s="1"/>
  <c r="Y73" i="12" s="1"/>
  <c r="Z73" i="12" s="1"/>
  <c r="V72" i="12"/>
  <c r="S72" i="12"/>
  <c r="O72" i="12"/>
  <c r="AA72" i="12" s="1"/>
  <c r="AB72" i="12" s="1"/>
  <c r="M72" i="12"/>
  <c r="N72" i="12" s="1"/>
  <c r="Y72" i="12" s="1"/>
  <c r="Z72" i="12" s="1"/>
  <c r="V71" i="12"/>
  <c r="S71" i="12"/>
  <c r="O71" i="12"/>
  <c r="AA71" i="12" s="1"/>
  <c r="AB71" i="12" s="1"/>
  <c r="M71" i="12"/>
  <c r="N71" i="12" s="1"/>
  <c r="V70" i="12"/>
  <c r="S70" i="12"/>
  <c r="P70" i="12"/>
  <c r="K70" i="12" s="1"/>
  <c r="J70" i="12" s="1"/>
  <c r="O70" i="12"/>
  <c r="AA70" i="12" s="1"/>
  <c r="AB70" i="12" s="1"/>
  <c r="M70" i="12"/>
  <c r="N70" i="12" s="1"/>
  <c r="Y70" i="12" s="1"/>
  <c r="Z70" i="12" s="1"/>
  <c r="V69" i="12"/>
  <c r="S69" i="12"/>
  <c r="P69" i="12"/>
  <c r="K69" i="12" s="1"/>
  <c r="J69" i="12" s="1"/>
  <c r="O69" i="12"/>
  <c r="AA69" i="12" s="1"/>
  <c r="AB69" i="12" s="1"/>
  <c r="M69" i="12"/>
  <c r="N69" i="12" s="1"/>
  <c r="Y69" i="12" s="1"/>
  <c r="Z69" i="12" s="1"/>
  <c r="V68" i="12"/>
  <c r="S68" i="12"/>
  <c r="O68" i="12"/>
  <c r="AA68" i="12" s="1"/>
  <c r="AB68" i="12" s="1"/>
  <c r="M68" i="12"/>
  <c r="N68" i="12" s="1"/>
  <c r="Y68" i="12" s="1"/>
  <c r="Z68" i="12" s="1"/>
  <c r="V67" i="12"/>
  <c r="S67" i="12"/>
  <c r="O67" i="12"/>
  <c r="AA67" i="12" s="1"/>
  <c r="AB67" i="12" s="1"/>
  <c r="M67" i="12"/>
  <c r="N67" i="12" s="1"/>
  <c r="Y67" i="12" s="1"/>
  <c r="Z67" i="12" s="1"/>
  <c r="V66" i="12"/>
  <c r="S66" i="12"/>
  <c r="O66" i="12"/>
  <c r="AA66" i="12" s="1"/>
  <c r="AB66" i="12" s="1"/>
  <c r="M66" i="12"/>
  <c r="N66" i="12" s="1"/>
  <c r="Y66" i="12" s="1"/>
  <c r="Z66" i="12" s="1"/>
  <c r="V65" i="12"/>
  <c r="S65" i="12"/>
  <c r="O65" i="12"/>
  <c r="AA65" i="12" s="1"/>
  <c r="AB65" i="12" s="1"/>
  <c r="M65" i="12"/>
  <c r="N65" i="12" s="1"/>
  <c r="Y65" i="12" s="1"/>
  <c r="Z65" i="12" s="1"/>
  <c r="V64" i="12"/>
  <c r="S64" i="12"/>
  <c r="O64" i="12"/>
  <c r="AA64" i="12" s="1"/>
  <c r="AB64" i="12" s="1"/>
  <c r="M64" i="12"/>
  <c r="N64" i="12" s="1"/>
  <c r="Y64" i="12" s="1"/>
  <c r="Z64" i="12" s="1"/>
  <c r="V63" i="12"/>
  <c r="S63" i="12"/>
  <c r="O63" i="12"/>
  <c r="AA63" i="12" s="1"/>
  <c r="AB63" i="12" s="1"/>
  <c r="M63" i="12"/>
  <c r="N63" i="12" s="1"/>
  <c r="Y63" i="12" s="1"/>
  <c r="Z63" i="12" s="1"/>
  <c r="V62" i="12"/>
  <c r="S62" i="12"/>
  <c r="O62" i="12"/>
  <c r="AA62" i="12" s="1"/>
  <c r="AB62" i="12" s="1"/>
  <c r="M62" i="12"/>
  <c r="N62" i="12" s="1"/>
  <c r="Y62" i="12" s="1"/>
  <c r="Z62" i="12" s="1"/>
  <c r="V61" i="12"/>
  <c r="S61" i="12"/>
  <c r="P61" i="12"/>
  <c r="K61" i="12" s="1"/>
  <c r="J61" i="12" s="1"/>
  <c r="O61" i="12"/>
  <c r="AA61" i="12" s="1"/>
  <c r="AB61" i="12" s="1"/>
  <c r="M61" i="12"/>
  <c r="N61" i="12" s="1"/>
  <c r="Y61" i="12" s="1"/>
  <c r="Z61" i="12" s="1"/>
  <c r="V60" i="12"/>
  <c r="S60" i="12"/>
  <c r="O60" i="12"/>
  <c r="AA60" i="12" s="1"/>
  <c r="AB60" i="12" s="1"/>
  <c r="M60" i="12"/>
  <c r="N60" i="12" s="1"/>
  <c r="Y60" i="12" s="1"/>
  <c r="Z60" i="12" s="1"/>
  <c r="V59" i="12"/>
  <c r="S59" i="12"/>
  <c r="O59" i="12"/>
  <c r="AA59" i="12" s="1"/>
  <c r="AB59" i="12" s="1"/>
  <c r="M59" i="12"/>
  <c r="N59" i="12" s="1"/>
  <c r="V58" i="12"/>
  <c r="S58" i="12"/>
  <c r="P58" i="12"/>
  <c r="K58" i="12" s="1"/>
  <c r="J58" i="12" s="1"/>
  <c r="O58" i="12"/>
  <c r="AA58" i="12" s="1"/>
  <c r="AB58" i="12" s="1"/>
  <c r="M58" i="12"/>
  <c r="N58" i="12" s="1"/>
  <c r="Y58" i="12" s="1"/>
  <c r="Z58" i="12" s="1"/>
  <c r="V57" i="12"/>
  <c r="S57" i="12"/>
  <c r="P57" i="12"/>
  <c r="K57" i="12" s="1"/>
  <c r="J57" i="12" s="1"/>
  <c r="O57" i="12"/>
  <c r="AA57" i="12" s="1"/>
  <c r="AB57" i="12" s="1"/>
  <c r="M57" i="12"/>
  <c r="N57" i="12" s="1"/>
  <c r="Y57" i="12" s="1"/>
  <c r="Z57" i="12" s="1"/>
  <c r="V56" i="12"/>
  <c r="S56" i="12"/>
  <c r="O56" i="12"/>
  <c r="AA56" i="12" s="1"/>
  <c r="AB56" i="12" s="1"/>
  <c r="M56" i="12"/>
  <c r="N56" i="12" s="1"/>
  <c r="Y56" i="12" s="1"/>
  <c r="Z56" i="12" s="1"/>
  <c r="V55" i="12"/>
  <c r="S55" i="12"/>
  <c r="O55" i="12"/>
  <c r="AA55" i="12" s="1"/>
  <c r="AB55" i="12" s="1"/>
  <c r="M55" i="12"/>
  <c r="N55" i="12" s="1"/>
  <c r="Y55" i="12" s="1"/>
  <c r="Z55" i="12" s="1"/>
  <c r="V54" i="12"/>
  <c r="S54" i="12"/>
  <c r="O54" i="12"/>
  <c r="AA54" i="12" s="1"/>
  <c r="AB54" i="12" s="1"/>
  <c r="M54" i="12"/>
  <c r="N54" i="12" s="1"/>
  <c r="Y54" i="12" s="1"/>
  <c r="Z54" i="12" s="1"/>
  <c r="V53" i="12"/>
  <c r="S53" i="12"/>
  <c r="O53" i="12"/>
  <c r="AA53" i="12" s="1"/>
  <c r="AB53" i="12" s="1"/>
  <c r="M53" i="12"/>
  <c r="N53" i="12" s="1"/>
  <c r="Y53" i="12" s="1"/>
  <c r="Z53" i="12" s="1"/>
  <c r="V52" i="12"/>
  <c r="S52" i="12"/>
  <c r="O52" i="12"/>
  <c r="AA52" i="12" s="1"/>
  <c r="AB52" i="12" s="1"/>
  <c r="M52" i="12"/>
  <c r="N52" i="12" s="1"/>
  <c r="Y52" i="12" s="1"/>
  <c r="Z52" i="12" s="1"/>
  <c r="V51" i="12"/>
  <c r="S51" i="12"/>
  <c r="O51" i="12"/>
  <c r="AA51" i="12" s="1"/>
  <c r="AB51" i="12" s="1"/>
  <c r="M51" i="12"/>
  <c r="N51" i="12" s="1"/>
  <c r="Y51" i="12" s="1"/>
  <c r="Z51" i="12" s="1"/>
  <c r="V50" i="12"/>
  <c r="S50" i="12"/>
  <c r="O50" i="12"/>
  <c r="AA50" i="12" s="1"/>
  <c r="AB50" i="12" s="1"/>
  <c r="M50" i="12"/>
  <c r="N50" i="12" s="1"/>
  <c r="Y50" i="12" s="1"/>
  <c r="Z50" i="12" s="1"/>
  <c r="V49" i="12"/>
  <c r="S49" i="12"/>
  <c r="P49" i="12"/>
  <c r="K49" i="12" s="1"/>
  <c r="J49" i="12" s="1"/>
  <c r="O49" i="12"/>
  <c r="AA49" i="12" s="1"/>
  <c r="AB49" i="12" s="1"/>
  <c r="M49" i="12"/>
  <c r="N49" i="12" s="1"/>
  <c r="Y49" i="12" s="1"/>
  <c r="Z49" i="12" s="1"/>
  <c r="V48" i="12"/>
  <c r="S48" i="12"/>
  <c r="O48" i="12"/>
  <c r="AA48" i="12" s="1"/>
  <c r="AB48" i="12" s="1"/>
  <c r="M48" i="12"/>
  <c r="N48" i="12" s="1"/>
  <c r="Y48" i="12" s="1"/>
  <c r="Z48" i="12" s="1"/>
  <c r="V47" i="12"/>
  <c r="S47" i="12"/>
  <c r="O47" i="12"/>
  <c r="AA47" i="12" s="1"/>
  <c r="AB47" i="12" s="1"/>
  <c r="M47" i="12"/>
  <c r="N47" i="12" s="1"/>
  <c r="V46" i="12"/>
  <c r="S46" i="12"/>
  <c r="P46" i="12"/>
  <c r="K46" i="12" s="1"/>
  <c r="J46" i="12" s="1"/>
  <c r="O46" i="12"/>
  <c r="AA46" i="12" s="1"/>
  <c r="AB46" i="12" s="1"/>
  <c r="M46" i="12"/>
  <c r="N46" i="12" s="1"/>
  <c r="Y46" i="12" s="1"/>
  <c r="Z46" i="12" s="1"/>
  <c r="V45" i="12"/>
  <c r="S45" i="12"/>
  <c r="P45" i="12"/>
  <c r="K45" i="12" s="1"/>
  <c r="J45" i="12" s="1"/>
  <c r="O45" i="12"/>
  <c r="AA45" i="12" s="1"/>
  <c r="AB45" i="12" s="1"/>
  <c r="M45" i="12"/>
  <c r="N45" i="12" s="1"/>
  <c r="Y45" i="12" s="1"/>
  <c r="Z45" i="12" s="1"/>
  <c r="V44" i="12"/>
  <c r="P44" i="12"/>
  <c r="K44" i="12" s="1"/>
  <c r="J44" i="12" s="1"/>
  <c r="O44" i="12"/>
  <c r="AA44" i="12" s="1"/>
  <c r="AB44" i="12" s="1"/>
  <c r="N44" i="12"/>
  <c r="Y44" i="12" s="1"/>
  <c r="Z44" i="12" s="1"/>
  <c r="M44" i="12"/>
  <c r="V43" i="12"/>
  <c r="O43" i="12"/>
  <c r="AA43" i="12" s="1"/>
  <c r="AB43" i="12" s="1"/>
  <c r="M43" i="12"/>
  <c r="N43" i="12" s="1"/>
  <c r="V42" i="12"/>
  <c r="O42" i="12"/>
  <c r="AA42" i="12" s="1"/>
  <c r="AB42" i="12" s="1"/>
  <c r="N42" i="12"/>
  <c r="M42" i="12"/>
  <c r="AB41" i="12"/>
  <c r="V41" i="12"/>
  <c r="O41" i="12"/>
  <c r="AA41" i="12" s="1"/>
  <c r="M41" i="12"/>
  <c r="N41" i="12" s="1"/>
  <c r="AA40" i="12"/>
  <c r="AB40" i="12" s="1"/>
  <c r="V40" i="12"/>
  <c r="O40" i="12"/>
  <c r="N40" i="12"/>
  <c r="P40" i="12" s="1"/>
  <c r="K40" i="12" s="1"/>
  <c r="J40" i="12" s="1"/>
  <c r="M40" i="12"/>
  <c r="AB39" i="12"/>
  <c r="AA39" i="12"/>
  <c r="O39" i="12"/>
  <c r="M39" i="12"/>
  <c r="N39" i="12" s="1"/>
  <c r="AB38" i="12"/>
  <c r="AA38" i="12"/>
  <c r="Z38" i="12"/>
  <c r="V38" i="12"/>
  <c r="O38" i="12"/>
  <c r="M38" i="12"/>
  <c r="N38" i="12" s="1"/>
  <c r="Y38" i="12" s="1"/>
  <c r="Z37" i="12"/>
  <c r="Y37" i="12"/>
  <c r="V37" i="12"/>
  <c r="O37" i="12"/>
  <c r="AA37" i="12" s="1"/>
  <c r="AB37" i="12" s="1"/>
  <c r="M37" i="12"/>
  <c r="N37" i="12" s="1"/>
  <c r="V36" i="12"/>
  <c r="O36" i="12"/>
  <c r="AA36" i="12" s="1"/>
  <c r="AB36" i="12" s="1"/>
  <c r="N36" i="12"/>
  <c r="M36" i="12"/>
  <c r="O35" i="12"/>
  <c r="AA35" i="12" s="1"/>
  <c r="AB35" i="12" s="1"/>
  <c r="M35" i="12"/>
  <c r="N35" i="12" s="1"/>
  <c r="V34" i="12"/>
  <c r="O34" i="12"/>
  <c r="AA34" i="12" s="1"/>
  <c r="AB34" i="12" s="1"/>
  <c r="N34" i="12"/>
  <c r="M34" i="12"/>
  <c r="O33" i="12"/>
  <c r="AA33" i="12" s="1"/>
  <c r="AB33" i="12" s="1"/>
  <c r="M33" i="12"/>
  <c r="N33" i="12" s="1"/>
  <c r="AA32" i="12"/>
  <c r="AB32" i="12" s="1"/>
  <c r="V32" i="12"/>
  <c r="O32" i="12"/>
  <c r="N32" i="12"/>
  <c r="P32" i="12" s="1"/>
  <c r="K32" i="12" s="1"/>
  <c r="J32" i="12" s="1"/>
  <c r="M32" i="12"/>
  <c r="AB31" i="12"/>
  <c r="AA31" i="12"/>
  <c r="V31" i="12"/>
  <c r="O31" i="12"/>
  <c r="M31" i="12"/>
  <c r="N31" i="12" s="1"/>
  <c r="AB30" i="12"/>
  <c r="AA30" i="12"/>
  <c r="Y30" i="12"/>
  <c r="Z30" i="12" s="1"/>
  <c r="V30" i="12"/>
  <c r="O30" i="12"/>
  <c r="M30" i="12"/>
  <c r="N30" i="12" s="1"/>
  <c r="P30" i="12" s="1"/>
  <c r="K30" i="12" s="1"/>
  <c r="J30" i="12" s="1"/>
  <c r="AB29" i="12"/>
  <c r="AA29" i="12"/>
  <c r="Y29" i="12"/>
  <c r="Z29" i="12" s="1"/>
  <c r="V29" i="12"/>
  <c r="P29" i="12"/>
  <c r="K29" i="12" s="1"/>
  <c r="J29" i="12" s="1"/>
  <c r="O29" i="12"/>
  <c r="N29" i="12"/>
  <c r="M29" i="12"/>
  <c r="AA28" i="12"/>
  <c r="AB28" i="12" s="1"/>
  <c r="V28" i="12"/>
  <c r="O28" i="12"/>
  <c r="M28" i="12"/>
  <c r="N28" i="12" s="1"/>
  <c r="Y28" i="12" s="1"/>
  <c r="Z28" i="12" s="1"/>
  <c r="Y27" i="12"/>
  <c r="Z27" i="12" s="1"/>
  <c r="V27" i="12"/>
  <c r="O27" i="12"/>
  <c r="AA27" i="12" s="1"/>
  <c r="AB27" i="12" s="1"/>
  <c r="N27" i="12"/>
  <c r="M27" i="12"/>
  <c r="V26" i="12"/>
  <c r="K26" i="12" s="1"/>
  <c r="J26" i="12" s="1"/>
  <c r="O26" i="12"/>
  <c r="AA26" i="12" s="1"/>
  <c r="AB26" i="12" s="1"/>
  <c r="M26" i="12"/>
  <c r="N26" i="12" s="1"/>
  <c r="Y26" i="12" s="1"/>
  <c r="Z26" i="12" s="1"/>
  <c r="V25" i="12"/>
  <c r="O25" i="12"/>
  <c r="AA25" i="12" s="1"/>
  <c r="AB25" i="12" s="1"/>
  <c r="N25" i="12"/>
  <c r="Y25" i="12" s="1"/>
  <c r="Z25" i="12" s="1"/>
  <c r="M25" i="12"/>
  <c r="K25" i="12"/>
  <c r="J25" i="12"/>
  <c r="O24" i="12"/>
  <c r="AA24" i="12" s="1"/>
  <c r="AB24" i="12" s="1"/>
  <c r="N24" i="12"/>
  <c r="Y24" i="12" s="1"/>
  <c r="Z24" i="12" s="1"/>
  <c r="M24" i="12"/>
  <c r="K24" i="12"/>
  <c r="J24" i="12"/>
  <c r="AB23" i="12"/>
  <c r="AA23" i="12"/>
  <c r="Z23" i="12"/>
  <c r="Y23" i="12"/>
  <c r="O23" i="12"/>
  <c r="N23" i="12"/>
  <c r="M23" i="12"/>
  <c r="K23" i="12"/>
  <c r="J23" i="12" s="1"/>
  <c r="O22" i="12"/>
  <c r="AA22" i="12" s="1"/>
  <c r="AB22" i="12" s="1"/>
  <c r="N22" i="12"/>
  <c r="Y22" i="12" s="1"/>
  <c r="Z22" i="12" s="1"/>
  <c r="M22" i="12"/>
  <c r="K22" i="12"/>
  <c r="J22" i="12" s="1"/>
  <c r="O21" i="12"/>
  <c r="AA21" i="12" s="1"/>
  <c r="AB21" i="12" s="1"/>
  <c r="M21" i="12"/>
  <c r="N21" i="12" s="1"/>
  <c r="Y21" i="12" s="1"/>
  <c r="Z21" i="12" s="1"/>
  <c r="K21" i="12"/>
  <c r="J21" i="12" s="1"/>
  <c r="O20" i="12"/>
  <c r="AA20" i="12" s="1"/>
  <c r="AB20" i="12" s="1"/>
  <c r="N20" i="12"/>
  <c r="Y20" i="12" s="1"/>
  <c r="Z20" i="12" s="1"/>
  <c r="M20" i="12"/>
  <c r="K20" i="12"/>
  <c r="J20" i="12"/>
  <c r="AA19" i="12"/>
  <c r="AB19" i="12" s="1"/>
  <c r="Z19" i="12"/>
  <c r="Y19" i="12"/>
  <c r="O19" i="12"/>
  <c r="N19" i="12"/>
  <c r="M19" i="12"/>
  <c r="K19" i="12"/>
  <c r="J19" i="12" s="1"/>
  <c r="AA18" i="12"/>
  <c r="AB18" i="12" s="1"/>
  <c r="Y18" i="12"/>
  <c r="Z18" i="12" s="1"/>
  <c r="V18" i="12"/>
  <c r="K18" i="12" s="1"/>
  <c r="J18" i="12" s="1"/>
  <c r="O18" i="12"/>
  <c r="N18" i="12"/>
  <c r="M18" i="12"/>
  <c r="V17" i="12"/>
  <c r="P17" i="12"/>
  <c r="K17" i="12" s="1"/>
  <c r="J17" i="12" s="1"/>
  <c r="O17" i="12"/>
  <c r="AA17" i="12" s="1"/>
  <c r="AB17" i="12" s="1"/>
  <c r="N17" i="12"/>
  <c r="Y17" i="12" s="1"/>
  <c r="Z17" i="12" s="1"/>
  <c r="M17" i="12"/>
  <c r="O16" i="12"/>
  <c r="AA16" i="12" s="1"/>
  <c r="AB16" i="12" s="1"/>
  <c r="N16" i="12"/>
  <c r="Y16" i="12" s="1"/>
  <c r="Z16" i="12" s="1"/>
  <c r="M16" i="12"/>
  <c r="V15" i="12"/>
  <c r="O15" i="12"/>
  <c r="AA15" i="12" s="1"/>
  <c r="AB15" i="12" s="1"/>
  <c r="M15" i="12"/>
  <c r="N15" i="12" s="1"/>
  <c r="AB14" i="12"/>
  <c r="AA14" i="12"/>
  <c r="V14" i="12"/>
  <c r="O14" i="12"/>
  <c r="M14" i="12"/>
  <c r="N14" i="12" s="1"/>
  <c r="AB13" i="12"/>
  <c r="AA13" i="12"/>
  <c r="V13" i="12"/>
  <c r="O13" i="12"/>
  <c r="M13" i="12"/>
  <c r="N13" i="12" s="1"/>
  <c r="AB12" i="12"/>
  <c r="AA12" i="12"/>
  <c r="O12" i="12"/>
  <c r="M12" i="12"/>
  <c r="N12" i="12" s="1"/>
  <c r="Y12" i="12" s="1"/>
  <c r="Z12" i="12" s="1"/>
  <c r="K12" i="12"/>
  <c r="J12" i="12" s="1"/>
  <c r="AA11" i="12"/>
  <c r="AB11" i="12" s="1"/>
  <c r="V11" i="12"/>
  <c r="O11" i="12"/>
  <c r="M11" i="12"/>
  <c r="N11" i="12" s="1"/>
  <c r="P11" i="12" s="1"/>
  <c r="AA10" i="12"/>
  <c r="AB10" i="12" s="1"/>
  <c r="Y10" i="12"/>
  <c r="Z10" i="12" s="1"/>
  <c r="P10" i="12"/>
  <c r="K10" i="12" s="1"/>
  <c r="J10" i="12" s="1"/>
  <c r="O10" i="12"/>
  <c r="N10" i="12"/>
  <c r="M10" i="12"/>
  <c r="O9" i="12"/>
  <c r="AA9" i="12" s="1"/>
  <c r="AB9" i="12" s="1"/>
  <c r="N9" i="12"/>
  <c r="Y9" i="12" s="1"/>
  <c r="Z9" i="12" s="1"/>
  <c r="M9" i="12"/>
  <c r="K9" i="12"/>
  <c r="J9" i="12" s="1"/>
  <c r="O8" i="12"/>
  <c r="AA8" i="12" s="1"/>
  <c r="AB8" i="12" s="1"/>
  <c r="M8" i="12"/>
  <c r="N8" i="12" s="1"/>
  <c r="Y8" i="12" s="1"/>
  <c r="Z8" i="12" s="1"/>
  <c r="K8" i="12"/>
  <c r="J8" i="12" s="1"/>
  <c r="AA7" i="12"/>
  <c r="AB7" i="12" s="1"/>
  <c r="O7" i="12"/>
  <c r="M7" i="12"/>
  <c r="N7" i="12" s="1"/>
  <c r="AB6" i="12"/>
  <c r="AA6" i="12"/>
  <c r="Y6" i="12"/>
  <c r="Z6" i="12" s="1"/>
  <c r="O6" i="12"/>
  <c r="N6" i="12"/>
  <c r="M6" i="12"/>
  <c r="K6" i="12"/>
  <c r="J6" i="12" s="1"/>
  <c r="Y5" i="12"/>
  <c r="Z5" i="12" s="1"/>
  <c r="O5" i="12"/>
  <c r="AA5" i="12" s="1"/>
  <c r="AB5" i="12" s="1"/>
  <c r="M5" i="12"/>
  <c r="N5" i="12" s="1"/>
  <c r="K5" i="12"/>
  <c r="J5" i="12" s="1"/>
  <c r="AA4" i="12"/>
  <c r="AB4" i="12" s="1"/>
  <c r="O4" i="12"/>
  <c r="M4" i="12"/>
  <c r="N4" i="12" s="1"/>
  <c r="Y4" i="12" s="1"/>
  <c r="Z4" i="12" s="1"/>
  <c r="K4" i="12"/>
  <c r="J4" i="12" s="1"/>
  <c r="AA3" i="12"/>
  <c r="AB3" i="12" s="1"/>
  <c r="O3" i="12"/>
  <c r="M3" i="12"/>
  <c r="N3" i="12" s="1"/>
  <c r="Y3" i="12" s="1"/>
  <c r="Z3" i="12" s="1"/>
  <c r="K3" i="12"/>
  <c r="J3" i="12"/>
  <c r="S1" i="12"/>
  <c r="Z94" i="10"/>
  <c r="AA94" i="10" s="1"/>
  <c r="X94" i="10"/>
  <c r="U94" i="10"/>
  <c r="P94" i="10"/>
  <c r="AB94" i="10" s="1"/>
  <c r="AC94" i="10" s="1"/>
  <c r="O94" i="10"/>
  <c r="N94" i="10"/>
  <c r="Z93" i="10"/>
  <c r="AA93" i="10" s="1"/>
  <c r="X93" i="10"/>
  <c r="U93" i="10"/>
  <c r="Q93" i="10"/>
  <c r="K93" i="10" s="1"/>
  <c r="P93" i="10"/>
  <c r="AB93" i="10" s="1"/>
  <c r="AC93" i="10" s="1"/>
  <c r="O93" i="10"/>
  <c r="N93" i="10"/>
  <c r="J93" i="10"/>
  <c r="X92" i="10"/>
  <c r="U92" i="10"/>
  <c r="P92" i="10"/>
  <c r="AB92" i="10" s="1"/>
  <c r="AC92" i="10" s="1"/>
  <c r="O92" i="10"/>
  <c r="N92" i="10"/>
  <c r="Z92" i="10" s="1"/>
  <c r="AA92" i="10" s="1"/>
  <c r="X91" i="10"/>
  <c r="U91" i="10"/>
  <c r="Q91" i="10"/>
  <c r="K91" i="10" s="1"/>
  <c r="J91" i="10" s="1"/>
  <c r="P91" i="10"/>
  <c r="AB91" i="10" s="1"/>
  <c r="AC91" i="10" s="1"/>
  <c r="O91" i="10"/>
  <c r="N91" i="10"/>
  <c r="Z91" i="10" s="1"/>
  <c r="AA91" i="10" s="1"/>
  <c r="AB90" i="10"/>
  <c r="AC90" i="10" s="1"/>
  <c r="X90" i="10"/>
  <c r="U90" i="10"/>
  <c r="P90" i="10"/>
  <c r="O90" i="10"/>
  <c r="N90" i="10"/>
  <c r="AB89" i="10"/>
  <c r="AC89" i="10" s="1"/>
  <c r="Z89" i="10"/>
  <c r="AA89" i="10" s="1"/>
  <c r="X89" i="10"/>
  <c r="U89" i="10"/>
  <c r="Q89" i="10"/>
  <c r="K89" i="10" s="1"/>
  <c r="J89" i="10" s="1"/>
  <c r="P89" i="10"/>
  <c r="O89" i="10"/>
  <c r="N89" i="10"/>
  <c r="AB88" i="10"/>
  <c r="AC88" i="10" s="1"/>
  <c r="Z88" i="10"/>
  <c r="AA88" i="10" s="1"/>
  <c r="X88" i="10"/>
  <c r="U88" i="10"/>
  <c r="Q88" i="10"/>
  <c r="K88" i="10" s="1"/>
  <c r="J88" i="10" s="1"/>
  <c r="P88" i="10"/>
  <c r="O88" i="10"/>
  <c r="N88" i="10"/>
  <c r="AB87" i="10"/>
  <c r="AC87" i="10" s="1"/>
  <c r="X87" i="10"/>
  <c r="U87" i="10"/>
  <c r="Q87" i="10"/>
  <c r="K87" i="10" s="1"/>
  <c r="J87" i="10" s="1"/>
  <c r="P87" i="10"/>
  <c r="O87" i="10"/>
  <c r="N87" i="10"/>
  <c r="Z87" i="10" s="1"/>
  <c r="AA87" i="10" s="1"/>
  <c r="AB86" i="10"/>
  <c r="AC86" i="10" s="1"/>
  <c r="X86" i="10"/>
  <c r="U86" i="10"/>
  <c r="P86" i="10"/>
  <c r="O86" i="10"/>
  <c r="N86" i="10"/>
  <c r="AB85" i="10"/>
  <c r="AC85" i="10" s="1"/>
  <c r="Z85" i="10"/>
  <c r="AA85" i="10" s="1"/>
  <c r="X85" i="10"/>
  <c r="U85" i="10"/>
  <c r="Q85" i="10"/>
  <c r="K85" i="10" s="1"/>
  <c r="J85" i="10" s="1"/>
  <c r="P85" i="10"/>
  <c r="O85" i="10"/>
  <c r="N85" i="10"/>
  <c r="AC84" i="10"/>
  <c r="Z84" i="10"/>
  <c r="AA84" i="10" s="1"/>
  <c r="X84" i="10"/>
  <c r="U84" i="10"/>
  <c r="Q84" i="10"/>
  <c r="K84" i="10" s="1"/>
  <c r="J84" i="10" s="1"/>
  <c r="P84" i="10"/>
  <c r="AB84" i="10" s="1"/>
  <c r="O84" i="10"/>
  <c r="N84" i="10"/>
  <c r="Z83" i="10"/>
  <c r="AA83" i="10" s="1"/>
  <c r="X83" i="10"/>
  <c r="U83" i="10"/>
  <c r="Q83" i="10"/>
  <c r="K83" i="10" s="1"/>
  <c r="J83" i="10" s="1"/>
  <c r="P83" i="10"/>
  <c r="AB83" i="10" s="1"/>
  <c r="AC83" i="10" s="1"/>
  <c r="O83" i="10"/>
  <c r="N83" i="10"/>
  <c r="Z82" i="10"/>
  <c r="AA82" i="10" s="1"/>
  <c r="X82" i="10"/>
  <c r="U82" i="10"/>
  <c r="Q82" i="10"/>
  <c r="K82" i="10" s="1"/>
  <c r="J82" i="10" s="1"/>
  <c r="P82" i="10"/>
  <c r="AB82" i="10" s="1"/>
  <c r="AC82" i="10" s="1"/>
  <c r="O82" i="10"/>
  <c r="N82" i="10"/>
  <c r="AC81" i="10"/>
  <c r="Z81" i="10"/>
  <c r="AA81" i="10" s="1"/>
  <c r="X81" i="10"/>
  <c r="U81" i="10"/>
  <c r="Q81" i="10"/>
  <c r="K81" i="10" s="1"/>
  <c r="J81" i="10" s="1"/>
  <c r="P81" i="10"/>
  <c r="AB81" i="10" s="1"/>
  <c r="O81" i="10"/>
  <c r="N81" i="10"/>
  <c r="Z80" i="10"/>
  <c r="AA80" i="10" s="1"/>
  <c r="X80" i="10"/>
  <c r="U80" i="10"/>
  <c r="Q80" i="10"/>
  <c r="K80" i="10" s="1"/>
  <c r="J80" i="10" s="1"/>
  <c r="P80" i="10"/>
  <c r="AB80" i="10" s="1"/>
  <c r="AC80" i="10" s="1"/>
  <c r="O80" i="10"/>
  <c r="N80" i="10"/>
  <c r="Z79" i="10"/>
  <c r="AA79" i="10" s="1"/>
  <c r="X79" i="10"/>
  <c r="U79" i="10"/>
  <c r="Q79" i="10"/>
  <c r="K79" i="10" s="1"/>
  <c r="J79" i="10" s="1"/>
  <c r="P79" i="10"/>
  <c r="AB79" i="10" s="1"/>
  <c r="AC79" i="10" s="1"/>
  <c r="O79" i="10"/>
  <c r="N79" i="10"/>
  <c r="AC78" i="10"/>
  <c r="Z78" i="10"/>
  <c r="AA78" i="10" s="1"/>
  <c r="X78" i="10"/>
  <c r="U78" i="10"/>
  <c r="Q78" i="10"/>
  <c r="K78" i="10" s="1"/>
  <c r="J78" i="10" s="1"/>
  <c r="P78" i="10"/>
  <c r="AB78" i="10" s="1"/>
  <c r="O78" i="10"/>
  <c r="N78" i="10"/>
  <c r="Z77" i="10"/>
  <c r="AA77" i="10" s="1"/>
  <c r="X77" i="10"/>
  <c r="U77" i="10"/>
  <c r="Q77" i="10"/>
  <c r="K77" i="10" s="1"/>
  <c r="J77" i="10" s="1"/>
  <c r="P77" i="10"/>
  <c r="AB77" i="10" s="1"/>
  <c r="AC77" i="10" s="1"/>
  <c r="O77" i="10"/>
  <c r="N77" i="10"/>
  <c r="Z76" i="10"/>
  <c r="AA76" i="10" s="1"/>
  <c r="X76" i="10"/>
  <c r="U76" i="10"/>
  <c r="Q76" i="10"/>
  <c r="K76" i="10" s="1"/>
  <c r="J76" i="10" s="1"/>
  <c r="P76" i="10"/>
  <c r="AB76" i="10" s="1"/>
  <c r="AC76" i="10" s="1"/>
  <c r="O76" i="10"/>
  <c r="N76" i="10"/>
  <c r="AC75" i="10"/>
  <c r="Z75" i="10"/>
  <c r="AA75" i="10" s="1"/>
  <c r="X75" i="10"/>
  <c r="U75" i="10"/>
  <c r="Q75" i="10"/>
  <c r="K75" i="10" s="1"/>
  <c r="J75" i="10" s="1"/>
  <c r="P75" i="10"/>
  <c r="AB75" i="10" s="1"/>
  <c r="O75" i="10"/>
  <c r="N75" i="10"/>
  <c r="Z74" i="10"/>
  <c r="AA74" i="10" s="1"/>
  <c r="X74" i="10"/>
  <c r="U74" i="10"/>
  <c r="Q74" i="10"/>
  <c r="K74" i="10" s="1"/>
  <c r="J74" i="10" s="1"/>
  <c r="P74" i="10"/>
  <c r="AB74" i="10" s="1"/>
  <c r="AC74" i="10" s="1"/>
  <c r="O74" i="10"/>
  <c r="N74" i="10"/>
  <c r="Z73" i="10"/>
  <c r="AA73" i="10" s="1"/>
  <c r="X73" i="10"/>
  <c r="U73" i="10"/>
  <c r="Q73" i="10"/>
  <c r="K73" i="10" s="1"/>
  <c r="J73" i="10" s="1"/>
  <c r="P73" i="10"/>
  <c r="AB73" i="10" s="1"/>
  <c r="AC73" i="10" s="1"/>
  <c r="O73" i="10"/>
  <c r="N73" i="10"/>
  <c r="AC72" i="10"/>
  <c r="Z72" i="10"/>
  <c r="AA72" i="10" s="1"/>
  <c r="X72" i="10"/>
  <c r="U72" i="10"/>
  <c r="Q72" i="10"/>
  <c r="K72" i="10" s="1"/>
  <c r="J72" i="10" s="1"/>
  <c r="P72" i="10"/>
  <c r="AB72" i="10" s="1"/>
  <c r="O72" i="10"/>
  <c r="N72" i="10"/>
  <c r="Z71" i="10"/>
  <c r="AA71" i="10" s="1"/>
  <c r="X71" i="10"/>
  <c r="U71" i="10"/>
  <c r="Q71" i="10"/>
  <c r="K71" i="10" s="1"/>
  <c r="J71" i="10" s="1"/>
  <c r="P71" i="10"/>
  <c r="AB71" i="10" s="1"/>
  <c r="AC71" i="10" s="1"/>
  <c r="O71" i="10"/>
  <c r="N71" i="10"/>
  <c r="Z70" i="10"/>
  <c r="AA70" i="10" s="1"/>
  <c r="X70" i="10"/>
  <c r="U70" i="10"/>
  <c r="Q70" i="10"/>
  <c r="K70" i="10" s="1"/>
  <c r="J70" i="10" s="1"/>
  <c r="P70" i="10"/>
  <c r="AB70" i="10" s="1"/>
  <c r="AC70" i="10" s="1"/>
  <c r="O70" i="10"/>
  <c r="N70" i="10"/>
  <c r="AC69" i="10"/>
  <c r="Z69" i="10"/>
  <c r="AA69" i="10" s="1"/>
  <c r="X69" i="10"/>
  <c r="U69" i="10"/>
  <c r="Q69" i="10"/>
  <c r="K69" i="10" s="1"/>
  <c r="J69" i="10" s="1"/>
  <c r="P69" i="10"/>
  <c r="AB69" i="10" s="1"/>
  <c r="O69" i="10"/>
  <c r="N69" i="10"/>
  <c r="Z68" i="10"/>
  <c r="AA68" i="10" s="1"/>
  <c r="X68" i="10"/>
  <c r="U68" i="10"/>
  <c r="Q68" i="10"/>
  <c r="K68" i="10" s="1"/>
  <c r="J68" i="10" s="1"/>
  <c r="P68" i="10"/>
  <c r="AB68" i="10" s="1"/>
  <c r="AC68" i="10" s="1"/>
  <c r="O68" i="10"/>
  <c r="N68" i="10"/>
  <c r="Z67" i="10"/>
  <c r="AA67" i="10" s="1"/>
  <c r="X67" i="10"/>
  <c r="U67" i="10"/>
  <c r="Q67" i="10"/>
  <c r="K67" i="10" s="1"/>
  <c r="J67" i="10" s="1"/>
  <c r="P67" i="10"/>
  <c r="AB67" i="10" s="1"/>
  <c r="AC67" i="10" s="1"/>
  <c r="O67" i="10"/>
  <c r="N67" i="10"/>
  <c r="AC66" i="10"/>
  <c r="Z66" i="10"/>
  <c r="AA66" i="10" s="1"/>
  <c r="X66" i="10"/>
  <c r="U66" i="10"/>
  <c r="Q66" i="10"/>
  <c r="K66" i="10" s="1"/>
  <c r="J66" i="10" s="1"/>
  <c r="P66" i="10"/>
  <c r="AB66" i="10" s="1"/>
  <c r="O66" i="10"/>
  <c r="N66" i="10"/>
  <c r="Z65" i="10"/>
  <c r="AA65" i="10" s="1"/>
  <c r="X65" i="10"/>
  <c r="U65" i="10"/>
  <c r="Q65" i="10"/>
  <c r="K65" i="10" s="1"/>
  <c r="J65" i="10" s="1"/>
  <c r="P65" i="10"/>
  <c r="AB65" i="10" s="1"/>
  <c r="AC65" i="10" s="1"/>
  <c r="O65" i="10"/>
  <c r="N65" i="10"/>
  <c r="Z64" i="10"/>
  <c r="AA64" i="10" s="1"/>
  <c r="X64" i="10"/>
  <c r="U64" i="10"/>
  <c r="Q64" i="10"/>
  <c r="K64" i="10" s="1"/>
  <c r="J64" i="10" s="1"/>
  <c r="P64" i="10"/>
  <c r="AB64" i="10" s="1"/>
  <c r="AC64" i="10" s="1"/>
  <c r="O64" i="10"/>
  <c r="N64" i="10"/>
  <c r="AC63" i="10"/>
  <c r="Z63" i="10"/>
  <c r="AA63" i="10" s="1"/>
  <c r="X63" i="10"/>
  <c r="U63" i="10"/>
  <c r="Q63" i="10"/>
  <c r="K63" i="10" s="1"/>
  <c r="J63" i="10" s="1"/>
  <c r="P63" i="10"/>
  <c r="AB63" i="10" s="1"/>
  <c r="O63" i="10"/>
  <c r="N63" i="10"/>
  <c r="Z62" i="10"/>
  <c r="AA62" i="10" s="1"/>
  <c r="X62" i="10"/>
  <c r="U62" i="10"/>
  <c r="Q62" i="10"/>
  <c r="K62" i="10" s="1"/>
  <c r="J62" i="10" s="1"/>
  <c r="P62" i="10"/>
  <c r="AB62" i="10" s="1"/>
  <c r="AC62" i="10" s="1"/>
  <c r="O62" i="10"/>
  <c r="N62" i="10"/>
  <c r="Z61" i="10"/>
  <c r="AA61" i="10" s="1"/>
  <c r="X61" i="10"/>
  <c r="U61" i="10"/>
  <c r="Q61" i="10"/>
  <c r="K61" i="10" s="1"/>
  <c r="J61" i="10" s="1"/>
  <c r="P61" i="10"/>
  <c r="AB61" i="10" s="1"/>
  <c r="AC61" i="10" s="1"/>
  <c r="O61" i="10"/>
  <c r="N61" i="10"/>
  <c r="AC60" i="10"/>
  <c r="Z60" i="10"/>
  <c r="AA60" i="10" s="1"/>
  <c r="X60" i="10"/>
  <c r="U60" i="10"/>
  <c r="Q60" i="10"/>
  <c r="K60" i="10" s="1"/>
  <c r="J60" i="10" s="1"/>
  <c r="P60" i="10"/>
  <c r="AB60" i="10" s="1"/>
  <c r="O60" i="10"/>
  <c r="N60" i="10"/>
  <c r="Z59" i="10"/>
  <c r="AA59" i="10" s="1"/>
  <c r="X59" i="10"/>
  <c r="U59" i="10"/>
  <c r="Q59" i="10"/>
  <c r="K59" i="10" s="1"/>
  <c r="J59" i="10" s="1"/>
  <c r="P59" i="10"/>
  <c r="AB59" i="10" s="1"/>
  <c r="AC59" i="10" s="1"/>
  <c r="O59" i="10"/>
  <c r="N59" i="10"/>
  <c r="Z58" i="10"/>
  <c r="AA58" i="10" s="1"/>
  <c r="X58" i="10"/>
  <c r="U58" i="10"/>
  <c r="Q58" i="10"/>
  <c r="K58" i="10" s="1"/>
  <c r="J58" i="10" s="1"/>
  <c r="P58" i="10"/>
  <c r="AB58" i="10" s="1"/>
  <c r="AC58" i="10" s="1"/>
  <c r="O58" i="10"/>
  <c r="N58" i="10"/>
  <c r="AC57" i="10"/>
  <c r="Z57" i="10"/>
  <c r="AA57" i="10" s="1"/>
  <c r="X57" i="10"/>
  <c r="U57" i="10"/>
  <c r="Q57" i="10"/>
  <c r="K57" i="10" s="1"/>
  <c r="J57" i="10" s="1"/>
  <c r="P57" i="10"/>
  <c r="AB57" i="10" s="1"/>
  <c r="O57" i="10"/>
  <c r="N57" i="10"/>
  <c r="Z56" i="10"/>
  <c r="AA56" i="10" s="1"/>
  <c r="X56" i="10"/>
  <c r="U56" i="10"/>
  <c r="Q56" i="10"/>
  <c r="K56" i="10" s="1"/>
  <c r="J56" i="10" s="1"/>
  <c r="P56" i="10"/>
  <c r="AB56" i="10" s="1"/>
  <c r="AC56" i="10" s="1"/>
  <c r="O56" i="10"/>
  <c r="N56" i="10"/>
  <c r="Z55" i="10"/>
  <c r="AA55" i="10" s="1"/>
  <c r="X55" i="10"/>
  <c r="U55" i="10"/>
  <c r="Q55" i="10"/>
  <c r="K55" i="10" s="1"/>
  <c r="J55" i="10" s="1"/>
  <c r="P55" i="10"/>
  <c r="AB55" i="10" s="1"/>
  <c r="AC55" i="10" s="1"/>
  <c r="O55" i="10"/>
  <c r="N55" i="10"/>
  <c r="AC54" i="10"/>
  <c r="Z54" i="10"/>
  <c r="AA54" i="10" s="1"/>
  <c r="X54" i="10"/>
  <c r="U54" i="10"/>
  <c r="Q54" i="10"/>
  <c r="K54" i="10" s="1"/>
  <c r="J54" i="10" s="1"/>
  <c r="P54" i="10"/>
  <c r="AB54" i="10" s="1"/>
  <c r="O54" i="10"/>
  <c r="N54" i="10"/>
  <c r="Z53" i="10"/>
  <c r="AA53" i="10" s="1"/>
  <c r="X53" i="10"/>
  <c r="U53" i="10"/>
  <c r="Q53" i="10"/>
  <c r="K53" i="10" s="1"/>
  <c r="J53" i="10" s="1"/>
  <c r="P53" i="10"/>
  <c r="AB53" i="10" s="1"/>
  <c r="AC53" i="10" s="1"/>
  <c r="O53" i="10"/>
  <c r="N53" i="10"/>
  <c r="Z52" i="10"/>
  <c r="AA52" i="10" s="1"/>
  <c r="X52" i="10"/>
  <c r="U52" i="10"/>
  <c r="Q52" i="10"/>
  <c r="K52" i="10" s="1"/>
  <c r="J52" i="10" s="1"/>
  <c r="P52" i="10"/>
  <c r="AB52" i="10" s="1"/>
  <c r="AC52" i="10" s="1"/>
  <c r="O52" i="10"/>
  <c r="N52" i="10"/>
  <c r="AC51" i="10"/>
  <c r="Z51" i="10"/>
  <c r="AA51" i="10" s="1"/>
  <c r="X51" i="10"/>
  <c r="U51" i="10"/>
  <c r="Q51" i="10"/>
  <c r="K51" i="10" s="1"/>
  <c r="J51" i="10" s="1"/>
  <c r="P51" i="10"/>
  <c r="AB51" i="10" s="1"/>
  <c r="O51" i="10"/>
  <c r="N51" i="10"/>
  <c r="Z50" i="10"/>
  <c r="AA50" i="10" s="1"/>
  <c r="X50" i="10"/>
  <c r="U50" i="10"/>
  <c r="Q50" i="10"/>
  <c r="K50" i="10" s="1"/>
  <c r="J50" i="10" s="1"/>
  <c r="P50" i="10"/>
  <c r="AB50" i="10" s="1"/>
  <c r="AC50" i="10" s="1"/>
  <c r="O50" i="10"/>
  <c r="N50" i="10"/>
  <c r="Z49" i="10"/>
  <c r="AA49" i="10" s="1"/>
  <c r="X49" i="10"/>
  <c r="U49" i="10"/>
  <c r="P49" i="10"/>
  <c r="AB49" i="10" s="1"/>
  <c r="AC49" i="10" s="1"/>
  <c r="O49" i="10"/>
  <c r="N49" i="10"/>
  <c r="AC48" i="10"/>
  <c r="Z48" i="10"/>
  <c r="AA48" i="10" s="1"/>
  <c r="X48" i="10"/>
  <c r="U48" i="10"/>
  <c r="Q48" i="10"/>
  <c r="K48" i="10" s="1"/>
  <c r="J48" i="10" s="1"/>
  <c r="P48" i="10"/>
  <c r="AB48" i="10" s="1"/>
  <c r="O48" i="10"/>
  <c r="N48" i="10"/>
  <c r="Z47" i="10"/>
  <c r="AA47" i="10" s="1"/>
  <c r="X47" i="10"/>
  <c r="U47" i="10"/>
  <c r="Q47" i="10"/>
  <c r="K47" i="10" s="1"/>
  <c r="J47" i="10" s="1"/>
  <c r="P47" i="10"/>
  <c r="AB47" i="10" s="1"/>
  <c r="AC47" i="10" s="1"/>
  <c r="O47" i="10"/>
  <c r="N47" i="10"/>
  <c r="Z46" i="10"/>
  <c r="AA46" i="10" s="1"/>
  <c r="X46" i="10"/>
  <c r="U46" i="10"/>
  <c r="P46" i="10"/>
  <c r="AB46" i="10" s="1"/>
  <c r="AC46" i="10" s="1"/>
  <c r="O46" i="10"/>
  <c r="N46" i="10"/>
  <c r="AC45" i="10"/>
  <c r="Z45" i="10"/>
  <c r="AA45" i="10" s="1"/>
  <c r="X45" i="10"/>
  <c r="U45" i="10"/>
  <c r="P45" i="10"/>
  <c r="AB45" i="10" s="1"/>
  <c r="O45" i="10"/>
  <c r="N45" i="10"/>
  <c r="Z44" i="10"/>
  <c r="AA44" i="10" s="1"/>
  <c r="X44" i="10"/>
  <c r="U44" i="10"/>
  <c r="Q44" i="10"/>
  <c r="K44" i="10" s="1"/>
  <c r="J44" i="10" s="1"/>
  <c r="P44" i="10"/>
  <c r="AB44" i="10" s="1"/>
  <c r="AC44" i="10" s="1"/>
  <c r="O44" i="10"/>
  <c r="N44" i="10"/>
  <c r="P43" i="10"/>
  <c r="AB43" i="10" s="1"/>
  <c r="AC43" i="10" s="1"/>
  <c r="O43" i="10"/>
  <c r="N43" i="10"/>
  <c r="Z43" i="10" s="1"/>
  <c r="AA43" i="10" s="1"/>
  <c r="K43" i="10"/>
  <c r="J43" i="10" s="1"/>
  <c r="Z42" i="10"/>
  <c r="AA42" i="10" s="1"/>
  <c r="X42" i="10"/>
  <c r="U42" i="10"/>
  <c r="P42" i="10"/>
  <c r="AB42" i="10" s="1"/>
  <c r="AC42" i="10" s="1"/>
  <c r="O42" i="10"/>
  <c r="N42" i="10"/>
  <c r="Q42" i="10" s="1"/>
  <c r="K42" i="10" s="1"/>
  <c r="J42" i="10" s="1"/>
  <c r="AC41" i="10"/>
  <c r="Z41" i="10"/>
  <c r="AA41" i="10" s="1"/>
  <c r="X41" i="10"/>
  <c r="U41" i="10"/>
  <c r="Q41" i="10"/>
  <c r="K41" i="10" s="1"/>
  <c r="J41" i="10" s="1"/>
  <c r="O41" i="10"/>
  <c r="P41" i="10" s="1"/>
  <c r="AB41" i="10" s="1"/>
  <c r="N41" i="10"/>
  <c r="AC40" i="10"/>
  <c r="X40" i="10"/>
  <c r="U40" i="10"/>
  <c r="P40" i="10"/>
  <c r="AB40" i="10" s="1"/>
  <c r="O40" i="10"/>
  <c r="N40" i="10"/>
  <c r="Z40" i="10" s="1"/>
  <c r="AA40" i="10" s="1"/>
  <c r="Z39" i="10"/>
  <c r="AA39" i="10" s="1"/>
  <c r="X39" i="10"/>
  <c r="U39" i="10"/>
  <c r="Q39" i="10"/>
  <c r="P39" i="10"/>
  <c r="AB39" i="10" s="1"/>
  <c r="AC39" i="10" s="1"/>
  <c r="O39" i="10"/>
  <c r="N39" i="10"/>
  <c r="K39" i="10"/>
  <c r="J39" i="10" s="1"/>
  <c r="AC38" i="10"/>
  <c r="X38" i="10"/>
  <c r="U38" i="10"/>
  <c r="P38" i="10"/>
  <c r="AB38" i="10" s="1"/>
  <c r="O38" i="10"/>
  <c r="N38" i="10"/>
  <c r="Z38" i="10" s="1"/>
  <c r="AA38" i="10" s="1"/>
  <c r="AC37" i="10"/>
  <c r="AB37" i="10"/>
  <c r="Z37" i="10"/>
  <c r="AA37" i="10" s="1"/>
  <c r="X37" i="10"/>
  <c r="U37" i="10"/>
  <c r="Q37" i="10"/>
  <c r="O37" i="10"/>
  <c r="N37" i="10"/>
  <c r="K37" i="10"/>
  <c r="J37" i="10"/>
  <c r="AC36" i="10"/>
  <c r="AB36" i="10"/>
  <c r="U36" i="10"/>
  <c r="U1" i="10" s="1"/>
  <c r="P36" i="10"/>
  <c r="O36" i="10"/>
  <c r="N36" i="10"/>
  <c r="Q36" i="10" s="1"/>
  <c r="AC35" i="10"/>
  <c r="AB35" i="10"/>
  <c r="X35" i="10"/>
  <c r="U35" i="10"/>
  <c r="P35" i="10"/>
  <c r="O35" i="10"/>
  <c r="N35" i="10"/>
  <c r="Q35" i="10" s="1"/>
  <c r="K35" i="10" s="1"/>
  <c r="J35" i="10" s="1"/>
  <c r="AC34" i="10"/>
  <c r="AB34" i="10"/>
  <c r="X34" i="10"/>
  <c r="U34" i="10"/>
  <c r="K34" i="10" s="1"/>
  <c r="J34" i="10" s="1"/>
  <c r="P34" i="10"/>
  <c r="O34" i="10"/>
  <c r="N34" i="10"/>
  <c r="Z34" i="10" s="1"/>
  <c r="AA34" i="10" s="1"/>
  <c r="AC33" i="10"/>
  <c r="AB33" i="10"/>
  <c r="AA33" i="10"/>
  <c r="Z33" i="10"/>
  <c r="P33" i="10"/>
  <c r="O33" i="10"/>
  <c r="N33" i="10"/>
  <c r="Q33" i="10" s="1"/>
  <c r="K33" i="10" s="1"/>
  <c r="J33" i="10"/>
  <c r="AA32" i="10"/>
  <c r="Z32" i="10"/>
  <c r="X32" i="10"/>
  <c r="P32" i="10"/>
  <c r="AB32" i="10" s="1"/>
  <c r="AC32" i="10" s="1"/>
  <c r="O32" i="10"/>
  <c r="N32" i="10"/>
  <c r="K32" i="10"/>
  <c r="J32" i="10" s="1"/>
  <c r="AB31" i="10"/>
  <c r="AC31" i="10" s="1"/>
  <c r="P31" i="10"/>
  <c r="O31" i="10"/>
  <c r="N31" i="10"/>
  <c r="Z31" i="10" s="1"/>
  <c r="AA31" i="10" s="1"/>
  <c r="K31" i="10"/>
  <c r="J31" i="10" s="1"/>
  <c r="AB30" i="10"/>
  <c r="AC30" i="10" s="1"/>
  <c r="P30" i="10"/>
  <c r="O30" i="10"/>
  <c r="N30" i="10"/>
  <c r="Z30" i="10" s="1"/>
  <c r="AA30" i="10" s="1"/>
  <c r="K30" i="10"/>
  <c r="J30" i="10" s="1"/>
  <c r="AC29" i="10"/>
  <c r="AB29" i="10"/>
  <c r="P29" i="10"/>
  <c r="O29" i="10"/>
  <c r="N29" i="10"/>
  <c r="Z29" i="10" s="1"/>
  <c r="AA29" i="10" s="1"/>
  <c r="K29" i="10"/>
  <c r="J29" i="10" s="1"/>
  <c r="Z28" i="10"/>
  <c r="AA28" i="10" s="1"/>
  <c r="P28" i="10"/>
  <c r="AB28" i="10" s="1"/>
  <c r="AC28" i="10" s="1"/>
  <c r="O28" i="10"/>
  <c r="N28" i="10"/>
  <c r="K28" i="10"/>
  <c r="J28" i="10" s="1"/>
  <c r="Z27" i="10"/>
  <c r="AA27" i="10" s="1"/>
  <c r="X27" i="10"/>
  <c r="O27" i="10"/>
  <c r="P27" i="10" s="1"/>
  <c r="N27" i="10"/>
  <c r="AA26" i="10"/>
  <c r="X26" i="10"/>
  <c r="P26" i="10"/>
  <c r="AB26" i="10" s="1"/>
  <c r="AC26" i="10" s="1"/>
  <c r="O26" i="10"/>
  <c r="N26" i="10"/>
  <c r="Z26" i="10" s="1"/>
  <c r="U25" i="10"/>
  <c r="P25" i="10"/>
  <c r="AB25" i="10" s="1"/>
  <c r="AC25" i="10" s="1"/>
  <c r="O25" i="10"/>
  <c r="N25" i="10"/>
  <c r="Q25" i="10" s="1"/>
  <c r="K25" i="10"/>
  <c r="J25" i="10" s="1"/>
  <c r="AB24" i="10"/>
  <c r="AC24" i="10" s="1"/>
  <c r="P24" i="10"/>
  <c r="O24" i="10"/>
  <c r="N24" i="10"/>
  <c r="Z24" i="10" s="1"/>
  <c r="AA24" i="10" s="1"/>
  <c r="K24" i="10"/>
  <c r="J24" i="10" s="1"/>
  <c r="P23" i="10"/>
  <c r="AB23" i="10" s="1"/>
  <c r="AC23" i="10" s="1"/>
  <c r="O23" i="10"/>
  <c r="N23" i="10"/>
  <c r="Z23" i="10" s="1"/>
  <c r="AA23" i="10" s="1"/>
  <c r="K23" i="10"/>
  <c r="J23" i="10" s="1"/>
  <c r="AA22" i="10"/>
  <c r="Z22" i="10"/>
  <c r="P22" i="10"/>
  <c r="AB22" i="10" s="1"/>
  <c r="AC22" i="10" s="1"/>
  <c r="O22" i="10"/>
  <c r="N22" i="10"/>
  <c r="K22" i="10"/>
  <c r="J22" i="10" s="1"/>
  <c r="P21" i="10"/>
  <c r="AB21" i="10" s="1"/>
  <c r="AC21" i="10" s="1"/>
  <c r="O21" i="10"/>
  <c r="N21" i="10"/>
  <c r="Z21" i="10" s="1"/>
  <c r="AA21" i="10" s="1"/>
  <c r="K21" i="10"/>
  <c r="J21" i="10" s="1"/>
  <c r="AB20" i="10"/>
  <c r="AC20" i="10" s="1"/>
  <c r="P20" i="10"/>
  <c r="O20" i="10"/>
  <c r="N20" i="10"/>
  <c r="Z20" i="10" s="1"/>
  <c r="AA20" i="10" s="1"/>
  <c r="K20" i="10"/>
  <c r="J20" i="10" s="1"/>
  <c r="P19" i="10"/>
  <c r="AB19" i="10" s="1"/>
  <c r="AC19" i="10" s="1"/>
  <c r="O19" i="10"/>
  <c r="N19" i="10"/>
  <c r="Z19" i="10" s="1"/>
  <c r="AA19" i="10" s="1"/>
  <c r="K19" i="10"/>
  <c r="J19" i="10" s="1"/>
  <c r="AC18" i="10"/>
  <c r="AB18" i="10"/>
  <c r="AA18" i="10"/>
  <c r="Z18" i="10"/>
  <c r="P18" i="10"/>
  <c r="O18" i="10"/>
  <c r="N18" i="10"/>
  <c r="K18" i="10"/>
  <c r="J18" i="10" s="1"/>
  <c r="Z17" i="10"/>
  <c r="AA17" i="10" s="1"/>
  <c r="U17" i="10"/>
  <c r="P17" i="10"/>
  <c r="O17" i="10"/>
  <c r="N17" i="10"/>
  <c r="X16" i="10"/>
  <c r="U16" i="10"/>
  <c r="K16" i="10" s="1"/>
  <c r="J16" i="10" s="1"/>
  <c r="P16" i="10"/>
  <c r="AB16" i="10" s="1"/>
  <c r="AC16" i="10" s="1"/>
  <c r="O16" i="10"/>
  <c r="N16" i="10"/>
  <c r="Z16" i="10" s="1"/>
  <c r="AA16" i="10" s="1"/>
  <c r="P15" i="10"/>
  <c r="AB15" i="10" s="1"/>
  <c r="AC15" i="10" s="1"/>
  <c r="O15" i="10"/>
  <c r="N15" i="10"/>
  <c r="Z15" i="10" s="1"/>
  <c r="AA15" i="10" s="1"/>
  <c r="K15" i="10"/>
  <c r="J15" i="10"/>
  <c r="AC14" i="10"/>
  <c r="P14" i="10"/>
  <c r="AB14" i="10" s="1"/>
  <c r="O14" i="10"/>
  <c r="N14" i="10"/>
  <c r="Z14" i="10" s="1"/>
  <c r="AA14" i="10" s="1"/>
  <c r="K14" i="10"/>
  <c r="J14" i="10"/>
  <c r="AC13" i="10"/>
  <c r="AB13" i="10"/>
  <c r="P13" i="10"/>
  <c r="O13" i="10"/>
  <c r="N13" i="10"/>
  <c r="Z13" i="10" s="1"/>
  <c r="AA13" i="10" s="1"/>
  <c r="K13" i="10"/>
  <c r="J13" i="10"/>
  <c r="AA12" i="10"/>
  <c r="Z12" i="10"/>
  <c r="Q12" i="10"/>
  <c r="K12" i="10" s="1"/>
  <c r="J12" i="10" s="1"/>
  <c r="P12" i="10"/>
  <c r="AB12" i="10" s="1"/>
  <c r="AC12" i="10" s="1"/>
  <c r="O12" i="10"/>
  <c r="N12" i="10"/>
  <c r="P11" i="10"/>
  <c r="AB11" i="10" s="1"/>
  <c r="AC11" i="10" s="1"/>
  <c r="O11" i="10"/>
  <c r="N11" i="10"/>
  <c r="Z11" i="10" s="1"/>
  <c r="AA11" i="10" s="1"/>
  <c r="K11" i="10"/>
  <c r="J11" i="10" s="1"/>
  <c r="X10" i="10"/>
  <c r="Q10" i="10"/>
  <c r="K10" i="10" s="1"/>
  <c r="J10" i="10" s="1"/>
  <c r="P10" i="10"/>
  <c r="AB10" i="10" s="1"/>
  <c r="AC10" i="10" s="1"/>
  <c r="O10" i="10"/>
  <c r="N10" i="10"/>
  <c r="Z10" i="10" s="1"/>
  <c r="AA10" i="10" s="1"/>
  <c r="U9" i="10"/>
  <c r="P9" i="10"/>
  <c r="AB9" i="10" s="1"/>
  <c r="AC9" i="10" s="1"/>
  <c r="O9" i="10"/>
  <c r="N9" i="10"/>
  <c r="AB8" i="10"/>
  <c r="AC8" i="10" s="1"/>
  <c r="P8" i="10"/>
  <c r="O8" i="10"/>
  <c r="N8" i="10"/>
  <c r="Z8" i="10" s="1"/>
  <c r="AA8" i="10" s="1"/>
  <c r="AB7" i="10"/>
  <c r="AC7" i="10" s="1"/>
  <c r="AA7" i="10"/>
  <c r="Z7" i="10"/>
  <c r="U7" i="10"/>
  <c r="P7" i="10"/>
  <c r="O7" i="10"/>
  <c r="N7" i="10"/>
  <c r="K7" i="10"/>
  <c r="J7" i="10"/>
  <c r="Z6" i="10"/>
  <c r="AA6" i="10" s="1"/>
  <c r="Q6" i="10"/>
  <c r="P6" i="10"/>
  <c r="AB6" i="10" s="1"/>
  <c r="AC6" i="10" s="1"/>
  <c r="O6" i="10"/>
  <c r="N6" i="10"/>
  <c r="Z5" i="10"/>
  <c r="AA5" i="10" s="1"/>
  <c r="P5" i="10"/>
  <c r="AB5" i="10" s="1"/>
  <c r="AC5" i="10" s="1"/>
  <c r="O5" i="10"/>
  <c r="N5" i="10"/>
  <c r="K5" i="10"/>
  <c r="J5" i="10" s="1"/>
  <c r="AB4" i="10"/>
  <c r="AC4" i="10" s="1"/>
  <c r="P4" i="10"/>
  <c r="O4" i="10"/>
  <c r="N4" i="10"/>
  <c r="Z4" i="10" s="1"/>
  <c r="AA4" i="10" s="1"/>
  <c r="K4" i="10"/>
  <c r="J4" i="10"/>
  <c r="P3" i="10"/>
  <c r="AB3" i="10" s="1"/>
  <c r="AC3" i="10" s="1"/>
  <c r="O3" i="10"/>
  <c r="N3" i="10"/>
  <c r="Z3" i="10" s="1"/>
  <c r="AA3" i="10" s="1"/>
  <c r="K3" i="10"/>
  <c r="X1" i="10"/>
  <c r="X93" i="9"/>
  <c r="T93" i="9"/>
  <c r="S93" i="9"/>
  <c r="R93" i="9"/>
  <c r="N93" i="9"/>
  <c r="K93" i="9" s="1"/>
  <c r="J93" i="9" s="1"/>
  <c r="X92" i="9"/>
  <c r="T92" i="9"/>
  <c r="R92" i="9"/>
  <c r="S92" i="9" s="1"/>
  <c r="N92" i="9"/>
  <c r="K92" i="9" s="1"/>
  <c r="J92" i="9" s="1"/>
  <c r="X91" i="9"/>
  <c r="T91" i="9"/>
  <c r="S91" i="9"/>
  <c r="R91" i="9"/>
  <c r="N91" i="9"/>
  <c r="K91" i="9"/>
  <c r="J91" i="9" s="1"/>
  <c r="X90" i="9"/>
  <c r="T90" i="9"/>
  <c r="S90" i="9"/>
  <c r="R90" i="9"/>
  <c r="N90" i="9"/>
  <c r="K90" i="9"/>
  <c r="J90" i="9"/>
  <c r="X89" i="9"/>
  <c r="T89" i="9"/>
  <c r="R89" i="9"/>
  <c r="S89" i="9" s="1"/>
  <c r="N89" i="9"/>
  <c r="K89" i="9" s="1"/>
  <c r="J89" i="9" s="1"/>
  <c r="X88" i="9"/>
  <c r="K88" i="9" s="1"/>
  <c r="J88" i="9" s="1"/>
  <c r="T88" i="9"/>
  <c r="R88" i="9"/>
  <c r="S88" i="9" s="1"/>
  <c r="N88" i="9"/>
  <c r="X87" i="9"/>
  <c r="T87" i="9"/>
  <c r="S87" i="9"/>
  <c r="R87" i="9"/>
  <c r="N87" i="9"/>
  <c r="K87" i="9"/>
  <c r="J87" i="9" s="1"/>
  <c r="X86" i="9"/>
  <c r="T86" i="9"/>
  <c r="S86" i="9"/>
  <c r="R86" i="9"/>
  <c r="N86" i="9"/>
  <c r="K86" i="9" s="1"/>
  <c r="J86" i="9" s="1"/>
  <c r="X85" i="9"/>
  <c r="K85" i="9" s="1"/>
  <c r="T85" i="9"/>
  <c r="R85" i="9"/>
  <c r="S85" i="9" s="1"/>
  <c r="N85" i="9"/>
  <c r="J85" i="9"/>
  <c r="X84" i="9"/>
  <c r="T84" i="9"/>
  <c r="S84" i="9"/>
  <c r="R84" i="9"/>
  <c r="N84" i="9"/>
  <c r="K84" i="9" s="1"/>
  <c r="J84" i="9" s="1"/>
  <c r="X83" i="9"/>
  <c r="T83" i="9"/>
  <c r="R83" i="9"/>
  <c r="S83" i="9" s="1"/>
  <c r="N83" i="9"/>
  <c r="K83" i="9"/>
  <c r="J83" i="9" s="1"/>
  <c r="X82" i="9"/>
  <c r="T82" i="9"/>
  <c r="S82" i="9"/>
  <c r="R82" i="9"/>
  <c r="N82" i="9"/>
  <c r="X81" i="9"/>
  <c r="T81" i="9"/>
  <c r="S81" i="9"/>
  <c r="R81" i="9"/>
  <c r="N81" i="9"/>
  <c r="K81" i="9" s="1"/>
  <c r="J81" i="9" s="1"/>
  <c r="X80" i="9"/>
  <c r="T80" i="9"/>
  <c r="R80" i="9"/>
  <c r="S80" i="9" s="1"/>
  <c r="N80" i="9"/>
  <c r="K80" i="9" s="1"/>
  <c r="J80" i="9" s="1"/>
  <c r="X79" i="9"/>
  <c r="T79" i="9"/>
  <c r="S79" i="9"/>
  <c r="R79" i="9"/>
  <c r="N79" i="9"/>
  <c r="K79" i="9" s="1"/>
  <c r="J79" i="9" s="1"/>
  <c r="X78" i="9"/>
  <c r="T78" i="9"/>
  <c r="S78" i="9"/>
  <c r="R78" i="9"/>
  <c r="N78" i="9"/>
  <c r="K78" i="9"/>
  <c r="J78" i="9"/>
  <c r="X77" i="9"/>
  <c r="T77" i="9"/>
  <c r="S77" i="9"/>
  <c r="R77" i="9"/>
  <c r="N77" i="9"/>
  <c r="K77" i="9" s="1"/>
  <c r="J77" i="9" s="1"/>
  <c r="X76" i="9"/>
  <c r="T76" i="9"/>
  <c r="R76" i="9"/>
  <c r="S76" i="9" s="1"/>
  <c r="N76" i="9"/>
  <c r="K76" i="9"/>
  <c r="J76" i="9"/>
  <c r="X75" i="9"/>
  <c r="K75" i="9" s="1"/>
  <c r="J75" i="9" s="1"/>
  <c r="T75" i="9"/>
  <c r="S75" i="9"/>
  <c r="R75" i="9"/>
  <c r="N75" i="9"/>
  <c r="X74" i="9"/>
  <c r="T74" i="9"/>
  <c r="S74" i="9"/>
  <c r="R74" i="9"/>
  <c r="N74" i="9"/>
  <c r="K74" i="9"/>
  <c r="J74" i="9" s="1"/>
  <c r="X73" i="9"/>
  <c r="T73" i="9"/>
  <c r="R73" i="9"/>
  <c r="S73" i="9" s="1"/>
  <c r="N73" i="9"/>
  <c r="K73" i="9"/>
  <c r="J73" i="9"/>
  <c r="X72" i="9"/>
  <c r="T72" i="9"/>
  <c r="R72" i="9"/>
  <c r="S72" i="9" s="1"/>
  <c r="N72" i="9"/>
  <c r="K72" i="9" s="1"/>
  <c r="J72" i="9" s="1"/>
  <c r="X71" i="9"/>
  <c r="T71" i="9"/>
  <c r="R71" i="9"/>
  <c r="S71" i="9" s="1"/>
  <c r="N71" i="9"/>
  <c r="K71" i="9" s="1"/>
  <c r="J71" i="9" s="1"/>
  <c r="X70" i="9"/>
  <c r="T70" i="9"/>
  <c r="R70" i="9"/>
  <c r="S70" i="9" s="1"/>
  <c r="N70" i="9"/>
  <c r="K70" i="9" s="1"/>
  <c r="J70" i="9" s="1"/>
  <c r="X69" i="9"/>
  <c r="T69" i="9"/>
  <c r="S69" i="9"/>
  <c r="R69" i="9"/>
  <c r="N69" i="9"/>
  <c r="K69" i="9" s="1"/>
  <c r="J69" i="9" s="1"/>
  <c r="X68" i="9"/>
  <c r="T68" i="9"/>
  <c r="S68" i="9"/>
  <c r="R68" i="9"/>
  <c r="N68" i="9"/>
  <c r="K68" i="9"/>
  <c r="J68" i="9" s="1"/>
  <c r="X67" i="9"/>
  <c r="T67" i="9"/>
  <c r="S67" i="9"/>
  <c r="R67" i="9"/>
  <c r="N67" i="9"/>
  <c r="K67" i="9" s="1"/>
  <c r="J67" i="9" s="1"/>
  <c r="X66" i="9"/>
  <c r="T66" i="9"/>
  <c r="R66" i="9"/>
  <c r="S66" i="9" s="1"/>
  <c r="N66" i="9"/>
  <c r="K66" i="9" s="1"/>
  <c r="J66" i="9" s="1"/>
  <c r="X65" i="9"/>
  <c r="T65" i="9"/>
  <c r="S65" i="9"/>
  <c r="R65" i="9"/>
  <c r="N65" i="9"/>
  <c r="K65" i="9"/>
  <c r="J65" i="9" s="1"/>
  <c r="X64" i="9"/>
  <c r="T64" i="9"/>
  <c r="K64" i="9" s="1"/>
  <c r="J64" i="9" s="1"/>
  <c r="S64" i="9"/>
  <c r="R64" i="9"/>
  <c r="N64" i="9"/>
  <c r="X63" i="9"/>
  <c r="T63" i="9"/>
  <c r="R63" i="9"/>
  <c r="S63" i="9" s="1"/>
  <c r="N63" i="9"/>
  <c r="K63" i="9" s="1"/>
  <c r="J63" i="9" s="1"/>
  <c r="X62" i="9"/>
  <c r="T62" i="9"/>
  <c r="K62" i="9" s="1"/>
  <c r="J62" i="9" s="1"/>
  <c r="R62" i="9"/>
  <c r="S62" i="9" s="1"/>
  <c r="N62" i="9"/>
  <c r="X61" i="9"/>
  <c r="S61" i="9"/>
  <c r="R61" i="9"/>
  <c r="N61" i="9"/>
  <c r="K61" i="9"/>
  <c r="J61" i="9" s="1"/>
  <c r="X60" i="9"/>
  <c r="K60" i="9" s="1"/>
  <c r="J60" i="9" s="1"/>
  <c r="R60" i="9"/>
  <c r="S60" i="9" s="1"/>
  <c r="N60" i="9"/>
  <c r="X59" i="9"/>
  <c r="S59" i="9"/>
  <c r="R59" i="9"/>
  <c r="N59" i="9"/>
  <c r="K59" i="9"/>
  <c r="J59" i="9" s="1"/>
  <c r="X58" i="9"/>
  <c r="K58" i="9" s="1"/>
  <c r="J58" i="9" s="1"/>
  <c r="R58" i="9"/>
  <c r="S58" i="9" s="1"/>
  <c r="N58" i="9"/>
  <c r="X57" i="9"/>
  <c r="S57" i="9"/>
  <c r="R57" i="9"/>
  <c r="N57" i="9"/>
  <c r="K57" i="9"/>
  <c r="J57" i="9" s="1"/>
  <c r="X56" i="9"/>
  <c r="K56" i="9" s="1"/>
  <c r="J56" i="9" s="1"/>
  <c r="R56" i="9"/>
  <c r="S56" i="9" s="1"/>
  <c r="N56" i="9"/>
  <c r="X55" i="9"/>
  <c r="S55" i="9"/>
  <c r="R55" i="9"/>
  <c r="N55" i="9"/>
  <c r="K55" i="9"/>
  <c r="J55" i="9" s="1"/>
  <c r="X54" i="9"/>
  <c r="K54" i="9" s="1"/>
  <c r="J54" i="9" s="1"/>
  <c r="R54" i="9"/>
  <c r="S54" i="9" s="1"/>
  <c r="N54" i="9"/>
  <c r="X53" i="9"/>
  <c r="S53" i="9"/>
  <c r="R53" i="9"/>
  <c r="N53" i="9"/>
  <c r="K53" i="9"/>
  <c r="J53" i="9" s="1"/>
  <c r="X52" i="9"/>
  <c r="K52" i="9" s="1"/>
  <c r="J52" i="9" s="1"/>
  <c r="R52" i="9"/>
  <c r="S52" i="9" s="1"/>
  <c r="N52" i="9"/>
  <c r="X51" i="9"/>
  <c r="T51" i="9"/>
  <c r="S51" i="9"/>
  <c r="R51" i="9"/>
  <c r="N51" i="9"/>
  <c r="K51" i="9" s="1"/>
  <c r="J51" i="9" s="1"/>
  <c r="X50" i="9"/>
  <c r="S50" i="9"/>
  <c r="R50" i="9"/>
  <c r="N50" i="9"/>
  <c r="K50" i="9" s="1"/>
  <c r="J50" i="9" s="1"/>
  <c r="X49" i="9"/>
  <c r="S49" i="9"/>
  <c r="R49" i="9"/>
  <c r="J49" i="9"/>
  <c r="X48" i="9"/>
  <c r="S48" i="9"/>
  <c r="R48" i="9"/>
  <c r="J48" i="9"/>
  <c r="X47" i="9"/>
  <c r="S47" i="9"/>
  <c r="R47" i="9"/>
  <c r="J47" i="9"/>
  <c r="X46" i="9"/>
  <c r="S46" i="9"/>
  <c r="R46" i="9"/>
  <c r="J46" i="9"/>
  <c r="X45" i="9"/>
  <c r="S45" i="9"/>
  <c r="R45" i="9"/>
  <c r="J45" i="9"/>
  <c r="X44" i="9"/>
  <c r="S44" i="9"/>
  <c r="R44" i="9"/>
  <c r="J44" i="9"/>
  <c r="X43" i="9"/>
  <c r="S43" i="9"/>
  <c r="R43" i="9"/>
  <c r="N43" i="9"/>
  <c r="K43" i="9" s="1"/>
  <c r="J43" i="9" s="1"/>
  <c r="X42" i="9"/>
  <c r="S42" i="9"/>
  <c r="R42" i="9"/>
  <c r="K42" i="9"/>
  <c r="J42" i="9" s="1"/>
  <c r="X41" i="9"/>
  <c r="K41" i="9" s="1"/>
  <c r="S41" i="9"/>
  <c r="R41" i="9"/>
  <c r="J41" i="9"/>
  <c r="X40" i="9"/>
  <c r="S40" i="9"/>
  <c r="R40" i="9"/>
  <c r="N40" i="9"/>
  <c r="K40" i="9" s="1"/>
  <c r="J40" i="9" s="1"/>
  <c r="X39" i="9"/>
  <c r="R39" i="9"/>
  <c r="S39" i="9" s="1"/>
  <c r="N39" i="9"/>
  <c r="K39" i="9" s="1"/>
  <c r="J39" i="9"/>
  <c r="X38" i="9"/>
  <c r="K38" i="9" s="1"/>
  <c r="J38" i="9" s="1"/>
  <c r="S38" i="9"/>
  <c r="R38" i="9"/>
  <c r="X37" i="9"/>
  <c r="R37" i="9"/>
  <c r="S37" i="9" s="1"/>
  <c r="K37" i="9"/>
  <c r="J37" i="9" s="1"/>
  <c r="X36" i="9"/>
  <c r="S36" i="9"/>
  <c r="R36" i="9"/>
  <c r="K36" i="9"/>
  <c r="J36" i="9" s="1"/>
  <c r="X35" i="9"/>
  <c r="R35" i="9"/>
  <c r="S35" i="9" s="1"/>
  <c r="N35" i="9"/>
  <c r="K35" i="9"/>
  <c r="J35" i="9"/>
  <c r="X34" i="9"/>
  <c r="R34" i="9"/>
  <c r="S34" i="9" s="1"/>
  <c r="K34" i="9"/>
  <c r="J34" i="9" s="1"/>
  <c r="X33" i="9"/>
  <c r="S33" i="9"/>
  <c r="R33" i="9"/>
  <c r="N33" i="9"/>
  <c r="K33" i="9" s="1"/>
  <c r="J33" i="9" s="1"/>
  <c r="S32" i="9"/>
  <c r="R32" i="9"/>
  <c r="N32" i="9"/>
  <c r="K32" i="9"/>
  <c r="J32" i="9" s="1"/>
  <c r="X31" i="9"/>
  <c r="K31" i="9" s="1"/>
  <c r="J31" i="9" s="1"/>
  <c r="R31" i="9"/>
  <c r="S31" i="9" s="1"/>
  <c r="X30" i="9"/>
  <c r="R30" i="9"/>
  <c r="S30" i="9" s="1"/>
  <c r="N30" i="9"/>
  <c r="K30" i="9" s="1"/>
  <c r="J30" i="9"/>
  <c r="X29" i="9"/>
  <c r="K29" i="9" s="1"/>
  <c r="J29" i="9" s="1"/>
  <c r="S29" i="9"/>
  <c r="R29" i="9"/>
  <c r="X28" i="9"/>
  <c r="R28" i="9"/>
  <c r="S28" i="9" s="1"/>
  <c r="K28" i="9"/>
  <c r="J28" i="9" s="1"/>
  <c r="X27" i="9"/>
  <c r="S27" i="9"/>
  <c r="R27" i="9"/>
  <c r="N27" i="9"/>
  <c r="K27" i="9" s="1"/>
  <c r="J27" i="9" s="1"/>
  <c r="X26" i="9"/>
  <c r="S26" i="9"/>
  <c r="R26" i="9"/>
  <c r="N26" i="9"/>
  <c r="K26" i="9"/>
  <c r="J26" i="9" s="1"/>
  <c r="X25" i="9"/>
  <c r="S25" i="9"/>
  <c r="R25" i="9"/>
  <c r="N25" i="9"/>
  <c r="K25" i="9" s="1"/>
  <c r="J25" i="9" s="1"/>
  <c r="R24" i="9"/>
  <c r="S24" i="9" s="1"/>
  <c r="N24" i="9"/>
  <c r="K24" i="9"/>
  <c r="J24" i="9"/>
  <c r="S23" i="9"/>
  <c r="R23" i="9"/>
  <c r="K23" i="9"/>
  <c r="J23" i="9" s="1"/>
  <c r="X22" i="9"/>
  <c r="K22" i="9" s="1"/>
  <c r="J22" i="9" s="1"/>
  <c r="R22" i="9"/>
  <c r="S22" i="9" s="1"/>
  <c r="R21" i="9"/>
  <c r="S21" i="9" s="1"/>
  <c r="K21" i="9"/>
  <c r="J21" i="9" s="1"/>
  <c r="X20" i="9"/>
  <c r="S20" i="9"/>
  <c r="R20" i="9"/>
  <c r="K20" i="9"/>
  <c r="J20" i="9" s="1"/>
  <c r="S19" i="9"/>
  <c r="R19" i="9"/>
  <c r="K19" i="9"/>
  <c r="J19" i="9" s="1"/>
  <c r="R18" i="9"/>
  <c r="S18" i="9" s="1"/>
  <c r="K18" i="9"/>
  <c r="J18" i="9" s="1"/>
  <c r="X17" i="9"/>
  <c r="K17" i="9" s="1"/>
  <c r="J17" i="9" s="1"/>
  <c r="S17" i="9"/>
  <c r="R17" i="9"/>
  <c r="R16" i="9"/>
  <c r="S16" i="9" s="1"/>
  <c r="K16" i="9"/>
  <c r="J16" i="9"/>
  <c r="S15" i="9"/>
  <c r="R15" i="9"/>
  <c r="K15" i="9"/>
  <c r="J15" i="9"/>
  <c r="S14" i="9"/>
  <c r="R14" i="9"/>
  <c r="K14" i="9"/>
  <c r="J14" i="9"/>
  <c r="R13" i="9"/>
  <c r="S13" i="9" s="1"/>
  <c r="K13" i="9"/>
  <c r="J13" i="9"/>
  <c r="S12" i="9"/>
  <c r="R12" i="9"/>
  <c r="K12" i="9"/>
  <c r="J12" i="9"/>
  <c r="S11" i="9"/>
  <c r="R11" i="9"/>
  <c r="K11" i="9"/>
  <c r="J11" i="9"/>
  <c r="R10" i="9"/>
  <c r="S10" i="9" s="1"/>
  <c r="K10" i="9"/>
  <c r="J10" i="9"/>
  <c r="X9" i="9"/>
  <c r="R9" i="9"/>
  <c r="S9" i="9" s="1"/>
  <c r="K9" i="9"/>
  <c r="J9" i="9" s="1"/>
  <c r="S8" i="9"/>
  <c r="R8" i="9"/>
  <c r="K8" i="9"/>
  <c r="J8" i="9" s="1"/>
  <c r="S7" i="9"/>
  <c r="R7" i="9"/>
  <c r="K7" i="9"/>
  <c r="J7" i="9" s="1"/>
  <c r="R6" i="9"/>
  <c r="S6" i="9" s="1"/>
  <c r="K6" i="9"/>
  <c r="J6" i="9" s="1"/>
  <c r="S5" i="9"/>
  <c r="R5" i="9"/>
  <c r="N5" i="9"/>
  <c r="K5" i="9" s="1"/>
  <c r="AA1" i="9"/>
  <c r="Z1" i="9"/>
  <c r="Y1" i="9" s="1"/>
  <c r="W1" i="8"/>
  <c r="U1" i="8" s="1"/>
  <c r="V1" i="8"/>
  <c r="W1" i="7"/>
  <c r="V1" i="7"/>
  <c r="S93" i="6"/>
  <c r="W92" i="6"/>
  <c r="S92" i="6"/>
  <c r="N92" i="6"/>
  <c r="K92" i="6" s="1"/>
  <c r="J92" i="6" s="1"/>
  <c r="W91" i="6"/>
  <c r="S91" i="6"/>
  <c r="N91" i="6"/>
  <c r="W90" i="6"/>
  <c r="S90" i="6"/>
  <c r="N90" i="6"/>
  <c r="K90" i="6" s="1"/>
  <c r="J90" i="6" s="1"/>
  <c r="W89" i="6"/>
  <c r="S89" i="6"/>
  <c r="N89" i="6"/>
  <c r="K89" i="6"/>
  <c r="J89" i="6" s="1"/>
  <c r="W88" i="6"/>
  <c r="S88" i="6"/>
  <c r="N88" i="6"/>
  <c r="K88" i="6" s="1"/>
  <c r="J88" i="6" s="1"/>
  <c r="W87" i="6"/>
  <c r="S87" i="6"/>
  <c r="N87" i="6"/>
  <c r="K87" i="6" s="1"/>
  <c r="J87" i="6" s="1"/>
  <c r="W86" i="6"/>
  <c r="S86" i="6"/>
  <c r="N86" i="6"/>
  <c r="K86" i="6" s="1"/>
  <c r="J86" i="6" s="1"/>
  <c r="W85" i="6"/>
  <c r="S85" i="6"/>
  <c r="N85" i="6"/>
  <c r="K85" i="6"/>
  <c r="J85" i="6" s="1"/>
  <c r="W84" i="6"/>
  <c r="S84" i="6"/>
  <c r="N84" i="6"/>
  <c r="K84" i="6" s="1"/>
  <c r="J84" i="6" s="1"/>
  <c r="W83" i="6"/>
  <c r="S83" i="6"/>
  <c r="K83" i="6" s="1"/>
  <c r="J83" i="6" s="1"/>
  <c r="N83" i="6"/>
  <c r="W82" i="6"/>
  <c r="S82" i="6"/>
  <c r="K82" i="6" s="1"/>
  <c r="J82" i="6" s="1"/>
  <c r="N82" i="6"/>
  <c r="W81" i="6"/>
  <c r="S81" i="6"/>
  <c r="K81" i="6" s="1"/>
  <c r="J81" i="6" s="1"/>
  <c r="N81" i="6"/>
  <c r="W80" i="6"/>
  <c r="S80" i="6"/>
  <c r="N80" i="6"/>
  <c r="K80" i="6" s="1"/>
  <c r="J80" i="6" s="1"/>
  <c r="W79" i="6"/>
  <c r="S79" i="6"/>
  <c r="N79" i="6"/>
  <c r="K79" i="6" s="1"/>
  <c r="J79" i="6" s="1"/>
  <c r="W78" i="6"/>
  <c r="S78" i="6"/>
  <c r="N78" i="6"/>
  <c r="K78" i="6" s="1"/>
  <c r="J78" i="6" s="1"/>
  <c r="W77" i="6"/>
  <c r="S77" i="6"/>
  <c r="N77" i="6"/>
  <c r="K77" i="6"/>
  <c r="J77" i="6" s="1"/>
  <c r="W76" i="6"/>
  <c r="S76" i="6"/>
  <c r="N76" i="6"/>
  <c r="K76" i="6" s="1"/>
  <c r="J76" i="6" s="1"/>
  <c r="W75" i="6"/>
  <c r="S75" i="6"/>
  <c r="S1" i="6" s="1"/>
  <c r="N75" i="6"/>
  <c r="K75" i="6" s="1"/>
  <c r="J75" i="6" s="1"/>
  <c r="W74" i="6"/>
  <c r="N74" i="6"/>
  <c r="K74" i="6" s="1"/>
  <c r="J74" i="6" s="1"/>
  <c r="W73" i="6"/>
  <c r="K73" i="6" s="1"/>
  <c r="J73" i="6" s="1"/>
  <c r="N73" i="6"/>
  <c r="W72" i="6"/>
  <c r="N72" i="6"/>
  <c r="K72" i="6" s="1"/>
  <c r="J72" i="6" s="1"/>
  <c r="W71" i="6"/>
  <c r="N71" i="6"/>
  <c r="W70" i="6"/>
  <c r="K70" i="6" s="1"/>
  <c r="J70" i="6" s="1"/>
  <c r="N70" i="6"/>
  <c r="W69" i="6"/>
  <c r="N69" i="6"/>
  <c r="K69" i="6" s="1"/>
  <c r="J69" i="6" s="1"/>
  <c r="W68" i="6"/>
  <c r="N68" i="6"/>
  <c r="K68" i="6" s="1"/>
  <c r="J68" i="6" s="1"/>
  <c r="W67" i="6"/>
  <c r="K67" i="6" s="1"/>
  <c r="J67" i="6" s="1"/>
  <c r="N67" i="6"/>
  <c r="W66" i="6"/>
  <c r="N66" i="6"/>
  <c r="K66" i="6" s="1"/>
  <c r="J66" i="6" s="1"/>
  <c r="W65" i="6"/>
  <c r="N65" i="6"/>
  <c r="W64" i="6"/>
  <c r="K64" i="6" s="1"/>
  <c r="J64" i="6" s="1"/>
  <c r="N64" i="6"/>
  <c r="W63" i="6"/>
  <c r="N63" i="6"/>
  <c r="K63" i="6" s="1"/>
  <c r="J63" i="6" s="1"/>
  <c r="W62" i="6"/>
  <c r="N62" i="6"/>
  <c r="K62" i="6" s="1"/>
  <c r="J62" i="6" s="1"/>
  <c r="W61" i="6"/>
  <c r="K61" i="6" s="1"/>
  <c r="J61" i="6" s="1"/>
  <c r="N61" i="6"/>
  <c r="W60" i="6"/>
  <c r="N60" i="6"/>
  <c r="K60" i="6" s="1"/>
  <c r="J60" i="6" s="1"/>
  <c r="W59" i="6"/>
  <c r="N59" i="6"/>
  <c r="W58" i="6"/>
  <c r="K58" i="6" s="1"/>
  <c r="J58" i="6" s="1"/>
  <c r="N58" i="6"/>
  <c r="W57" i="6"/>
  <c r="N57" i="6"/>
  <c r="K57" i="6" s="1"/>
  <c r="J57" i="6" s="1"/>
  <c r="W56" i="6"/>
  <c r="N56" i="6"/>
  <c r="K56" i="6" s="1"/>
  <c r="J56" i="6" s="1"/>
  <c r="W55" i="6"/>
  <c r="K55" i="6" s="1"/>
  <c r="J55" i="6" s="1"/>
  <c r="N55" i="6"/>
  <c r="W54" i="6"/>
  <c r="N54" i="6"/>
  <c r="K54" i="6" s="1"/>
  <c r="J54" i="6" s="1"/>
  <c r="W53" i="6"/>
  <c r="N53" i="6"/>
  <c r="W52" i="6"/>
  <c r="K52" i="6" s="1"/>
  <c r="J52" i="6" s="1"/>
  <c r="N52" i="6"/>
  <c r="W51" i="6"/>
  <c r="N51" i="6"/>
  <c r="K51" i="6" s="1"/>
  <c r="J51" i="6" s="1"/>
  <c r="W50" i="6"/>
  <c r="N50" i="6"/>
  <c r="K50" i="6" s="1"/>
  <c r="J50" i="6" s="1"/>
  <c r="W49" i="6"/>
  <c r="K49" i="6" s="1"/>
  <c r="J49" i="6" s="1"/>
  <c r="N49" i="6"/>
  <c r="W48" i="6"/>
  <c r="N48" i="6"/>
  <c r="K48" i="6" s="1"/>
  <c r="J48" i="6" s="1"/>
  <c r="W47" i="6"/>
  <c r="N47" i="6"/>
  <c r="W46" i="6"/>
  <c r="K46" i="6" s="1"/>
  <c r="J46" i="6" s="1"/>
  <c r="N46" i="6"/>
  <c r="W45" i="6"/>
  <c r="N45" i="6"/>
  <c r="K45" i="6" s="1"/>
  <c r="J45" i="6" s="1"/>
  <c r="W44" i="6"/>
  <c r="K44" i="6" s="1"/>
  <c r="J44" i="6" s="1"/>
  <c r="R44" i="6"/>
  <c r="Q44" i="6"/>
  <c r="N44" i="6"/>
  <c r="W43" i="6"/>
  <c r="Q43" i="6"/>
  <c r="R43" i="6" s="1"/>
  <c r="N43" i="6"/>
  <c r="K43" i="6" s="1"/>
  <c r="J43" i="6" s="1"/>
  <c r="W42" i="6"/>
  <c r="K42" i="6" s="1"/>
  <c r="J42" i="6" s="1"/>
  <c r="R42" i="6"/>
  <c r="Q42" i="6"/>
  <c r="N42" i="6"/>
  <c r="W41" i="6"/>
  <c r="Q41" i="6"/>
  <c r="R41" i="6" s="1"/>
  <c r="N41" i="6"/>
  <c r="K41" i="6" s="1"/>
  <c r="J41" i="6" s="1"/>
  <c r="W40" i="6"/>
  <c r="K40" i="6" s="1"/>
  <c r="J40" i="6" s="1"/>
  <c r="R40" i="6"/>
  <c r="Q40" i="6"/>
  <c r="N40" i="6"/>
  <c r="W39" i="6"/>
  <c r="Q39" i="6"/>
  <c r="R39" i="6" s="1"/>
  <c r="K39" i="6"/>
  <c r="J39" i="6" s="1"/>
  <c r="Q38" i="6"/>
  <c r="R38" i="6" s="1"/>
  <c r="K38" i="6"/>
  <c r="J38" i="6" s="1"/>
  <c r="Q37" i="6"/>
  <c r="R37" i="6" s="1"/>
  <c r="K37" i="6"/>
  <c r="J37" i="6"/>
  <c r="Q36" i="6"/>
  <c r="R36" i="6" s="1"/>
  <c r="K36" i="6"/>
  <c r="J36" i="6" s="1"/>
  <c r="Q35" i="6"/>
  <c r="R35" i="6" s="1"/>
  <c r="N35" i="6"/>
  <c r="K35" i="6" s="1"/>
  <c r="J35" i="6" s="1"/>
  <c r="W34" i="6"/>
  <c r="Q34" i="6"/>
  <c r="R34" i="6" s="1"/>
  <c r="N34" i="6"/>
  <c r="K34" i="6"/>
  <c r="J34" i="6"/>
  <c r="Q33" i="6"/>
  <c r="R33" i="6" s="1"/>
  <c r="K33" i="6"/>
  <c r="J33" i="6" s="1"/>
  <c r="R32" i="6"/>
  <c r="Q32" i="6"/>
  <c r="K32" i="6"/>
  <c r="J32" i="6" s="1"/>
  <c r="Q31" i="6"/>
  <c r="R31" i="6" s="1"/>
  <c r="K31" i="6"/>
  <c r="J31" i="6"/>
  <c r="W30" i="6"/>
  <c r="Q30" i="6"/>
  <c r="R30" i="6" s="1"/>
  <c r="K30" i="6"/>
  <c r="J30" i="6" s="1"/>
  <c r="Q29" i="6"/>
  <c r="R29" i="6" s="1"/>
  <c r="K29" i="6"/>
  <c r="J29" i="6"/>
  <c r="W28" i="6"/>
  <c r="K28" i="6" s="1"/>
  <c r="J28" i="6" s="1"/>
  <c r="Q28" i="6"/>
  <c r="R28" i="6" s="1"/>
  <c r="R27" i="6"/>
  <c r="Q27" i="6"/>
  <c r="K27" i="6"/>
  <c r="J27" i="6" s="1"/>
  <c r="R26" i="6"/>
  <c r="Q26" i="6"/>
  <c r="K26" i="6"/>
  <c r="J26" i="6"/>
  <c r="Q25" i="6"/>
  <c r="R25" i="6" s="1"/>
  <c r="K25" i="6"/>
  <c r="J25" i="6"/>
  <c r="W24" i="6"/>
  <c r="K24" i="6" s="1"/>
  <c r="J24" i="6" s="1"/>
  <c r="R24" i="6"/>
  <c r="Q24" i="6"/>
  <c r="Q23" i="6"/>
  <c r="R23" i="6" s="1"/>
  <c r="N23" i="6"/>
  <c r="K23" i="6"/>
  <c r="J23" i="6"/>
  <c r="Q22" i="6"/>
  <c r="R22" i="6" s="1"/>
  <c r="K22" i="6"/>
  <c r="J22" i="6" s="1"/>
  <c r="W21" i="6"/>
  <c r="K21" i="6" s="1"/>
  <c r="J21" i="6" s="1"/>
  <c r="Q21" i="6"/>
  <c r="R21" i="6" s="1"/>
  <c r="Q20" i="6"/>
  <c r="R20" i="6" s="1"/>
  <c r="N20" i="6"/>
  <c r="K20" i="6" s="1"/>
  <c r="J20" i="6" s="1"/>
  <c r="W19" i="6"/>
  <c r="K19" i="6" s="1"/>
  <c r="J19" i="6" s="1"/>
  <c r="R19" i="6"/>
  <c r="Q19" i="6"/>
  <c r="N19" i="6"/>
  <c r="Q18" i="6"/>
  <c r="R18" i="6" s="1"/>
  <c r="K18" i="6"/>
  <c r="J18" i="6"/>
  <c r="Q17" i="6"/>
  <c r="R17" i="6" s="1"/>
  <c r="N17" i="6"/>
  <c r="K17" i="6" s="1"/>
  <c r="J17" i="6" s="1"/>
  <c r="Q16" i="6"/>
  <c r="R16" i="6" s="1"/>
  <c r="K16" i="6"/>
  <c r="J16" i="6"/>
  <c r="W15" i="6"/>
  <c r="K15" i="6" s="1"/>
  <c r="Q15" i="6"/>
  <c r="R15" i="6" s="1"/>
  <c r="N15" i="6"/>
  <c r="J15" i="6"/>
  <c r="W14" i="6"/>
  <c r="R14" i="6"/>
  <c r="Q14" i="6"/>
  <c r="N14" i="6"/>
  <c r="K14" i="6" s="1"/>
  <c r="J14" i="6" s="1"/>
  <c r="W13" i="6"/>
  <c r="K13" i="6" s="1"/>
  <c r="J13" i="6" s="1"/>
  <c r="Q13" i="6"/>
  <c r="R13" i="6" s="1"/>
  <c r="W12" i="6"/>
  <c r="R12" i="6"/>
  <c r="Q12" i="6"/>
  <c r="W11" i="6"/>
  <c r="Q11" i="6"/>
  <c r="R11" i="6" s="1"/>
  <c r="N11" i="6"/>
  <c r="K11" i="6"/>
  <c r="J11" i="6" s="1"/>
  <c r="Q10" i="6"/>
  <c r="R10" i="6" s="1"/>
  <c r="N10" i="6"/>
  <c r="K10" i="6" s="1"/>
  <c r="J10" i="6" s="1"/>
  <c r="W9" i="6"/>
  <c r="Q9" i="6"/>
  <c r="R9" i="6" s="1"/>
  <c r="N9" i="6"/>
  <c r="K9" i="6"/>
  <c r="J9" i="6"/>
  <c r="W8" i="6"/>
  <c r="Q8" i="6"/>
  <c r="R8" i="6" s="1"/>
  <c r="K8" i="6"/>
  <c r="J8" i="6" s="1"/>
  <c r="Q7" i="6"/>
  <c r="R7" i="6" s="1"/>
  <c r="K7" i="6"/>
  <c r="J7" i="6"/>
  <c r="Q6" i="6"/>
  <c r="R6" i="6" s="1"/>
  <c r="N6" i="6"/>
  <c r="R5" i="6"/>
  <c r="Q5" i="6"/>
  <c r="K5" i="6"/>
  <c r="J5" i="6" s="1"/>
  <c r="R4" i="6"/>
  <c r="Q4" i="6"/>
  <c r="K4" i="6"/>
  <c r="J4" i="6"/>
  <c r="K3" i="6"/>
  <c r="J3" i="6"/>
  <c r="Z1" i="6"/>
  <c r="Y1" i="6"/>
  <c r="X1" i="6"/>
  <c r="W91" i="5"/>
  <c r="S91" i="5"/>
  <c r="O91" i="5"/>
  <c r="K91" i="5"/>
  <c r="J91" i="5" s="1"/>
  <c r="W90" i="5"/>
  <c r="S90" i="5"/>
  <c r="O90" i="5"/>
  <c r="W89" i="5"/>
  <c r="K89" i="5" s="1"/>
  <c r="J89" i="5" s="1"/>
  <c r="S89" i="5"/>
  <c r="O89" i="5"/>
  <c r="W88" i="5"/>
  <c r="S88" i="5"/>
  <c r="O88" i="5"/>
  <c r="K88" i="5"/>
  <c r="J88" i="5" s="1"/>
  <c r="W87" i="5"/>
  <c r="S87" i="5"/>
  <c r="O87" i="5"/>
  <c r="K87" i="5" s="1"/>
  <c r="J87" i="5" s="1"/>
  <c r="W86" i="5"/>
  <c r="S86" i="5"/>
  <c r="O86" i="5"/>
  <c r="K86" i="5" s="1"/>
  <c r="J86" i="5" s="1"/>
  <c r="W85" i="5"/>
  <c r="S85" i="5"/>
  <c r="O85" i="5"/>
  <c r="W84" i="5"/>
  <c r="S84" i="5"/>
  <c r="O84" i="5"/>
  <c r="K84" i="5"/>
  <c r="J84" i="5"/>
  <c r="W83" i="5"/>
  <c r="S83" i="5"/>
  <c r="O83" i="5"/>
  <c r="K83" i="5" s="1"/>
  <c r="J83" i="5" s="1"/>
  <c r="W82" i="5"/>
  <c r="S82" i="5"/>
  <c r="K82" i="5" s="1"/>
  <c r="J82" i="5" s="1"/>
  <c r="O82" i="5"/>
  <c r="W81" i="5"/>
  <c r="S81" i="5"/>
  <c r="K81" i="5" s="1"/>
  <c r="O81" i="5"/>
  <c r="J81" i="5"/>
  <c r="W80" i="5"/>
  <c r="S80" i="5"/>
  <c r="K80" i="5" s="1"/>
  <c r="J80" i="5" s="1"/>
  <c r="O80" i="5"/>
  <c r="W79" i="5"/>
  <c r="S79" i="5"/>
  <c r="O79" i="5"/>
  <c r="K79" i="5"/>
  <c r="J79" i="5" s="1"/>
  <c r="W78" i="5"/>
  <c r="S78" i="5"/>
  <c r="O78" i="5"/>
  <c r="K78" i="5" s="1"/>
  <c r="J78" i="5" s="1"/>
  <c r="W77" i="5"/>
  <c r="K77" i="5" s="1"/>
  <c r="J77" i="5" s="1"/>
  <c r="S77" i="5"/>
  <c r="O77" i="5"/>
  <c r="W76" i="5"/>
  <c r="S76" i="5"/>
  <c r="O76" i="5"/>
  <c r="K76" i="5"/>
  <c r="J76" i="5" s="1"/>
  <c r="W75" i="5"/>
  <c r="S75" i="5"/>
  <c r="O75" i="5"/>
  <c r="K75" i="5" s="1"/>
  <c r="J75" i="5" s="1"/>
  <c r="W74" i="5"/>
  <c r="S74" i="5"/>
  <c r="O74" i="5"/>
  <c r="K74" i="5" s="1"/>
  <c r="J74" i="5" s="1"/>
  <c r="W73" i="5"/>
  <c r="S73" i="5"/>
  <c r="O73" i="5"/>
  <c r="W72" i="5"/>
  <c r="S72" i="5"/>
  <c r="O72" i="5"/>
  <c r="K72" i="5"/>
  <c r="J72" i="5"/>
  <c r="W71" i="5"/>
  <c r="S71" i="5"/>
  <c r="O71" i="5"/>
  <c r="K71" i="5" s="1"/>
  <c r="J71" i="5" s="1"/>
  <c r="W70" i="5"/>
  <c r="S70" i="5"/>
  <c r="K70" i="5" s="1"/>
  <c r="J70" i="5" s="1"/>
  <c r="O70" i="5"/>
  <c r="W69" i="5"/>
  <c r="S69" i="5"/>
  <c r="K69" i="5" s="1"/>
  <c r="J69" i="5" s="1"/>
  <c r="O69" i="5"/>
  <c r="W68" i="5"/>
  <c r="S68" i="5"/>
  <c r="K68" i="5" s="1"/>
  <c r="J68" i="5" s="1"/>
  <c r="O68" i="5"/>
  <c r="W67" i="5"/>
  <c r="S67" i="5"/>
  <c r="O67" i="5"/>
  <c r="K67" i="5"/>
  <c r="J67" i="5" s="1"/>
  <c r="W66" i="5"/>
  <c r="S66" i="5"/>
  <c r="O66" i="5"/>
  <c r="K66" i="5" s="1"/>
  <c r="J66" i="5" s="1"/>
  <c r="W65" i="5"/>
  <c r="K65" i="5" s="1"/>
  <c r="J65" i="5" s="1"/>
  <c r="S65" i="5"/>
  <c r="O65" i="5"/>
  <c r="W64" i="5"/>
  <c r="S64" i="5"/>
  <c r="O64" i="5"/>
  <c r="K64" i="5"/>
  <c r="J64" i="5" s="1"/>
  <c r="W63" i="5"/>
  <c r="S63" i="5"/>
  <c r="O63" i="5"/>
  <c r="K63" i="5" s="1"/>
  <c r="J63" i="5" s="1"/>
  <c r="W62" i="5"/>
  <c r="S62" i="5"/>
  <c r="O62" i="5"/>
  <c r="K62" i="5" s="1"/>
  <c r="J62" i="5" s="1"/>
  <c r="W61" i="5"/>
  <c r="S61" i="5"/>
  <c r="O61" i="5"/>
  <c r="K61" i="5" s="1"/>
  <c r="J61" i="5" s="1"/>
  <c r="W60" i="5"/>
  <c r="S60" i="5"/>
  <c r="O60" i="5"/>
  <c r="K60" i="5"/>
  <c r="J60" i="5"/>
  <c r="W59" i="5"/>
  <c r="S59" i="5"/>
  <c r="O59" i="5"/>
  <c r="K59" i="5" s="1"/>
  <c r="J59" i="5" s="1"/>
  <c r="W58" i="5"/>
  <c r="S58" i="5"/>
  <c r="K58" i="5" s="1"/>
  <c r="J58" i="5" s="1"/>
  <c r="O58" i="5"/>
  <c r="W57" i="5"/>
  <c r="S57" i="5"/>
  <c r="K57" i="5" s="1"/>
  <c r="O57" i="5"/>
  <c r="J57" i="5"/>
  <c r="W56" i="5"/>
  <c r="S56" i="5"/>
  <c r="K56" i="5" s="1"/>
  <c r="J56" i="5" s="1"/>
  <c r="O56" i="5"/>
  <c r="W55" i="5"/>
  <c r="S55" i="5"/>
  <c r="O55" i="5"/>
  <c r="K55" i="5"/>
  <c r="J55" i="5" s="1"/>
  <c r="W54" i="5"/>
  <c r="S54" i="5"/>
  <c r="O54" i="5"/>
  <c r="W53" i="5"/>
  <c r="K53" i="5" s="1"/>
  <c r="J53" i="5" s="1"/>
  <c r="S53" i="5"/>
  <c r="O53" i="5"/>
  <c r="W52" i="5"/>
  <c r="S52" i="5"/>
  <c r="O52" i="5"/>
  <c r="K52" i="5"/>
  <c r="J52" i="5" s="1"/>
  <c r="W51" i="5"/>
  <c r="S51" i="5"/>
  <c r="O51" i="5"/>
  <c r="K51" i="5" s="1"/>
  <c r="J51" i="5" s="1"/>
  <c r="W50" i="5"/>
  <c r="S50" i="5"/>
  <c r="O50" i="5"/>
  <c r="K50" i="5" s="1"/>
  <c r="J50" i="5" s="1"/>
  <c r="W49" i="5"/>
  <c r="S49" i="5"/>
  <c r="O49" i="5"/>
  <c r="K49" i="5" s="1"/>
  <c r="J49" i="5" s="1"/>
  <c r="W48" i="5"/>
  <c r="S48" i="5"/>
  <c r="O48" i="5"/>
  <c r="K48" i="5"/>
  <c r="J48" i="5"/>
  <c r="W47" i="5"/>
  <c r="S47" i="5"/>
  <c r="O47" i="5"/>
  <c r="K47" i="5" s="1"/>
  <c r="J47" i="5" s="1"/>
  <c r="W46" i="5"/>
  <c r="S46" i="5"/>
  <c r="K46" i="5" s="1"/>
  <c r="J46" i="5" s="1"/>
  <c r="O46" i="5"/>
  <c r="W45" i="5"/>
  <c r="S45" i="5"/>
  <c r="O45" i="5"/>
  <c r="J45" i="5"/>
  <c r="W44" i="5"/>
  <c r="S44" i="5"/>
  <c r="O44" i="5"/>
  <c r="J44" i="5"/>
  <c r="W43" i="5"/>
  <c r="S43" i="5"/>
  <c r="O43" i="5"/>
  <c r="J43" i="5"/>
  <c r="W42" i="5"/>
  <c r="S42" i="5"/>
  <c r="O42" i="5"/>
  <c r="J42" i="5"/>
  <c r="W41" i="5"/>
  <c r="S41" i="5"/>
  <c r="O41" i="5"/>
  <c r="J41" i="5"/>
  <c r="W40" i="5"/>
  <c r="S40" i="5"/>
  <c r="O40" i="5"/>
  <c r="J40" i="5"/>
  <c r="W39" i="5"/>
  <c r="S39" i="5"/>
  <c r="O39" i="5"/>
  <c r="J39" i="5"/>
  <c r="W38" i="5"/>
  <c r="S38" i="5"/>
  <c r="O38" i="5"/>
  <c r="J38" i="5"/>
  <c r="W37" i="5"/>
  <c r="S37" i="5"/>
  <c r="O37" i="5"/>
  <c r="J37" i="5"/>
  <c r="W36" i="5"/>
  <c r="S36" i="5"/>
  <c r="O36" i="5"/>
  <c r="J36" i="5"/>
  <c r="W35" i="5"/>
  <c r="S35" i="5"/>
  <c r="O35" i="5"/>
  <c r="J35" i="5"/>
  <c r="W34" i="5"/>
  <c r="K34" i="5" s="1"/>
  <c r="J34" i="5" s="1"/>
  <c r="S34" i="5"/>
  <c r="O34" i="5"/>
  <c r="W33" i="5"/>
  <c r="S33" i="5"/>
  <c r="O33" i="5"/>
  <c r="J33" i="5"/>
  <c r="W32" i="5"/>
  <c r="S32" i="5"/>
  <c r="O32" i="5"/>
  <c r="J32" i="5"/>
  <c r="W31" i="5"/>
  <c r="O31" i="5"/>
  <c r="K31" i="5"/>
  <c r="J31" i="5"/>
  <c r="W30" i="5"/>
  <c r="S30" i="5"/>
  <c r="O30" i="5"/>
  <c r="J30" i="5"/>
  <c r="W29" i="5"/>
  <c r="S29" i="5"/>
  <c r="O29" i="5"/>
  <c r="J29" i="5"/>
  <c r="W28" i="5"/>
  <c r="S28" i="5"/>
  <c r="O28" i="5"/>
  <c r="J28" i="5"/>
  <c r="W27" i="5"/>
  <c r="S27" i="5"/>
  <c r="O27" i="5"/>
  <c r="J27" i="5"/>
  <c r="W26" i="5"/>
  <c r="S26" i="5"/>
  <c r="O26" i="5"/>
  <c r="J26" i="5"/>
  <c r="W25" i="5"/>
  <c r="S25" i="5"/>
  <c r="K25" i="5"/>
  <c r="J25" i="5"/>
  <c r="W24" i="5"/>
  <c r="S24" i="5"/>
  <c r="K24" i="5" s="1"/>
  <c r="J24" i="5" s="1"/>
  <c r="W23" i="5"/>
  <c r="S23" i="5"/>
  <c r="O23" i="5"/>
  <c r="J23" i="5"/>
  <c r="W22" i="5"/>
  <c r="K22" i="5"/>
  <c r="J22" i="5"/>
  <c r="W21" i="5"/>
  <c r="O21" i="5"/>
  <c r="K21" i="5" s="1"/>
  <c r="J21" i="5" s="1"/>
  <c r="W20" i="5"/>
  <c r="K20" i="5" s="1"/>
  <c r="J20" i="5" s="1"/>
  <c r="W19" i="5"/>
  <c r="S19" i="5"/>
  <c r="J19" i="5"/>
  <c r="W18" i="5"/>
  <c r="S18" i="5"/>
  <c r="O18" i="5"/>
  <c r="K18" i="5"/>
  <c r="J18" i="5" s="1"/>
  <c r="W17" i="5"/>
  <c r="S17" i="5"/>
  <c r="O17" i="5"/>
  <c r="K17" i="5" s="1"/>
  <c r="J17" i="5" s="1"/>
  <c r="W16" i="5"/>
  <c r="S16" i="5"/>
  <c r="O16" i="5"/>
  <c r="J16" i="5"/>
  <c r="W15" i="5"/>
  <c r="S15" i="5"/>
  <c r="O15" i="5"/>
  <c r="J15" i="5"/>
  <c r="W14" i="5"/>
  <c r="S14" i="5"/>
  <c r="O14" i="5"/>
  <c r="W13" i="5"/>
  <c r="O13" i="5"/>
  <c r="K13" i="5"/>
  <c r="J13" i="5"/>
  <c r="W12" i="5"/>
  <c r="O12" i="5"/>
  <c r="K12" i="5" s="1"/>
  <c r="J12" i="5"/>
  <c r="O11" i="5"/>
  <c r="K11" i="5" s="1"/>
  <c r="J11" i="5" s="1"/>
  <c r="K10" i="5"/>
  <c r="J10" i="5" s="1"/>
  <c r="W9" i="5"/>
  <c r="S9" i="5"/>
  <c r="K9" i="5"/>
  <c r="J9" i="5"/>
  <c r="W8" i="5"/>
  <c r="S8" i="5"/>
  <c r="O8" i="5"/>
  <c r="K8" i="5" s="1"/>
  <c r="J8" i="5" s="1"/>
  <c r="K7" i="5"/>
  <c r="J7" i="5"/>
  <c r="S6" i="5"/>
  <c r="O6" i="5"/>
  <c r="K6" i="5"/>
  <c r="J6" i="5"/>
  <c r="W5" i="5"/>
  <c r="O5" i="5"/>
  <c r="K5" i="5" s="1"/>
  <c r="J5" i="5"/>
  <c r="K4" i="5"/>
  <c r="K3" i="5"/>
  <c r="J3" i="5"/>
  <c r="AA1" i="5"/>
  <c r="Z1" i="5"/>
  <c r="Y1" i="5"/>
  <c r="U91" i="4"/>
  <c r="R91" i="4"/>
  <c r="O91" i="4"/>
  <c r="K91" i="4" s="1"/>
  <c r="J91" i="4" s="1"/>
  <c r="U90" i="4"/>
  <c r="R90" i="4"/>
  <c r="O90" i="4"/>
  <c r="K90" i="4"/>
  <c r="J90" i="4"/>
  <c r="U89" i="4"/>
  <c r="R89" i="4"/>
  <c r="O89" i="4"/>
  <c r="K89" i="4" s="1"/>
  <c r="J89" i="4" s="1"/>
  <c r="U88" i="4"/>
  <c r="R88" i="4"/>
  <c r="O88" i="4"/>
  <c r="K88" i="4"/>
  <c r="J88" i="4"/>
  <c r="U87" i="4"/>
  <c r="R87" i="4"/>
  <c r="O87" i="4"/>
  <c r="K87" i="4" s="1"/>
  <c r="J87" i="4" s="1"/>
  <c r="U86" i="4"/>
  <c r="R86" i="4"/>
  <c r="O86" i="4"/>
  <c r="K86" i="4"/>
  <c r="J86" i="4"/>
  <c r="U85" i="4"/>
  <c r="R85" i="4"/>
  <c r="O85" i="4"/>
  <c r="K85" i="4" s="1"/>
  <c r="J85" i="4" s="1"/>
  <c r="U84" i="4"/>
  <c r="R84" i="4"/>
  <c r="O84" i="4"/>
  <c r="K84" i="4"/>
  <c r="J84" i="4"/>
  <c r="U83" i="4"/>
  <c r="R83" i="4"/>
  <c r="O83" i="4"/>
  <c r="K83" i="4" s="1"/>
  <c r="J83" i="4" s="1"/>
  <c r="U82" i="4"/>
  <c r="R82" i="4"/>
  <c r="O82" i="4"/>
  <c r="K82" i="4"/>
  <c r="J82" i="4"/>
  <c r="U81" i="4"/>
  <c r="R81" i="4"/>
  <c r="O81" i="4"/>
  <c r="K81" i="4" s="1"/>
  <c r="J81" i="4" s="1"/>
  <c r="U80" i="4"/>
  <c r="R80" i="4"/>
  <c r="O80" i="4"/>
  <c r="K80" i="4"/>
  <c r="J80" i="4"/>
  <c r="U79" i="4"/>
  <c r="R79" i="4"/>
  <c r="O79" i="4"/>
  <c r="K79" i="4" s="1"/>
  <c r="J79" i="4" s="1"/>
  <c r="U78" i="4"/>
  <c r="R78" i="4"/>
  <c r="O78" i="4"/>
  <c r="K78" i="4"/>
  <c r="J78" i="4"/>
  <c r="U77" i="4"/>
  <c r="R77" i="4"/>
  <c r="O77" i="4"/>
  <c r="K77" i="4" s="1"/>
  <c r="J77" i="4" s="1"/>
  <c r="U76" i="4"/>
  <c r="R76" i="4"/>
  <c r="O76" i="4"/>
  <c r="K76" i="4"/>
  <c r="J76" i="4"/>
  <c r="U75" i="4"/>
  <c r="R75" i="4"/>
  <c r="O75" i="4"/>
  <c r="K75" i="4" s="1"/>
  <c r="J75" i="4" s="1"/>
  <c r="U74" i="4"/>
  <c r="R74" i="4"/>
  <c r="O74" i="4"/>
  <c r="K74" i="4"/>
  <c r="J74" i="4"/>
  <c r="U73" i="4"/>
  <c r="R73" i="4"/>
  <c r="O73" i="4"/>
  <c r="K73" i="4" s="1"/>
  <c r="J73" i="4" s="1"/>
  <c r="U72" i="4"/>
  <c r="R72" i="4"/>
  <c r="O72" i="4"/>
  <c r="K72" i="4"/>
  <c r="J72" i="4"/>
  <c r="U71" i="4"/>
  <c r="R71" i="4"/>
  <c r="O71" i="4"/>
  <c r="K71" i="4" s="1"/>
  <c r="J71" i="4" s="1"/>
  <c r="U70" i="4"/>
  <c r="R70" i="4"/>
  <c r="O70" i="4"/>
  <c r="K70" i="4"/>
  <c r="J70" i="4"/>
  <c r="U69" i="4"/>
  <c r="R69" i="4"/>
  <c r="O69" i="4"/>
  <c r="K69" i="4" s="1"/>
  <c r="J69" i="4" s="1"/>
  <c r="U68" i="4"/>
  <c r="R68" i="4"/>
  <c r="O68" i="4"/>
  <c r="K68" i="4"/>
  <c r="J68" i="4"/>
  <c r="U67" i="4"/>
  <c r="R67" i="4"/>
  <c r="O67" i="4"/>
  <c r="K67" i="4" s="1"/>
  <c r="J67" i="4" s="1"/>
  <c r="U66" i="4"/>
  <c r="R66" i="4"/>
  <c r="O66" i="4"/>
  <c r="K66" i="4"/>
  <c r="J66" i="4"/>
  <c r="U65" i="4"/>
  <c r="R65" i="4"/>
  <c r="O65" i="4"/>
  <c r="K65" i="4" s="1"/>
  <c r="J65" i="4" s="1"/>
  <c r="U64" i="4"/>
  <c r="R64" i="4"/>
  <c r="O64" i="4"/>
  <c r="K64" i="4"/>
  <c r="J64" i="4"/>
  <c r="V63" i="4"/>
  <c r="U63" i="4"/>
  <c r="R63" i="4"/>
  <c r="O63" i="4"/>
  <c r="K63" i="4" s="1"/>
  <c r="J63" i="4" s="1"/>
  <c r="U62" i="4"/>
  <c r="R62" i="4"/>
  <c r="O62" i="4"/>
  <c r="K62" i="4"/>
  <c r="J62" i="4"/>
  <c r="U61" i="4"/>
  <c r="R61" i="4"/>
  <c r="O61" i="4"/>
  <c r="K61" i="4" s="1"/>
  <c r="J61" i="4" s="1"/>
  <c r="U60" i="4"/>
  <c r="R60" i="4"/>
  <c r="O60" i="4"/>
  <c r="K60" i="4"/>
  <c r="J60" i="4"/>
  <c r="U59" i="4"/>
  <c r="R59" i="4"/>
  <c r="O59" i="4"/>
  <c r="U58" i="4"/>
  <c r="R58" i="4"/>
  <c r="O58" i="4"/>
  <c r="K58" i="4"/>
  <c r="J58" i="4"/>
  <c r="U57" i="4"/>
  <c r="R57" i="4"/>
  <c r="O57" i="4"/>
  <c r="K57" i="4" s="1"/>
  <c r="J57" i="4" s="1"/>
  <c r="U56" i="4"/>
  <c r="R56" i="4"/>
  <c r="O56" i="4"/>
  <c r="K56" i="4"/>
  <c r="J56" i="4"/>
  <c r="U55" i="4"/>
  <c r="R55" i="4"/>
  <c r="O55" i="4"/>
  <c r="K55" i="4" s="1"/>
  <c r="J55" i="4" s="1"/>
  <c r="V54" i="4"/>
  <c r="U54" i="4"/>
  <c r="R54" i="4"/>
  <c r="O54" i="4"/>
  <c r="K54" i="4"/>
  <c r="J54" i="4"/>
  <c r="V53" i="4"/>
  <c r="U53" i="4"/>
  <c r="R53" i="4"/>
  <c r="O53" i="4"/>
  <c r="K53" i="4" s="1"/>
  <c r="J53" i="4" s="1"/>
  <c r="U52" i="4"/>
  <c r="R52" i="4"/>
  <c r="O52" i="4"/>
  <c r="K52" i="4"/>
  <c r="J52" i="4"/>
  <c r="U51" i="4"/>
  <c r="R51" i="4"/>
  <c r="O51" i="4"/>
  <c r="U50" i="4"/>
  <c r="R50" i="4"/>
  <c r="O50" i="4"/>
  <c r="K50" i="4"/>
  <c r="J50" i="4"/>
  <c r="U49" i="4"/>
  <c r="R49" i="4"/>
  <c r="O49" i="4"/>
  <c r="K49" i="4" s="1"/>
  <c r="J49" i="4" s="1"/>
  <c r="V48" i="4"/>
  <c r="U48" i="4"/>
  <c r="R48" i="4"/>
  <c r="O48" i="4"/>
  <c r="K48" i="4"/>
  <c r="J48" i="4"/>
  <c r="V47" i="4"/>
  <c r="U47" i="4"/>
  <c r="R47" i="4"/>
  <c r="O47" i="4"/>
  <c r="K47" i="4" s="1"/>
  <c r="J47" i="4" s="1"/>
  <c r="U46" i="4"/>
  <c r="R46" i="4"/>
  <c r="O46" i="4"/>
  <c r="K46" i="4"/>
  <c r="J46" i="4"/>
  <c r="V45" i="4"/>
  <c r="U45" i="4"/>
  <c r="R45" i="4"/>
  <c r="O45" i="4"/>
  <c r="U44" i="4"/>
  <c r="R44" i="4"/>
  <c r="O44" i="4"/>
  <c r="K44" i="4"/>
  <c r="J44" i="4"/>
  <c r="U43" i="4"/>
  <c r="R43" i="4"/>
  <c r="O43" i="4"/>
  <c r="K43" i="4" s="1"/>
  <c r="J43" i="4" s="1"/>
  <c r="U42" i="4"/>
  <c r="R42" i="4"/>
  <c r="O42" i="4"/>
  <c r="K42" i="4"/>
  <c r="J42" i="4"/>
  <c r="U41" i="4"/>
  <c r="R41" i="4"/>
  <c r="O41" i="4"/>
  <c r="U40" i="4"/>
  <c r="R40" i="4"/>
  <c r="K40" i="4"/>
  <c r="J40" i="4"/>
  <c r="V39" i="4"/>
  <c r="U39" i="4"/>
  <c r="O39" i="4"/>
  <c r="K39" i="4"/>
  <c r="J39" i="4" s="1"/>
  <c r="V38" i="4"/>
  <c r="R38" i="4"/>
  <c r="O38" i="4"/>
  <c r="K38" i="4" s="1"/>
  <c r="J38" i="4" s="1"/>
  <c r="R37" i="4"/>
  <c r="O37" i="4"/>
  <c r="K37" i="4" s="1"/>
  <c r="J37" i="4" s="1"/>
  <c r="V36" i="4"/>
  <c r="K36" i="4"/>
  <c r="J36" i="4" s="1"/>
  <c r="V35" i="4"/>
  <c r="R35" i="4"/>
  <c r="O35" i="4"/>
  <c r="K35" i="4" s="1"/>
  <c r="J35" i="4" s="1"/>
  <c r="V34" i="4"/>
  <c r="R34" i="4"/>
  <c r="O34" i="4"/>
  <c r="K34" i="4" s="1"/>
  <c r="J34" i="4"/>
  <c r="V33" i="4"/>
  <c r="O33" i="4"/>
  <c r="K33" i="4" s="1"/>
  <c r="J33" i="4" s="1"/>
  <c r="V32" i="4"/>
  <c r="O32" i="4"/>
  <c r="K32" i="4"/>
  <c r="J32" i="4"/>
  <c r="V31" i="4"/>
  <c r="O31" i="4"/>
  <c r="K31" i="4" s="1"/>
  <c r="J31" i="4" s="1"/>
  <c r="V30" i="4"/>
  <c r="O30" i="4"/>
  <c r="K30" i="4" s="1"/>
  <c r="J30" i="4" s="1"/>
  <c r="V29" i="4"/>
  <c r="O29" i="4"/>
  <c r="K29" i="4"/>
  <c r="J29" i="4"/>
  <c r="V28" i="4"/>
  <c r="O28" i="4"/>
  <c r="K28" i="4" s="1"/>
  <c r="J28" i="4"/>
  <c r="V27" i="4"/>
  <c r="O27" i="4"/>
  <c r="K27" i="4" s="1"/>
  <c r="J27" i="4" s="1"/>
  <c r="V26" i="4"/>
  <c r="U26" i="4"/>
  <c r="R26" i="4"/>
  <c r="K26" i="4"/>
  <c r="J26" i="4"/>
  <c r="V25" i="4"/>
  <c r="O25" i="4"/>
  <c r="K25" i="4"/>
  <c r="J25" i="4"/>
  <c r="V24" i="4"/>
  <c r="O24" i="4"/>
  <c r="K24" i="4"/>
  <c r="J24" i="4" s="1"/>
  <c r="V23" i="4"/>
  <c r="R23" i="4"/>
  <c r="K23" i="4"/>
  <c r="J23" i="4"/>
  <c r="V22" i="4"/>
  <c r="R22" i="4"/>
  <c r="K22" i="4"/>
  <c r="J22" i="4"/>
  <c r="V21" i="4"/>
  <c r="R21" i="4"/>
  <c r="O21" i="4"/>
  <c r="K21" i="4" s="1"/>
  <c r="J21" i="4" s="1"/>
  <c r="V20" i="4"/>
  <c r="R20" i="4"/>
  <c r="O20" i="4"/>
  <c r="K20" i="4" s="1"/>
  <c r="J20" i="4" s="1"/>
  <c r="V19" i="4"/>
  <c r="R19" i="4"/>
  <c r="J19" i="4"/>
  <c r="V18" i="4"/>
  <c r="R18" i="4"/>
  <c r="K18" i="4" s="1"/>
  <c r="J18" i="4" s="1"/>
  <c r="V17" i="4"/>
  <c r="R17" i="4"/>
  <c r="O17" i="4"/>
  <c r="K17" i="4" s="1"/>
  <c r="J17" i="4" s="1"/>
  <c r="V16" i="4"/>
  <c r="K16" i="4"/>
  <c r="J16" i="4" s="1"/>
  <c r="V15" i="4"/>
  <c r="R15" i="4"/>
  <c r="O15" i="4"/>
  <c r="K15" i="4" s="1"/>
  <c r="J15" i="4" s="1"/>
  <c r="V14" i="4"/>
  <c r="R14" i="4"/>
  <c r="O14" i="4"/>
  <c r="K14" i="4" s="1"/>
  <c r="J14" i="4"/>
  <c r="V13" i="4"/>
  <c r="R13" i="4"/>
  <c r="J13" i="4"/>
  <c r="V12" i="4"/>
  <c r="R12" i="4"/>
  <c r="J12" i="4"/>
  <c r="V11" i="4"/>
  <c r="R11" i="4"/>
  <c r="K11" i="4"/>
  <c r="J11" i="4" s="1"/>
  <c r="R10" i="4"/>
  <c r="J10" i="4"/>
  <c r="V9" i="4"/>
  <c r="O9" i="4"/>
  <c r="K9" i="4"/>
  <c r="J9" i="4" s="1"/>
  <c r="V8" i="4"/>
  <c r="O8" i="4"/>
  <c r="K8" i="4"/>
  <c r="J8" i="4"/>
  <c r="V7" i="4"/>
  <c r="R7" i="4"/>
  <c r="J7" i="4"/>
  <c r="V6" i="4"/>
  <c r="R6" i="4"/>
  <c r="J6" i="4"/>
  <c r="V5" i="4"/>
  <c r="K5" i="4"/>
  <c r="J5" i="4" s="1"/>
  <c r="V4" i="4"/>
  <c r="R4" i="4"/>
  <c r="J4" i="4"/>
  <c r="V3" i="4"/>
  <c r="R3" i="4"/>
  <c r="J3" i="4"/>
  <c r="Y1" i="4"/>
  <c r="W1" i="4" s="1"/>
  <c r="X1" i="4"/>
  <c r="T91" i="3"/>
  <c r="V91" i="4" s="1"/>
  <c r="N91" i="3"/>
  <c r="K91" i="3"/>
  <c r="J91" i="3"/>
  <c r="T90" i="3"/>
  <c r="V90" i="4" s="1"/>
  <c r="N90" i="3"/>
  <c r="K90" i="3"/>
  <c r="J90" i="3" s="1"/>
  <c r="T89" i="3"/>
  <c r="V89" i="4" s="1"/>
  <c r="N89" i="3"/>
  <c r="K89" i="3"/>
  <c r="J89" i="3" s="1"/>
  <c r="T88" i="3"/>
  <c r="V88" i="4" s="1"/>
  <c r="N88" i="3"/>
  <c r="K88" i="3"/>
  <c r="J88" i="3"/>
  <c r="T87" i="3"/>
  <c r="V87" i="4" s="1"/>
  <c r="N87" i="3"/>
  <c r="T86" i="3"/>
  <c r="V86" i="4" s="1"/>
  <c r="N86" i="3"/>
  <c r="K86" i="3"/>
  <c r="J86" i="3" s="1"/>
  <c r="T85" i="3"/>
  <c r="V85" i="4" s="1"/>
  <c r="N85" i="3"/>
  <c r="K85" i="3"/>
  <c r="J85" i="3"/>
  <c r="T84" i="3"/>
  <c r="V84" i="4" s="1"/>
  <c r="N84" i="3"/>
  <c r="T83" i="3"/>
  <c r="V83" i="4" s="1"/>
  <c r="N83" i="3"/>
  <c r="K83" i="3"/>
  <c r="J83" i="3" s="1"/>
  <c r="T82" i="3"/>
  <c r="V82" i="4" s="1"/>
  <c r="N82" i="3"/>
  <c r="K82" i="3"/>
  <c r="J82" i="3"/>
  <c r="T81" i="3"/>
  <c r="V81" i="4" s="1"/>
  <c r="N81" i="3"/>
  <c r="K81" i="3"/>
  <c r="J81" i="3" s="1"/>
  <c r="T80" i="3"/>
  <c r="V80" i="4" s="1"/>
  <c r="N80" i="3"/>
  <c r="K80" i="3"/>
  <c r="J80" i="3" s="1"/>
  <c r="T79" i="3"/>
  <c r="V79" i="4" s="1"/>
  <c r="N79" i="3"/>
  <c r="K79" i="3"/>
  <c r="J79" i="3"/>
  <c r="T78" i="3"/>
  <c r="V78" i="4" s="1"/>
  <c r="N78" i="3"/>
  <c r="K78" i="3"/>
  <c r="J78" i="3"/>
  <c r="T77" i="3"/>
  <c r="V77" i="4" s="1"/>
  <c r="N77" i="3"/>
  <c r="K77" i="3"/>
  <c r="J77" i="3" s="1"/>
  <c r="T76" i="3"/>
  <c r="V76" i="4" s="1"/>
  <c r="N76" i="3"/>
  <c r="K76" i="3"/>
  <c r="J76" i="3"/>
  <c r="T75" i="3"/>
  <c r="V75" i="4" s="1"/>
  <c r="N75" i="3"/>
  <c r="K75" i="3"/>
  <c r="J75" i="3"/>
  <c r="T74" i="3"/>
  <c r="V74" i="4" s="1"/>
  <c r="N74" i="3"/>
  <c r="K74" i="3"/>
  <c r="J74" i="3" s="1"/>
  <c r="T73" i="3"/>
  <c r="V73" i="4" s="1"/>
  <c r="N73" i="3"/>
  <c r="K73" i="3"/>
  <c r="J73" i="3"/>
  <c r="T72" i="3"/>
  <c r="V72" i="4" s="1"/>
  <c r="N72" i="3"/>
  <c r="T71" i="3"/>
  <c r="V71" i="4" s="1"/>
  <c r="N71" i="3"/>
  <c r="K71" i="3"/>
  <c r="J71" i="3" s="1"/>
  <c r="T70" i="3"/>
  <c r="V70" i="4" s="1"/>
  <c r="N70" i="3"/>
  <c r="K70" i="3"/>
  <c r="J70" i="3"/>
  <c r="T69" i="3"/>
  <c r="V69" i="4" s="1"/>
  <c r="N69" i="3"/>
  <c r="T68" i="3"/>
  <c r="V68" i="4" s="1"/>
  <c r="N68" i="3"/>
  <c r="K68" i="3"/>
  <c r="J68" i="3" s="1"/>
  <c r="T67" i="3"/>
  <c r="V67" i="4" s="1"/>
  <c r="N67" i="3"/>
  <c r="K67" i="3"/>
  <c r="J67" i="3" s="1"/>
  <c r="T66" i="3"/>
  <c r="V66" i="4" s="1"/>
  <c r="N66" i="3"/>
  <c r="K66" i="3"/>
  <c r="J66" i="3" s="1"/>
  <c r="T65" i="3"/>
  <c r="V65" i="4" s="1"/>
  <c r="N65" i="3"/>
  <c r="K65" i="3"/>
  <c r="J65" i="3" s="1"/>
  <c r="T64" i="3"/>
  <c r="V64" i="4" s="1"/>
  <c r="N64" i="3"/>
  <c r="K64" i="3"/>
  <c r="J64" i="3" s="1"/>
  <c r="T63" i="3"/>
  <c r="V62" i="4" s="1"/>
  <c r="N63" i="3"/>
  <c r="K63" i="3"/>
  <c r="J63" i="3"/>
  <c r="T62" i="3"/>
  <c r="V61" i="4" s="1"/>
  <c r="N62" i="3"/>
  <c r="K62" i="3"/>
  <c r="J62" i="3" s="1"/>
  <c r="T61" i="3"/>
  <c r="V60" i="4" s="1"/>
  <c r="N61" i="3"/>
  <c r="K61" i="3"/>
  <c r="J61" i="3"/>
  <c r="T60" i="3"/>
  <c r="V59" i="4" s="1"/>
  <c r="N60" i="3"/>
  <c r="K60" i="3"/>
  <c r="J60" i="3"/>
  <c r="T59" i="3"/>
  <c r="V58" i="4" s="1"/>
  <c r="N59" i="3"/>
  <c r="K59" i="3"/>
  <c r="J59" i="3" s="1"/>
  <c r="T58" i="3"/>
  <c r="V57" i="4" s="1"/>
  <c r="N58" i="3"/>
  <c r="K58" i="3"/>
  <c r="J58" i="3" s="1"/>
  <c r="T57" i="3"/>
  <c r="K57" i="3" s="1"/>
  <c r="J57" i="3" s="1"/>
  <c r="N57" i="3"/>
  <c r="T56" i="3"/>
  <c r="V56" i="4" s="1"/>
  <c r="N56" i="3"/>
  <c r="K56" i="3"/>
  <c r="J56" i="3" s="1"/>
  <c r="T55" i="3"/>
  <c r="V55" i="4" s="1"/>
  <c r="N55" i="3"/>
  <c r="K55" i="3"/>
  <c r="J55" i="3"/>
  <c r="T54" i="3"/>
  <c r="V51" i="4" s="1"/>
  <c r="N54" i="3"/>
  <c r="K54" i="3"/>
  <c r="J54" i="3" s="1"/>
  <c r="T53" i="3"/>
  <c r="N53" i="3"/>
  <c r="K53" i="3"/>
  <c r="J53" i="3" s="1"/>
  <c r="T52" i="3"/>
  <c r="V52" i="4" s="1"/>
  <c r="N52" i="3"/>
  <c r="K52" i="3"/>
  <c r="J52" i="3"/>
  <c r="T51" i="3"/>
  <c r="K51" i="3" s="1"/>
  <c r="J51" i="3" s="1"/>
  <c r="N51" i="3"/>
  <c r="T50" i="3"/>
  <c r="V50" i="4" s="1"/>
  <c r="N50" i="3"/>
  <c r="K50" i="3"/>
  <c r="J50" i="3" s="1"/>
  <c r="T49" i="3"/>
  <c r="V49" i="4" s="1"/>
  <c r="N49" i="3"/>
  <c r="K49" i="3"/>
  <c r="J49" i="3"/>
  <c r="T48" i="3"/>
  <c r="V46" i="4" s="1"/>
  <c r="N48" i="3"/>
  <c r="T47" i="3"/>
  <c r="V44" i="4" s="1"/>
  <c r="J47" i="3"/>
  <c r="T46" i="3"/>
  <c r="N46" i="3"/>
  <c r="T45" i="3"/>
  <c r="J45" i="3"/>
  <c r="T44" i="3"/>
  <c r="N44" i="3"/>
  <c r="K44" i="3"/>
  <c r="J44" i="3"/>
  <c r="T43" i="3"/>
  <c r="N43" i="3"/>
  <c r="K43" i="3"/>
  <c r="J43" i="3" s="1"/>
  <c r="T42" i="3"/>
  <c r="V42" i="4" s="1"/>
  <c r="J42" i="3"/>
  <c r="T41" i="3"/>
  <c r="V41" i="4" s="1"/>
  <c r="N41" i="3"/>
  <c r="K41" i="3" s="1"/>
  <c r="J41" i="3" s="1"/>
  <c r="T40" i="3"/>
  <c r="V40" i="4" s="1"/>
  <c r="N40" i="3"/>
  <c r="K40" i="3" s="1"/>
  <c r="J40" i="3" s="1"/>
  <c r="N39" i="3"/>
  <c r="K39" i="3" s="1"/>
  <c r="J39" i="3" s="1"/>
  <c r="T38" i="3"/>
  <c r="K38" i="3"/>
  <c r="J38" i="3"/>
  <c r="T37" i="3"/>
  <c r="T36" i="3"/>
  <c r="N36" i="3"/>
  <c r="K36" i="3" s="1"/>
  <c r="J36" i="3"/>
  <c r="T35" i="3"/>
  <c r="K35" i="3"/>
  <c r="J35" i="3"/>
  <c r="H35" i="3"/>
  <c r="K34" i="3"/>
  <c r="J34" i="3" s="1"/>
  <c r="H34" i="3"/>
  <c r="T33" i="3"/>
  <c r="N33" i="3"/>
  <c r="T32" i="3"/>
  <c r="K32" i="3" s="1"/>
  <c r="J32" i="3" s="1"/>
  <c r="N32" i="3"/>
  <c r="H32" i="3"/>
  <c r="K31" i="3"/>
  <c r="J31" i="3"/>
  <c r="H31" i="3"/>
  <c r="K30" i="3"/>
  <c r="J30" i="3"/>
  <c r="H30" i="3"/>
  <c r="K29" i="3"/>
  <c r="J29" i="3"/>
  <c r="H29" i="3"/>
  <c r="K28" i="3"/>
  <c r="J28" i="3"/>
  <c r="H28" i="3"/>
  <c r="K27" i="3"/>
  <c r="J27" i="3"/>
  <c r="H27" i="3"/>
  <c r="K26" i="3"/>
  <c r="J26" i="3"/>
  <c r="H26" i="3"/>
  <c r="T25" i="3"/>
  <c r="N25" i="3"/>
  <c r="K25" i="3" s="1"/>
  <c r="J25" i="3" s="1"/>
  <c r="K24" i="3"/>
  <c r="J24" i="3"/>
  <c r="H24" i="3"/>
  <c r="K23" i="3"/>
  <c r="J23" i="3" s="1"/>
  <c r="H23" i="3"/>
  <c r="K22" i="3"/>
  <c r="J22" i="3" s="1"/>
  <c r="H22" i="3"/>
  <c r="K21" i="3"/>
  <c r="J21" i="3" s="1"/>
  <c r="H21" i="3"/>
  <c r="K20" i="3"/>
  <c r="J20" i="3"/>
  <c r="H20" i="3"/>
  <c r="T19" i="3"/>
  <c r="N19" i="3"/>
  <c r="K19" i="3"/>
  <c r="J19" i="3"/>
  <c r="T18" i="3"/>
  <c r="K18" i="3" s="1"/>
  <c r="J18" i="3"/>
  <c r="T17" i="3"/>
  <c r="K17" i="3"/>
  <c r="J17" i="3"/>
  <c r="T16" i="3"/>
  <c r="N16" i="3"/>
  <c r="K16" i="3"/>
  <c r="J16" i="3" s="1"/>
  <c r="K15" i="3"/>
  <c r="J15" i="3"/>
  <c r="K14" i="3"/>
  <c r="J14" i="3" s="1"/>
  <c r="T13" i="3"/>
  <c r="N13" i="3"/>
  <c r="K12" i="3"/>
  <c r="J12" i="3"/>
  <c r="K11" i="3"/>
  <c r="J11" i="3" s="1"/>
  <c r="N10" i="3"/>
  <c r="K10" i="3"/>
  <c r="J10" i="3" s="1"/>
  <c r="K9" i="3"/>
  <c r="J9" i="3"/>
  <c r="N8" i="3"/>
  <c r="K8" i="3" s="1"/>
  <c r="J8" i="3"/>
  <c r="K7" i="3"/>
  <c r="J7" i="3" s="1"/>
  <c r="N6" i="3"/>
  <c r="K6" i="3" s="1"/>
  <c r="J6" i="3"/>
  <c r="K5" i="3"/>
  <c r="J5" i="3" s="1"/>
  <c r="K4" i="3"/>
  <c r="J4" i="3"/>
  <c r="N3" i="3"/>
  <c r="K3" i="3" s="1"/>
  <c r="J3" i="3"/>
  <c r="X1" i="3"/>
  <c r="W1" i="3"/>
  <c r="V1" i="3"/>
  <c r="Q1" i="3"/>
  <c r="U91" i="2"/>
  <c r="N91" i="2"/>
  <c r="K91" i="2" s="1"/>
  <c r="J91" i="2"/>
  <c r="U90" i="2"/>
  <c r="K90" i="2" s="1"/>
  <c r="J90" i="2" s="1"/>
  <c r="N90" i="2"/>
  <c r="U89" i="2"/>
  <c r="K89" i="2" s="1"/>
  <c r="J89" i="2" s="1"/>
  <c r="N89" i="2"/>
  <c r="U88" i="2"/>
  <c r="N88" i="2"/>
  <c r="K88" i="2" s="1"/>
  <c r="J88" i="2" s="1"/>
  <c r="U87" i="2"/>
  <c r="N87" i="2"/>
  <c r="K87" i="2"/>
  <c r="J87" i="2" s="1"/>
  <c r="U86" i="2"/>
  <c r="K86" i="2" s="1"/>
  <c r="J86" i="2" s="1"/>
  <c r="N86" i="2"/>
  <c r="U85" i="2"/>
  <c r="N85" i="2"/>
  <c r="U84" i="2"/>
  <c r="N84" i="2"/>
  <c r="K84" i="2" s="1"/>
  <c r="J84" i="2" s="1"/>
  <c r="U83" i="2"/>
  <c r="N83" i="2"/>
  <c r="K83" i="2"/>
  <c r="J83" i="2" s="1"/>
  <c r="U82" i="2"/>
  <c r="N82" i="2"/>
  <c r="U81" i="2"/>
  <c r="K81" i="2" s="1"/>
  <c r="J81" i="2" s="1"/>
  <c r="N81" i="2"/>
  <c r="U80" i="2"/>
  <c r="N80" i="2"/>
  <c r="K80" i="2" s="1"/>
  <c r="J80" i="2" s="1"/>
  <c r="U79" i="2"/>
  <c r="N79" i="2"/>
  <c r="K79" i="2" s="1"/>
  <c r="J79" i="2"/>
  <c r="U78" i="2"/>
  <c r="K78" i="2" s="1"/>
  <c r="J78" i="2" s="1"/>
  <c r="N78" i="2"/>
  <c r="U77" i="2"/>
  <c r="K77" i="2" s="1"/>
  <c r="J77" i="2" s="1"/>
  <c r="N77" i="2"/>
  <c r="U76" i="2"/>
  <c r="N76" i="2"/>
  <c r="K76" i="2" s="1"/>
  <c r="J76" i="2" s="1"/>
  <c r="U75" i="2"/>
  <c r="N75" i="2"/>
  <c r="K75" i="2"/>
  <c r="J75" i="2" s="1"/>
  <c r="U74" i="2"/>
  <c r="K74" i="2" s="1"/>
  <c r="J74" i="2" s="1"/>
  <c r="N74" i="2"/>
  <c r="U73" i="2"/>
  <c r="N73" i="2"/>
  <c r="U72" i="2"/>
  <c r="N72" i="2"/>
  <c r="K72" i="2" s="1"/>
  <c r="J72" i="2" s="1"/>
  <c r="U71" i="2"/>
  <c r="N71" i="2"/>
  <c r="K71" i="2"/>
  <c r="J71" i="2" s="1"/>
  <c r="U70" i="2"/>
  <c r="N70" i="2"/>
  <c r="U69" i="2"/>
  <c r="K69" i="2" s="1"/>
  <c r="J69" i="2" s="1"/>
  <c r="N69" i="2"/>
  <c r="U68" i="2"/>
  <c r="N68" i="2"/>
  <c r="K68" i="2" s="1"/>
  <c r="J68" i="2" s="1"/>
  <c r="U67" i="2"/>
  <c r="N67" i="2"/>
  <c r="K67" i="2" s="1"/>
  <c r="J67" i="2"/>
  <c r="U66" i="2"/>
  <c r="K66" i="2" s="1"/>
  <c r="J66" i="2" s="1"/>
  <c r="N66" i="2"/>
  <c r="U65" i="2"/>
  <c r="N65" i="2"/>
  <c r="K65" i="2" s="1"/>
  <c r="J65" i="2" s="1"/>
  <c r="U64" i="2"/>
  <c r="N64" i="2"/>
  <c r="K64" i="2" s="1"/>
  <c r="J64" i="2" s="1"/>
  <c r="U63" i="2"/>
  <c r="N63" i="2"/>
  <c r="K63" i="2"/>
  <c r="J63" i="2" s="1"/>
  <c r="U62" i="2"/>
  <c r="K62" i="2" s="1"/>
  <c r="J62" i="2" s="1"/>
  <c r="N62" i="2"/>
  <c r="U61" i="2"/>
  <c r="N61" i="2"/>
  <c r="U60" i="2"/>
  <c r="N60" i="2"/>
  <c r="K60" i="2" s="1"/>
  <c r="J60" i="2" s="1"/>
  <c r="U59" i="2"/>
  <c r="N59" i="2"/>
  <c r="K59" i="2"/>
  <c r="J59" i="2" s="1"/>
  <c r="U58" i="2"/>
  <c r="N58" i="2"/>
  <c r="U57" i="2"/>
  <c r="N57" i="2"/>
  <c r="K57" i="2" s="1"/>
  <c r="J57" i="2" s="1"/>
  <c r="U56" i="2"/>
  <c r="N56" i="2"/>
  <c r="K56" i="2" s="1"/>
  <c r="J56" i="2" s="1"/>
  <c r="U55" i="2"/>
  <c r="N55" i="2"/>
  <c r="K55" i="2" s="1"/>
  <c r="J55" i="2"/>
  <c r="U54" i="2"/>
  <c r="K54" i="2" s="1"/>
  <c r="J54" i="2" s="1"/>
  <c r="N54" i="2"/>
  <c r="U53" i="2"/>
  <c r="N53" i="2"/>
  <c r="K53" i="2" s="1"/>
  <c r="J53" i="2" s="1"/>
  <c r="U52" i="2"/>
  <c r="N52" i="2"/>
  <c r="K52" i="2" s="1"/>
  <c r="J52" i="2" s="1"/>
  <c r="U51" i="2"/>
  <c r="N51" i="2"/>
  <c r="K51" i="2"/>
  <c r="J51" i="2" s="1"/>
  <c r="U50" i="2"/>
  <c r="K50" i="2" s="1"/>
  <c r="J50" i="2" s="1"/>
  <c r="N50" i="2"/>
  <c r="U49" i="2"/>
  <c r="N49" i="2"/>
  <c r="K49" i="2" s="1"/>
  <c r="J49" i="2" s="1"/>
  <c r="U48" i="2"/>
  <c r="K48" i="2" s="1"/>
  <c r="J48" i="2" s="1"/>
  <c r="N48" i="2"/>
  <c r="U47" i="2"/>
  <c r="N47" i="2"/>
  <c r="K47" i="2" s="1"/>
  <c r="J47" i="2" s="1"/>
  <c r="U46" i="2"/>
  <c r="N46" i="2"/>
  <c r="K46" i="2" s="1"/>
  <c r="J46" i="2" s="1"/>
  <c r="U45" i="2"/>
  <c r="N45" i="2"/>
  <c r="K45" i="2" s="1"/>
  <c r="J45" i="2" s="1"/>
  <c r="U44" i="2"/>
  <c r="K44" i="2"/>
  <c r="J44" i="2"/>
  <c r="U43" i="2"/>
  <c r="N43" i="2"/>
  <c r="K43" i="2"/>
  <c r="J43" i="2" s="1"/>
  <c r="U42" i="2"/>
  <c r="N42" i="2"/>
  <c r="K42" i="2"/>
  <c r="J42" i="2" s="1"/>
  <c r="U41" i="2"/>
  <c r="N41" i="2"/>
  <c r="K41" i="2"/>
  <c r="J41" i="2"/>
  <c r="U40" i="2"/>
  <c r="N40" i="2"/>
  <c r="K40" i="2"/>
  <c r="J40" i="2" s="1"/>
  <c r="U39" i="2"/>
  <c r="N39" i="2"/>
  <c r="K39" i="2"/>
  <c r="J39" i="2" s="1"/>
  <c r="U38" i="2"/>
  <c r="N38" i="2"/>
  <c r="K38" i="2"/>
  <c r="J38" i="2"/>
  <c r="U37" i="2"/>
  <c r="N37" i="2"/>
  <c r="K37" i="2"/>
  <c r="J37" i="2" s="1"/>
  <c r="U36" i="2"/>
  <c r="N36" i="2"/>
  <c r="J36" i="2"/>
  <c r="U35" i="2"/>
  <c r="N35" i="2"/>
  <c r="K35" i="2"/>
  <c r="J35" i="2"/>
  <c r="U34" i="2"/>
  <c r="K34" i="2" s="1"/>
  <c r="J34" i="2" s="1"/>
  <c r="N34" i="2"/>
  <c r="K33" i="2"/>
  <c r="J33" i="2" s="1"/>
  <c r="K32" i="2"/>
  <c r="J32" i="2"/>
  <c r="U31" i="2"/>
  <c r="N31" i="2"/>
  <c r="K31" i="2"/>
  <c r="J31" i="2"/>
  <c r="U30" i="2"/>
  <c r="K30" i="2" s="1"/>
  <c r="J30" i="2" s="1"/>
  <c r="N30" i="2"/>
  <c r="U29" i="2"/>
  <c r="N29" i="2"/>
  <c r="K29" i="2"/>
  <c r="J29" i="2"/>
  <c r="U28" i="2"/>
  <c r="J28" i="2"/>
  <c r="U27" i="2"/>
  <c r="N27" i="2"/>
  <c r="J27" i="2"/>
  <c r="U26" i="2"/>
  <c r="N26" i="2"/>
  <c r="J26" i="2"/>
  <c r="J25" i="2"/>
  <c r="U24" i="2"/>
  <c r="J24" i="2"/>
  <c r="J23" i="2"/>
  <c r="U22" i="2"/>
  <c r="N22" i="2"/>
  <c r="J22" i="2"/>
  <c r="U21" i="2"/>
  <c r="N21" i="2"/>
  <c r="J21" i="2"/>
  <c r="U20" i="2"/>
  <c r="N20" i="2"/>
  <c r="J20" i="2"/>
  <c r="U19" i="2"/>
  <c r="K19" i="2"/>
  <c r="J19" i="2"/>
  <c r="K18" i="2"/>
  <c r="J18" i="2"/>
  <c r="K17" i="2"/>
  <c r="J17" i="2"/>
  <c r="K16" i="2"/>
  <c r="J16" i="2" s="1"/>
  <c r="K15" i="2"/>
  <c r="J15" i="2"/>
  <c r="U14" i="2"/>
  <c r="K14" i="2"/>
  <c r="J14" i="2"/>
  <c r="K13" i="2"/>
  <c r="J13" i="2" s="1"/>
  <c r="K12" i="2"/>
  <c r="J12" i="2"/>
  <c r="U11" i="2"/>
  <c r="K11" i="2"/>
  <c r="J11" i="2" s="1"/>
  <c r="U10" i="2"/>
  <c r="K10" i="2"/>
  <c r="J10" i="2" s="1"/>
  <c r="K9" i="2"/>
  <c r="J9" i="2"/>
  <c r="K8" i="2"/>
  <c r="J8" i="2" s="1"/>
  <c r="U7" i="2"/>
  <c r="N7" i="2"/>
  <c r="N1" i="2" s="1"/>
  <c r="K7" i="2"/>
  <c r="J7" i="2"/>
  <c r="K6" i="2"/>
  <c r="J6" i="2"/>
  <c r="K5" i="2"/>
  <c r="J5" i="2" s="1"/>
  <c r="K4" i="2"/>
  <c r="J4" i="2"/>
  <c r="U3" i="2"/>
  <c r="U1" i="2" s="1"/>
  <c r="X1" i="2"/>
  <c r="W1" i="2"/>
  <c r="V1" i="2"/>
  <c r="R1" i="2"/>
  <c r="W91" i="1"/>
  <c r="O91" i="1"/>
  <c r="L91" i="1" s="1"/>
  <c r="K91" i="1" s="1"/>
  <c r="W90" i="1"/>
  <c r="O90" i="1"/>
  <c r="L90" i="1"/>
  <c r="K90" i="1" s="1"/>
  <c r="W89" i="1"/>
  <c r="O89" i="1"/>
  <c r="L89" i="1" s="1"/>
  <c r="K89" i="1" s="1"/>
  <c r="W88" i="1"/>
  <c r="O88" i="1"/>
  <c r="L88" i="1" s="1"/>
  <c r="K88" i="1" s="1"/>
  <c r="W87" i="1"/>
  <c r="O87" i="1"/>
  <c r="L87" i="1"/>
  <c r="K87" i="1" s="1"/>
  <c r="W86" i="1"/>
  <c r="O86" i="1"/>
  <c r="L86" i="1" s="1"/>
  <c r="K86" i="1" s="1"/>
  <c r="W85" i="1"/>
  <c r="O85" i="1"/>
  <c r="L85" i="1" s="1"/>
  <c r="K85" i="1" s="1"/>
  <c r="W84" i="1"/>
  <c r="O84" i="1"/>
  <c r="L84" i="1"/>
  <c r="K84" i="1" s="1"/>
  <c r="W83" i="1"/>
  <c r="O83" i="1"/>
  <c r="L83" i="1" s="1"/>
  <c r="K83" i="1" s="1"/>
  <c r="W82" i="1"/>
  <c r="O82" i="1"/>
  <c r="L82" i="1" s="1"/>
  <c r="K82" i="1" s="1"/>
  <c r="W81" i="1"/>
  <c r="O81" i="1"/>
  <c r="L81" i="1"/>
  <c r="K81" i="1" s="1"/>
  <c r="W80" i="1"/>
  <c r="O80" i="1"/>
  <c r="L80" i="1" s="1"/>
  <c r="K80" i="1" s="1"/>
  <c r="W79" i="1"/>
  <c r="O79" i="1"/>
  <c r="L79" i="1" s="1"/>
  <c r="K79" i="1" s="1"/>
  <c r="W78" i="1"/>
  <c r="O78" i="1"/>
  <c r="L78" i="1"/>
  <c r="K78" i="1" s="1"/>
  <c r="W77" i="1"/>
  <c r="O77" i="1"/>
  <c r="L77" i="1" s="1"/>
  <c r="K77" i="1" s="1"/>
  <c r="W76" i="1"/>
  <c r="O76" i="1"/>
  <c r="L76" i="1" s="1"/>
  <c r="K76" i="1" s="1"/>
  <c r="W75" i="1"/>
  <c r="O75" i="1"/>
  <c r="L75" i="1"/>
  <c r="K75" i="1" s="1"/>
  <c r="W74" i="1"/>
  <c r="O74" i="1"/>
  <c r="L74" i="1" s="1"/>
  <c r="K74" i="1" s="1"/>
  <c r="W73" i="1"/>
  <c r="O73" i="1"/>
  <c r="L73" i="1" s="1"/>
  <c r="K73" i="1" s="1"/>
  <c r="W72" i="1"/>
  <c r="O72" i="1"/>
  <c r="L72" i="1"/>
  <c r="K72" i="1" s="1"/>
  <c r="W71" i="1"/>
  <c r="O71" i="1"/>
  <c r="L71" i="1" s="1"/>
  <c r="K71" i="1" s="1"/>
  <c r="W70" i="1"/>
  <c r="O70" i="1"/>
  <c r="L70" i="1" s="1"/>
  <c r="K70" i="1" s="1"/>
  <c r="W69" i="1"/>
  <c r="O69" i="1"/>
  <c r="L69" i="1"/>
  <c r="K69" i="1" s="1"/>
  <c r="W68" i="1"/>
  <c r="O68" i="1"/>
  <c r="L68" i="1" s="1"/>
  <c r="K68" i="1" s="1"/>
  <c r="W67" i="1"/>
  <c r="O67" i="1"/>
  <c r="L67" i="1" s="1"/>
  <c r="K67" i="1" s="1"/>
  <c r="W66" i="1"/>
  <c r="O66" i="1"/>
  <c r="L66" i="1"/>
  <c r="K66" i="1" s="1"/>
  <c r="W65" i="1"/>
  <c r="O65" i="1"/>
  <c r="L65" i="1" s="1"/>
  <c r="K65" i="1" s="1"/>
  <c r="W64" i="1"/>
  <c r="O64" i="1"/>
  <c r="L64" i="1" s="1"/>
  <c r="K64" i="1" s="1"/>
  <c r="W63" i="1"/>
  <c r="O63" i="1"/>
  <c r="L63" i="1"/>
  <c r="K63" i="1" s="1"/>
  <c r="W62" i="1"/>
  <c r="O62" i="1"/>
  <c r="L62" i="1" s="1"/>
  <c r="K62" i="1" s="1"/>
  <c r="W61" i="1"/>
  <c r="O61" i="1"/>
  <c r="L61" i="1" s="1"/>
  <c r="K61" i="1" s="1"/>
  <c r="W60" i="1"/>
  <c r="O60" i="1"/>
  <c r="L60" i="1"/>
  <c r="K60" i="1" s="1"/>
  <c r="W59" i="1"/>
  <c r="O59" i="1"/>
  <c r="L59" i="1" s="1"/>
  <c r="K59" i="1" s="1"/>
  <c r="W58" i="1"/>
  <c r="O58" i="1"/>
  <c r="L58" i="1" s="1"/>
  <c r="K58" i="1" s="1"/>
  <c r="W57" i="1"/>
  <c r="L57" i="1"/>
  <c r="K57" i="1"/>
  <c r="W56" i="1"/>
  <c r="O56" i="1"/>
  <c r="L56" i="1" s="1"/>
  <c r="K56" i="1" s="1"/>
  <c r="W55" i="1"/>
  <c r="O55" i="1"/>
  <c r="L55" i="1"/>
  <c r="K55" i="1" s="1"/>
  <c r="W54" i="1"/>
  <c r="O54" i="1"/>
  <c r="L54" i="1"/>
  <c r="K54" i="1"/>
  <c r="W53" i="1"/>
  <c r="O53" i="1"/>
  <c r="L53" i="1" s="1"/>
  <c r="K53" i="1" s="1"/>
  <c r="W52" i="1"/>
  <c r="O52" i="1"/>
  <c r="L52" i="1"/>
  <c r="K52" i="1" s="1"/>
  <c r="W51" i="1"/>
  <c r="O51" i="1"/>
  <c r="L51" i="1"/>
  <c r="K51" i="1"/>
  <c r="W50" i="1"/>
  <c r="O50" i="1"/>
  <c r="L50" i="1" s="1"/>
  <c r="K50" i="1" s="1"/>
  <c r="W49" i="1"/>
  <c r="O49" i="1"/>
  <c r="L49" i="1"/>
  <c r="K49" i="1" s="1"/>
  <c r="W48" i="1"/>
  <c r="O48" i="1"/>
  <c r="L48" i="1"/>
  <c r="K48" i="1"/>
  <c r="W47" i="1"/>
  <c r="O47" i="1"/>
  <c r="L47" i="1" s="1"/>
  <c r="K47" i="1" s="1"/>
  <c r="W46" i="1"/>
  <c r="O46" i="1"/>
  <c r="L46" i="1"/>
  <c r="K46" i="1" s="1"/>
  <c r="W45" i="1"/>
  <c r="O45" i="1"/>
  <c r="L45" i="1"/>
  <c r="K45" i="1"/>
  <c r="O44" i="1"/>
  <c r="L44" i="1"/>
  <c r="K44" i="1" s="1"/>
  <c r="W43" i="1"/>
  <c r="O43" i="1"/>
  <c r="L43" i="1"/>
  <c r="K43" i="1"/>
  <c r="W42" i="1"/>
  <c r="O42" i="1"/>
  <c r="L42" i="1"/>
  <c r="K42" i="1"/>
  <c r="W41" i="1"/>
  <c r="L41" i="1" s="1"/>
  <c r="K41" i="1" s="1"/>
  <c r="W40" i="1"/>
  <c r="L40" i="1" s="1"/>
  <c r="K40" i="1" s="1"/>
  <c r="O40" i="1"/>
  <c r="L39" i="1"/>
  <c r="K39" i="1" s="1"/>
  <c r="W38" i="1"/>
  <c r="O38" i="1"/>
  <c r="L38" i="1"/>
  <c r="K38" i="1"/>
  <c r="O37" i="1"/>
  <c r="L37" i="1"/>
  <c r="K37" i="1" s="1"/>
  <c r="W36" i="1"/>
  <c r="O36" i="1"/>
  <c r="L36" i="1"/>
  <c r="K36" i="1"/>
  <c r="W35" i="1"/>
  <c r="O35" i="1"/>
  <c r="L35" i="1"/>
  <c r="K35" i="1"/>
  <c r="W34" i="1"/>
  <c r="L34" i="1" s="1"/>
  <c r="K34" i="1" s="1"/>
  <c r="L33" i="1"/>
  <c r="K33" i="1" s="1"/>
  <c r="W32" i="1"/>
  <c r="O32" i="1"/>
  <c r="L32" i="1"/>
  <c r="K32" i="1" s="1"/>
  <c r="W31" i="1"/>
  <c r="O31" i="1"/>
  <c r="L31" i="1"/>
  <c r="K31" i="1"/>
  <c r="L30" i="1"/>
  <c r="K30" i="1"/>
  <c r="L29" i="1"/>
  <c r="K29" i="1" s="1"/>
  <c r="W28" i="1"/>
  <c r="O28" i="1"/>
  <c r="L28" i="1"/>
  <c r="K28" i="1" s="1"/>
  <c r="L27" i="1"/>
  <c r="K27" i="1"/>
  <c r="W26" i="1"/>
  <c r="L26" i="1"/>
  <c r="K26" i="1" s="1"/>
  <c r="W25" i="1"/>
  <c r="L25" i="1" s="1"/>
  <c r="K25" i="1" s="1"/>
  <c r="L24" i="1"/>
  <c r="K24" i="1"/>
  <c r="W23" i="1"/>
  <c r="L23" i="1" s="1"/>
  <c r="K23" i="1" s="1"/>
  <c r="O23" i="1"/>
  <c r="L22" i="1"/>
  <c r="K22" i="1"/>
  <c r="L21" i="1"/>
  <c r="K21" i="1"/>
  <c r="W20" i="1"/>
  <c r="L20" i="1" s="1"/>
  <c r="O20" i="1"/>
  <c r="L19" i="1"/>
  <c r="K19" i="1" s="1"/>
  <c r="O18" i="1"/>
  <c r="L18" i="1"/>
  <c r="K18" i="1"/>
  <c r="W17" i="1"/>
  <c r="S17" i="1"/>
  <c r="O17" i="1"/>
  <c r="L17" i="1" s="1"/>
  <c r="K17" i="1" s="1"/>
  <c r="W16" i="1"/>
  <c r="S16" i="1"/>
  <c r="O16" i="1"/>
  <c r="L16" i="1" s="1"/>
  <c r="K16" i="1" s="1"/>
  <c r="W15" i="1"/>
  <c r="S15" i="1"/>
  <c r="O15" i="1"/>
  <c r="L15" i="1" s="1"/>
  <c r="K15" i="1" s="1"/>
  <c r="W14" i="1"/>
  <c r="S14" i="1"/>
  <c r="O14" i="1"/>
  <c r="L14" i="1"/>
  <c r="K14" i="1"/>
  <c r="W13" i="1"/>
  <c r="S13" i="1"/>
  <c r="O13" i="1"/>
  <c r="L13" i="1"/>
  <c r="K13" i="1"/>
  <c r="W12" i="1"/>
  <c r="S12" i="1"/>
  <c r="O12" i="1"/>
  <c r="L12" i="1" s="1"/>
  <c r="K12" i="1" s="1"/>
  <c r="W11" i="1"/>
  <c r="S11" i="1"/>
  <c r="L11" i="1" s="1"/>
  <c r="K11" i="1" s="1"/>
  <c r="O11" i="1"/>
  <c r="W10" i="1"/>
  <c r="S10" i="1"/>
  <c r="L10" i="1" s="1"/>
  <c r="K10" i="1" s="1"/>
  <c r="O10" i="1"/>
  <c r="W9" i="1"/>
  <c r="S9" i="1"/>
  <c r="O9" i="1"/>
  <c r="L9" i="1"/>
  <c r="K9" i="1" s="1"/>
  <c r="W8" i="1"/>
  <c r="S8" i="1"/>
  <c r="O8" i="1"/>
  <c r="L8" i="1"/>
  <c r="K8" i="1" s="1"/>
  <c r="W7" i="1"/>
  <c r="L7" i="1" s="1"/>
  <c r="K7" i="1" s="1"/>
  <c r="S7" i="1"/>
  <c r="O7" i="1"/>
  <c r="W6" i="1"/>
  <c r="L6" i="1" s="1"/>
  <c r="K6" i="1" s="1"/>
  <c r="S6" i="1"/>
  <c r="O6" i="1"/>
  <c r="W5" i="1"/>
  <c r="S5" i="1"/>
  <c r="O5" i="1"/>
  <c r="L5" i="1" s="1"/>
  <c r="K5" i="1" s="1"/>
  <c r="W4" i="1"/>
  <c r="S4" i="1"/>
  <c r="O4" i="1"/>
  <c r="L4" i="1" s="1"/>
  <c r="K4" i="1" s="1"/>
  <c r="W3" i="1"/>
  <c r="S3" i="1"/>
  <c r="O3" i="1"/>
  <c r="L3" i="1" s="1"/>
  <c r="K3" i="1" s="1"/>
  <c r="Z1" i="1"/>
  <c r="X1" i="1" s="1"/>
  <c r="Y1" i="1"/>
  <c r="S1" i="1"/>
  <c r="R1" i="1"/>
  <c r="Q1" i="1"/>
  <c r="P1" i="1"/>
  <c r="N1" i="1"/>
  <c r="M1" i="1"/>
  <c r="K20" i="1" l="1"/>
  <c r="K1" i="1" s="1"/>
  <c r="L1" i="1"/>
  <c r="N1" i="6"/>
  <c r="J3" i="10"/>
  <c r="Y47" i="12"/>
  <c r="Z47" i="12" s="1"/>
  <c r="P47" i="12"/>
  <c r="K47" i="12" s="1"/>
  <c r="J47" i="12" s="1"/>
  <c r="K72" i="3"/>
  <c r="J72" i="3" s="1"/>
  <c r="K85" i="5"/>
  <c r="J85" i="5" s="1"/>
  <c r="K3" i="2"/>
  <c r="N1" i="3"/>
  <c r="K69" i="3"/>
  <c r="J69" i="3" s="1"/>
  <c r="K41" i="4"/>
  <c r="J41" i="4" s="1"/>
  <c r="J1" i="4" s="1"/>
  <c r="K14" i="5"/>
  <c r="J14" i="5" s="1"/>
  <c r="K54" i="5"/>
  <c r="J54" i="5" s="1"/>
  <c r="K47" i="6"/>
  <c r="J47" i="6" s="1"/>
  <c r="K53" i="6"/>
  <c r="J53" i="6" s="1"/>
  <c r="K59" i="6"/>
  <c r="J59" i="6" s="1"/>
  <c r="K65" i="6"/>
  <c r="J65" i="6" s="1"/>
  <c r="K71" i="6"/>
  <c r="J71" i="6" s="1"/>
  <c r="K91" i="6"/>
  <c r="J91" i="6" s="1"/>
  <c r="Y14" i="12"/>
  <c r="Z14" i="12" s="1"/>
  <c r="P14" i="12"/>
  <c r="K14" i="12" s="1"/>
  <c r="J14" i="12" s="1"/>
  <c r="K13" i="3"/>
  <c r="J13" i="3" s="1"/>
  <c r="V10" i="4"/>
  <c r="T1" i="3"/>
  <c r="J5" i="9"/>
  <c r="J1" i="9" s="1"/>
  <c r="K1" i="9"/>
  <c r="AC1" i="10"/>
  <c r="K46" i="3"/>
  <c r="J46" i="3" s="1"/>
  <c r="V43" i="4"/>
  <c r="K90" i="5"/>
  <c r="J90" i="5" s="1"/>
  <c r="AB17" i="10"/>
  <c r="AC17" i="10" s="1"/>
  <c r="Q17" i="10"/>
  <c r="K17" i="10" s="1"/>
  <c r="J17" i="10" s="1"/>
  <c r="K61" i="2"/>
  <c r="J61" i="2" s="1"/>
  <c r="K73" i="2"/>
  <c r="J73" i="2" s="1"/>
  <c r="K85" i="2"/>
  <c r="J85" i="2" s="1"/>
  <c r="K33" i="3"/>
  <c r="J33" i="3" s="1"/>
  <c r="J1" i="3" s="1"/>
  <c r="K45" i="4"/>
  <c r="J45" i="4" s="1"/>
  <c r="AA1" i="10"/>
  <c r="V37" i="4"/>
  <c r="K37" i="3"/>
  <c r="J37" i="3" s="1"/>
  <c r="K59" i="4"/>
  <c r="J59" i="4" s="1"/>
  <c r="Q27" i="10"/>
  <c r="K27" i="10" s="1"/>
  <c r="J27" i="10" s="1"/>
  <c r="AB27" i="10"/>
  <c r="AC27" i="10" s="1"/>
  <c r="K87" i="3"/>
  <c r="J87" i="3" s="1"/>
  <c r="K73" i="5"/>
  <c r="J73" i="5" s="1"/>
  <c r="K58" i="2"/>
  <c r="J58" i="2" s="1"/>
  <c r="K70" i="2"/>
  <c r="J70" i="2" s="1"/>
  <c r="K82" i="2"/>
  <c r="J82" i="2" s="1"/>
  <c r="K48" i="3"/>
  <c r="J48" i="3" s="1"/>
  <c r="K84" i="3"/>
  <c r="J84" i="3" s="1"/>
  <c r="K51" i="4"/>
  <c r="J51" i="4" s="1"/>
  <c r="K12" i="6"/>
  <c r="J12" i="6" s="1"/>
  <c r="W1" i="6"/>
  <c r="Q9" i="10"/>
  <c r="K9" i="10" s="1"/>
  <c r="J9" i="10" s="1"/>
  <c r="Z9" i="10"/>
  <c r="AA9" i="10" s="1"/>
  <c r="J4" i="5"/>
  <c r="Y36" i="12"/>
  <c r="Z36" i="12" s="1"/>
  <c r="P36" i="12"/>
  <c r="K36" i="12" s="1"/>
  <c r="J36" i="12" s="1"/>
  <c r="Q26" i="10"/>
  <c r="K26" i="10" s="1"/>
  <c r="J26" i="10" s="1"/>
  <c r="K6" i="6"/>
  <c r="J6" i="6" s="1"/>
  <c r="J1" i="6" s="1"/>
  <c r="Q40" i="10"/>
  <c r="K40" i="10" s="1"/>
  <c r="J40" i="10" s="1"/>
  <c r="Z90" i="10"/>
  <c r="AA90" i="10" s="1"/>
  <c r="Q90" i="10"/>
  <c r="K90" i="10" s="1"/>
  <c r="J90" i="10" s="1"/>
  <c r="AB1" i="12"/>
  <c r="Y42" i="12"/>
  <c r="Z42" i="12" s="1"/>
  <c r="P42" i="12"/>
  <c r="K42" i="12" s="1"/>
  <c r="J42" i="12" s="1"/>
  <c r="Y59" i="12"/>
  <c r="Z59" i="12" s="1"/>
  <c r="P59" i="12"/>
  <c r="K59" i="12" s="1"/>
  <c r="J59" i="12" s="1"/>
  <c r="Q46" i="10"/>
  <c r="K46" i="10" s="1"/>
  <c r="J46" i="10" s="1"/>
  <c r="Q49" i="10"/>
  <c r="K49" i="10" s="1"/>
  <c r="J49" i="10" s="1"/>
  <c r="Z1" i="12"/>
  <c r="Y15" i="12"/>
  <c r="Z15" i="12" s="1"/>
  <c r="P15" i="12"/>
  <c r="K15" i="12" s="1"/>
  <c r="J15" i="12" s="1"/>
  <c r="K82" i="9"/>
  <c r="J82" i="9" s="1"/>
  <c r="Q38" i="10"/>
  <c r="K38" i="10" s="1"/>
  <c r="J38" i="10" s="1"/>
  <c r="Y43" i="12"/>
  <c r="Z43" i="12" s="1"/>
  <c r="P43" i="12"/>
  <c r="K43" i="12" s="1"/>
  <c r="J43" i="12" s="1"/>
  <c r="Y71" i="12"/>
  <c r="Z71" i="12" s="1"/>
  <c r="P71" i="12"/>
  <c r="K71" i="12" s="1"/>
  <c r="J71" i="12" s="1"/>
  <c r="K6" i="10"/>
  <c r="J6" i="10" s="1"/>
  <c r="Q8" i="10"/>
  <c r="K8" i="10" s="1"/>
  <c r="J8" i="10" s="1"/>
  <c r="Z25" i="10"/>
  <c r="AA25" i="10" s="1"/>
  <c r="Q45" i="10"/>
  <c r="K45" i="10" s="1"/>
  <c r="J45" i="10" s="1"/>
  <c r="Y35" i="12"/>
  <c r="Z35" i="12" s="1"/>
  <c r="P35" i="12"/>
  <c r="K35" i="12" s="1"/>
  <c r="J35" i="12" s="1"/>
  <c r="K36" i="10"/>
  <c r="J36" i="10" s="1"/>
  <c r="Z86" i="10"/>
  <c r="AA86" i="10" s="1"/>
  <c r="Q86" i="10"/>
  <c r="K86" i="10" s="1"/>
  <c r="J86" i="10" s="1"/>
  <c r="K38" i="12"/>
  <c r="J38" i="12" s="1"/>
  <c r="V1" i="12"/>
  <c r="Y83" i="12"/>
  <c r="Z83" i="12" s="1"/>
  <c r="P83" i="12"/>
  <c r="K83" i="12" s="1"/>
  <c r="J83" i="12" s="1"/>
  <c r="Z36" i="10"/>
  <c r="AA36" i="10" s="1"/>
  <c r="P54" i="12"/>
  <c r="K54" i="12" s="1"/>
  <c r="J54" i="12" s="1"/>
  <c r="P66" i="12"/>
  <c r="K66" i="12" s="1"/>
  <c r="J66" i="12" s="1"/>
  <c r="P78" i="12"/>
  <c r="K78" i="12" s="1"/>
  <c r="J78" i="12" s="1"/>
  <c r="P90" i="12"/>
  <c r="K90" i="12" s="1"/>
  <c r="J90" i="12" s="1"/>
  <c r="Z35" i="10"/>
  <c r="AA35" i="10" s="1"/>
  <c r="P27" i="12"/>
  <c r="K27" i="12" s="1"/>
  <c r="J27" i="12" s="1"/>
  <c r="Y34" i="12"/>
  <c r="Z34" i="12" s="1"/>
  <c r="P34" i="12"/>
  <c r="K34" i="12" s="1"/>
  <c r="J34" i="12" s="1"/>
  <c r="P52" i="12"/>
  <c r="K52" i="12" s="1"/>
  <c r="J52" i="12" s="1"/>
  <c r="P64" i="12"/>
  <c r="K64" i="12" s="1"/>
  <c r="J64" i="12" s="1"/>
  <c r="P76" i="12"/>
  <c r="K76" i="12" s="1"/>
  <c r="J76" i="12" s="1"/>
  <c r="P88" i="12"/>
  <c r="K88" i="12" s="1"/>
  <c r="J88" i="12" s="1"/>
  <c r="Y39" i="12"/>
  <c r="Z39" i="12" s="1"/>
  <c r="P39" i="12"/>
  <c r="K39" i="12" s="1"/>
  <c r="J39" i="12" s="1"/>
  <c r="P93" i="12"/>
  <c r="K93" i="12" s="1"/>
  <c r="J93" i="12" s="1"/>
  <c r="P37" i="12"/>
  <c r="K37" i="12" s="1"/>
  <c r="J37" i="12" s="1"/>
  <c r="P50" i="12"/>
  <c r="K50" i="12" s="1"/>
  <c r="J50" i="12" s="1"/>
  <c r="P62" i="12"/>
  <c r="K62" i="12" s="1"/>
  <c r="J62" i="12" s="1"/>
  <c r="P74" i="12"/>
  <c r="K74" i="12" s="1"/>
  <c r="J74" i="12" s="1"/>
  <c r="P86" i="12"/>
  <c r="K86" i="12" s="1"/>
  <c r="J86" i="12" s="1"/>
  <c r="P31" i="12"/>
  <c r="K31" i="12" s="1"/>
  <c r="J31" i="12" s="1"/>
  <c r="Y31" i="12"/>
  <c r="Z31" i="12" s="1"/>
  <c r="Y41" i="12"/>
  <c r="Z41" i="12" s="1"/>
  <c r="P41" i="12"/>
  <c r="K41" i="12" s="1"/>
  <c r="J41" i="12" s="1"/>
  <c r="P55" i="12"/>
  <c r="K55" i="12" s="1"/>
  <c r="J55" i="12" s="1"/>
  <c r="P67" i="12"/>
  <c r="K67" i="12" s="1"/>
  <c r="J67" i="12" s="1"/>
  <c r="P79" i="12"/>
  <c r="K79" i="12" s="1"/>
  <c r="J79" i="12" s="1"/>
  <c r="P91" i="12"/>
  <c r="K91" i="12" s="1"/>
  <c r="J91" i="12" s="1"/>
  <c r="K11" i="12"/>
  <c r="J11" i="12" s="1"/>
  <c r="P48" i="12"/>
  <c r="K48" i="12" s="1"/>
  <c r="J48" i="12" s="1"/>
  <c r="P60" i="12"/>
  <c r="K60" i="12" s="1"/>
  <c r="J60" i="12" s="1"/>
  <c r="P72" i="12"/>
  <c r="K72" i="12" s="1"/>
  <c r="J72" i="12" s="1"/>
  <c r="P84" i="12"/>
  <c r="K84" i="12" s="1"/>
  <c r="J84" i="12" s="1"/>
  <c r="Q92" i="10"/>
  <c r="K92" i="10" s="1"/>
  <c r="J92" i="10" s="1"/>
  <c r="P16" i="12"/>
  <c r="K16" i="12" s="1"/>
  <c r="J16" i="12" s="1"/>
  <c r="P28" i="12"/>
  <c r="K28" i="12" s="1"/>
  <c r="J28" i="12" s="1"/>
  <c r="P53" i="12"/>
  <c r="K53" i="12" s="1"/>
  <c r="J53" i="12" s="1"/>
  <c r="P65" i="12"/>
  <c r="K65" i="12" s="1"/>
  <c r="J65" i="12" s="1"/>
  <c r="P77" i="12"/>
  <c r="K77" i="12" s="1"/>
  <c r="J77" i="12" s="1"/>
  <c r="P89" i="12"/>
  <c r="K89" i="12" s="1"/>
  <c r="J89" i="12" s="1"/>
  <c r="Y13" i="12"/>
  <c r="Z13" i="12" s="1"/>
  <c r="P13" i="12"/>
  <c r="K13" i="12" s="1"/>
  <c r="J13" i="12" s="1"/>
  <c r="P94" i="12"/>
  <c r="K94" i="12" s="1"/>
  <c r="J94" i="12" s="1"/>
  <c r="Y11" i="12"/>
  <c r="Z11" i="12" s="1"/>
  <c r="Y33" i="12"/>
  <c r="Z33" i="12" s="1"/>
  <c r="P33" i="12"/>
  <c r="K33" i="12" s="1"/>
  <c r="J33" i="12" s="1"/>
  <c r="P51" i="12"/>
  <c r="K51" i="12" s="1"/>
  <c r="J51" i="12" s="1"/>
  <c r="P63" i="12"/>
  <c r="K63" i="12" s="1"/>
  <c r="J63" i="12" s="1"/>
  <c r="P75" i="12"/>
  <c r="K75" i="12" s="1"/>
  <c r="J75" i="12" s="1"/>
  <c r="P87" i="12"/>
  <c r="K87" i="12" s="1"/>
  <c r="J87" i="12" s="1"/>
  <c r="Q94" i="10"/>
  <c r="K94" i="10" s="1"/>
  <c r="J94" i="10" s="1"/>
  <c r="P7" i="12"/>
  <c r="Y7" i="12"/>
  <c r="Z7" i="12" s="1"/>
  <c r="P56" i="12"/>
  <c r="K56" i="12" s="1"/>
  <c r="J56" i="12" s="1"/>
  <c r="P68" i="12"/>
  <c r="K68" i="12" s="1"/>
  <c r="J68" i="12" s="1"/>
  <c r="P80" i="12"/>
  <c r="K80" i="12" s="1"/>
  <c r="J80" i="12" s="1"/>
  <c r="P92" i="12"/>
  <c r="K92" i="12" s="1"/>
  <c r="J92" i="12" s="1"/>
  <c r="Y32" i="12"/>
  <c r="Z32" i="12" s="1"/>
  <c r="Y40" i="12"/>
  <c r="Z40" i="12" s="1"/>
  <c r="K1" i="2" l="1"/>
  <c r="J3" i="2"/>
  <c r="J1" i="2" s="1"/>
  <c r="Y1" i="10"/>
  <c r="K1" i="6"/>
  <c r="Q1" i="10"/>
  <c r="J1" i="10"/>
  <c r="J1" i="5"/>
  <c r="K1" i="10"/>
  <c r="K1" i="3"/>
  <c r="K1" i="5"/>
  <c r="X1" i="12"/>
  <c r="K1" i="4"/>
  <c r="K7" i="12"/>
  <c r="P1" i="12"/>
  <c r="J7" i="12" l="1"/>
  <c r="J1" i="12" s="1"/>
  <c r="K1" i="12"/>
</calcChain>
</file>

<file path=xl/sharedStrings.xml><?xml version="1.0" encoding="utf-8"?>
<sst xmlns="http://schemas.openxmlformats.org/spreadsheetml/2006/main" count="4173" uniqueCount="235">
  <si>
    <t>Articulo</t>
  </si>
  <si>
    <t>Nombre</t>
  </si>
  <si>
    <t>UXC</t>
  </si>
  <si>
    <t>PROMO</t>
  </si>
  <si>
    <t>Subfamilia</t>
  </si>
  <si>
    <t>SN</t>
  </si>
  <si>
    <t>Categoria</t>
  </si>
  <si>
    <t>CN</t>
  </si>
  <si>
    <t>CostoCIVA</t>
  </si>
  <si>
    <t>CostoXCaja</t>
  </si>
  <si>
    <t>$Pedido</t>
  </si>
  <si>
    <t>SumaPedido</t>
  </si>
  <si>
    <t>10VentasG</t>
  </si>
  <si>
    <t>10ExistenciaG</t>
  </si>
  <si>
    <t>PedidoLPD</t>
  </si>
  <si>
    <t>30VentasG</t>
  </si>
  <si>
    <t>30ExistenciasG</t>
  </si>
  <si>
    <t>PedMorelia</t>
  </si>
  <si>
    <t>50VentasG</t>
  </si>
  <si>
    <t>50ExistenciaG</t>
  </si>
  <si>
    <t>PedidoZam</t>
  </si>
  <si>
    <t>ExCEDIS</t>
  </si>
  <si>
    <t>ValorVentaG</t>
  </si>
  <si>
    <t>ValorExistenciaG</t>
  </si>
  <si>
    <t>10Actual15</t>
  </si>
  <si>
    <t>10Actual30R</t>
  </si>
  <si>
    <t>10Anterior15</t>
  </si>
  <si>
    <t>10Anterior30R</t>
  </si>
  <si>
    <t>10ExistenciaWC</t>
  </si>
  <si>
    <t>40Actual15</t>
  </si>
  <si>
    <t>40Actual30R</t>
  </si>
  <si>
    <t>40Anterior15</t>
  </si>
  <si>
    <t>40Anterior30R</t>
  </si>
  <si>
    <t>40ExistenciaWC</t>
  </si>
  <si>
    <t>42Actual15</t>
  </si>
  <si>
    <t>42Actual30R</t>
  </si>
  <si>
    <t>42Anterior15</t>
  </si>
  <si>
    <t>42Anterior30R</t>
  </si>
  <si>
    <t>42ExistenciaWC</t>
  </si>
  <si>
    <t>44Actual15</t>
  </si>
  <si>
    <t>44Actual30R</t>
  </si>
  <si>
    <t>44Anterior15</t>
  </si>
  <si>
    <t>44Anterior30R</t>
  </si>
  <si>
    <t>44ExistenciaWC</t>
  </si>
  <si>
    <t>30Actual15</t>
  </si>
  <si>
    <t>30Actual30R</t>
  </si>
  <si>
    <t>30Anterior15</t>
  </si>
  <si>
    <t>30Anterior30R</t>
  </si>
  <si>
    <t>30ExistenciaWC</t>
  </si>
  <si>
    <t>32Actual15</t>
  </si>
  <si>
    <t>32Actual30R</t>
  </si>
  <si>
    <t>32Anterior15</t>
  </si>
  <si>
    <t>32Anterior30R</t>
  </si>
  <si>
    <t>32ExistenciaWC</t>
  </si>
  <si>
    <t>50Actual15</t>
  </si>
  <si>
    <t>50Actual30R</t>
  </si>
  <si>
    <t>50Anterior15</t>
  </si>
  <si>
    <t>50Anterior30R</t>
  </si>
  <si>
    <t>50ExistenciaWC</t>
  </si>
  <si>
    <t>54Actual15</t>
  </si>
  <si>
    <t>54Actual30R</t>
  </si>
  <si>
    <t>54Anterior15</t>
  </si>
  <si>
    <t>54Anterior30R</t>
  </si>
  <si>
    <t>54ExistenciaWC</t>
  </si>
  <si>
    <t>TRESMONTES LUCHETTI (NUTRESA)</t>
  </si>
  <si>
    <t>CHOC CREMINO BICOLOR /24 NUTRESA</t>
  </si>
  <si>
    <t>NUTRESA SA DE CV</t>
  </si>
  <si>
    <t>PRODUCTOS A ELIMINAR</t>
  </si>
  <si>
    <t>NUCITA TRISABOR 224GR /16 NUTRESA</t>
  </si>
  <si>
    <t>15ma</t>
  </si>
  <si>
    <t>10ma</t>
  </si>
  <si>
    <t>CHOC MUIBON AVELLANAS /15 NUTRESA 9055</t>
  </si>
  <si>
    <t>* DESC NUCITA SUPER 4 /12 NUTRESA</t>
  </si>
  <si>
    <t>PRODUCTOS CON BAJA ROTACION</t>
  </si>
  <si>
    <t>CHOC MONEDA EXH /48 NUTRESA 1432</t>
  </si>
  <si>
    <t>* DESC VIT MONEDA ORO CHOC NUTRESA /120</t>
  </si>
  <si>
    <t>EXH CHOC CREMINO BICOLORE NUTRESA /50</t>
  </si>
  <si>
    <t>* DESCONTINUADO</t>
  </si>
  <si>
    <t>NUCITA PATITAS (152G) / 8 NUTRESA</t>
  </si>
  <si>
    <t>NUCITA TRISABOR CONFITES NUTRESA/12 5868</t>
  </si>
  <si>
    <t>10ph</t>
  </si>
  <si>
    <t>**</t>
  </si>
  <si>
    <t>VIT CHOC MONEDA 708g /120 NUTRESA</t>
  </si>
  <si>
    <t>50+2</t>
  </si>
  <si>
    <t>DISPONIBLE</t>
  </si>
  <si>
    <t>CHOC CREMINO BLANCO /24 NUTRESA 2256</t>
  </si>
  <si>
    <t>NUCITA FRESA Y CHOCOLATE 224GR /16 NUTRESA</t>
  </si>
  <si>
    <t>20zam</t>
  </si>
  <si>
    <t>CHOC BALONCITOS NUTRESA /200</t>
  </si>
  <si>
    <t>NUCITA VAINILLA Y CHOCOLATE 240GR /16 NUTRES 78</t>
  </si>
  <si>
    <t>CREMINO STICK 140GR/ 20 NUTRESA</t>
  </si>
  <si>
    <t>NUCITA FRESA/VAINILLLA /16 NUTRESA</t>
  </si>
  <si>
    <t>10zam</t>
  </si>
  <si>
    <t>CHOC NUCITA BARRA /16 NUTRESA 1471</t>
  </si>
  <si>
    <t>NUCITA TRIANG TRISABOR /12 NUTRESA 2694</t>
  </si>
  <si>
    <t>CHOC CREMINO FRUTOS ROJOS 408GR/ 24 NUTRESA</t>
  </si>
  <si>
    <t>2/20</t>
  </si>
  <si>
    <t>CHOC BALONES BLISTER/56 NUTRESA 1398</t>
  </si>
  <si>
    <t>40 ma</t>
  </si>
  <si>
    <t>1/20</t>
  </si>
  <si>
    <t>ZUKO 8 S HORCHATA EXH</t>
  </si>
  <si>
    <t>TRESMONTES LUCCHETTI (ZUKO)</t>
  </si>
  <si>
    <t>1/25</t>
  </si>
  <si>
    <t>ZUKO 8 S JAMAICA EXH</t>
  </si>
  <si>
    <t>ZUKO 8 S NARANJA EXH</t>
  </si>
  <si>
    <t>ZUKO 8 S FRESA EXH</t>
  </si>
  <si>
    <t>ZUKO 8 S LIMON EXH</t>
  </si>
  <si>
    <t>2ma</t>
  </si>
  <si>
    <t>10ZAM</t>
  </si>
  <si>
    <t>ZUKO 8 S TAMARINDO EXH</t>
  </si>
  <si>
    <t>ZUKO 8 S MANGO EXH</t>
  </si>
  <si>
    <t>ZUKO 8 S UVA EXH</t>
  </si>
  <si>
    <t>20+1</t>
  </si>
  <si>
    <t>5ZAM</t>
  </si>
  <si>
    <t>ZUKO 8 S PIÑA EXH</t>
  </si>
  <si>
    <t>3zam</t>
  </si>
  <si>
    <t>ZUKO 8 S MELON EXH</t>
  </si>
  <si>
    <t>CHOC RACING BLISTER NUTRESA /56 1476</t>
  </si>
  <si>
    <t>ZUKO 8 S PIÑA COLADA EXH</t>
  </si>
  <si>
    <t>ZUKO 8 S GUAYABA EXH</t>
  </si>
  <si>
    <t>CHOC MUIBON ROLL C&amp;C 315GR/ 15 NUTRESA</t>
  </si>
  <si>
    <t>ZUKO 8 S COCO EXH</t>
  </si>
  <si>
    <t>ZUKO 8 S DURAZNO EXH</t>
  </si>
  <si>
    <t>BOLSA CHOCO MIX 815 GR / 69 NUTRESA</t>
  </si>
  <si>
    <t>ZUKO 8 S SANDIA EXH</t>
  </si>
  <si>
    <t>1ZAM</t>
  </si>
  <si>
    <t>NO PEDIR 25 SOLO 5 CONFIRMAR POR QUE LUEGO MANDAN LOS 25</t>
  </si>
  <si>
    <t>CREMINO AVELLANA UNTABLE (350G) / 1 NUTRESA</t>
  </si>
  <si>
    <t>5zam</t>
  </si>
  <si>
    <t>ZUKO 8 S MANDARINA EXH</t>
  </si>
  <si>
    <t>VIT CHOC RACING /200 NUTRESA 1477</t>
  </si>
  <si>
    <t>IND ZUKO LIMON</t>
  </si>
  <si>
    <t>IND ZUKO JAMAICA</t>
  </si>
  <si>
    <t>IND ZUKO FRESA</t>
  </si>
  <si>
    <t>ZUKO 8 S GUANABANA EXH</t>
  </si>
  <si>
    <t>IND ZUKO HORCHATA</t>
  </si>
  <si>
    <t>IND ZUKO NARANJA</t>
  </si>
  <si>
    <t>IND ZUKO PIÑA</t>
  </si>
  <si>
    <t>IND ZUKO MANGO</t>
  </si>
  <si>
    <t>IND ZUKO MELON</t>
  </si>
  <si>
    <t>IND ZUKO TAMARINDO</t>
  </si>
  <si>
    <t>IND ZUKO MANDARINA</t>
  </si>
  <si>
    <t>ZUKO 8 S MANZANA EXH</t>
  </si>
  <si>
    <t>IND ZUKO GUAYABA</t>
  </si>
  <si>
    <t>IND ZUKO SANDIA</t>
  </si>
  <si>
    <t>IND ZUKO PIÑA COLADA</t>
  </si>
  <si>
    <t>IND ZUKO COCO</t>
  </si>
  <si>
    <t>IND ZUKO DURAZNO</t>
  </si>
  <si>
    <t>IND CREMINO AVELLANA / 1</t>
  </si>
  <si>
    <t>G INDIVIDUALES</t>
  </si>
  <si>
    <t>IND ZUKO KIWI</t>
  </si>
  <si>
    <t>IND ZUKO MARACUYA</t>
  </si>
  <si>
    <t>IND ZUKO GUANABANA</t>
  </si>
  <si>
    <t>IND ZUKO MARACUYÁ</t>
  </si>
  <si>
    <t>IND ZUKO LIMONADA CLÁSICA (15GR)</t>
  </si>
  <si>
    <t>IND ZUKO MANZANA</t>
  </si>
  <si>
    <t>NUCITA GOLO CHIPS 480GR/ 24</t>
  </si>
  <si>
    <t>IND CACAHUATE COOL NUTS CON SAL 50GR / 1NUTRESA</t>
  </si>
  <si>
    <t>CHOC MORDISCOS CHOCOFRESA /22 NUTRESA</t>
  </si>
  <si>
    <t>COOL NUTS CACAHUATE SAL 12P 50GR</t>
  </si>
  <si>
    <t>IND COOL NUTS JAPONES 50G NUTRESA</t>
  </si>
  <si>
    <t>EXH CHOC MUIBON AVE NUTRESA /40 9054</t>
  </si>
  <si>
    <t>CHOC MUIBON ROLL BROWNIE /15 NUTRESA</t>
  </si>
  <si>
    <t>VIT NUCITA PHANTOM 700 GR / 200 NUTRESA</t>
  </si>
  <si>
    <t>COOL NUTS JAPONES 12P 50G</t>
  </si>
  <si>
    <t>CREMINO AVELLANA UNTABLE (200GR) / 1 NUTRESA</t>
  </si>
  <si>
    <t>CHOC BURBU CREMINO AVELLANA /12 NUTRESA</t>
  </si>
  <si>
    <t>por cada 3 muibon Avellanas es 1 display c&amp;c</t>
  </si>
  <si>
    <t>NUCITA TONY</t>
  </si>
  <si>
    <t>5za</t>
  </si>
  <si>
    <t>7zam</t>
  </si>
  <si>
    <t>2zam</t>
  </si>
  <si>
    <t>Padre Hidalgo</t>
  </si>
  <si>
    <t>Morelia</t>
  </si>
  <si>
    <t>Zamora</t>
  </si>
  <si>
    <t>NUCITA TONY 180G /12 NUTRESA</t>
  </si>
  <si>
    <t>nucita 2 en 20</t>
  </si>
  <si>
    <t>muibon 1 en 10</t>
  </si>
  <si>
    <t>moneda 1 en 25</t>
  </si>
  <si>
    <t>cremino 1 en 20</t>
  </si>
  <si>
    <t>patitas 1 en 20</t>
  </si>
  <si>
    <t xml:space="preserve">PULPIQUIN PATITAS TAMARINDO </t>
  </si>
  <si>
    <t>PULPIQUIN PATITAS SANDIA</t>
  </si>
  <si>
    <t>40+4</t>
  </si>
  <si>
    <t>5 ma</t>
  </si>
  <si>
    <t>10VtaWin</t>
  </si>
  <si>
    <t>10VtaGlobal</t>
  </si>
  <si>
    <t>10ExisKepler</t>
  </si>
  <si>
    <t>10ExisGlobal</t>
  </si>
  <si>
    <t>ValorVtaCja</t>
  </si>
  <si>
    <t>ValorExisCja</t>
  </si>
  <si>
    <t>CHECAR UXC</t>
  </si>
  <si>
    <t>Descripción</t>
  </si>
  <si>
    <t>Reporte de existencia por productos</t>
  </si>
  <si>
    <t>PAQ*</t>
  </si>
  <si>
    <t>CJA</t>
  </si>
  <si>
    <t>PZA*</t>
  </si>
  <si>
    <t>PAQ</t>
  </si>
  <si>
    <t>1ma</t>
  </si>
  <si>
    <t>NUCITA PULPIQUIN SANDIA 152G /8 NUTRESA</t>
  </si>
  <si>
    <t>NUCITA PULPIQUIN TAMARINDO 152G/8 NUTRESA</t>
  </si>
  <si>
    <t>NUCITA PULPIQUIN TAMARINDO 152G /8 NUTRESA</t>
  </si>
  <si>
    <t>Clave producto</t>
  </si>
  <si>
    <t>Descripcion del producto</t>
  </si>
  <si>
    <t>Pz/Paq</t>
  </si>
  <si>
    <t>Pz/Cja</t>
  </si>
  <si>
    <t>Unidad</t>
  </si>
  <si>
    <t>Rotacion</t>
  </si>
  <si>
    <t>Exist. Pieza</t>
  </si>
  <si>
    <t>Exist. Paquete</t>
  </si>
  <si>
    <t>Exist. Caja</t>
  </si>
  <si>
    <t>Valor Existencia</t>
  </si>
  <si>
    <t>Venta 2026-06-23…2026-07-14</t>
  </si>
  <si>
    <t>Costo 2026-06-23…2026-07-14</t>
  </si>
  <si>
    <t>Venta paquetes</t>
  </si>
  <si>
    <t>Venta cajas</t>
  </si>
  <si>
    <t>Dias cobertura</t>
  </si>
  <si>
    <t>Venta anterior</t>
  </si>
  <si>
    <t>Var %</t>
  </si>
  <si>
    <t>PZA</t>
  </si>
  <si>
    <t>alta</t>
  </si>
  <si>
    <t>10VtaTotal</t>
  </si>
  <si>
    <t>media</t>
  </si>
  <si>
    <t>baja</t>
  </si>
  <si>
    <t>5ma</t>
  </si>
  <si>
    <t>3ph</t>
  </si>
  <si>
    <t>NUCITA PULPIQUIN SANDIA 152G / 8 NUTRESA</t>
  </si>
  <si>
    <t>NUCITA PULPIQUIN TAMARINDO 152G / 8 NUTRESA</t>
  </si>
  <si>
    <t>Venta 2026-07-13…2026-07-28</t>
  </si>
  <si>
    <t>Costo 2026-07-13…2026-07-28</t>
  </si>
  <si>
    <t>NUCITA PULPIQUIN SANDIA 224G / 16 NUTRESA</t>
  </si>
  <si>
    <t>NUCITA PULPIQUIN TAMARINDO 224G / 16 NUTRESA</t>
  </si>
  <si>
    <t>########</t>
  </si>
  <si>
    <t xml:space="preserve">NUCITA PULPIQUIN SANDIA </t>
  </si>
  <si>
    <t>NUCITA PULPIQUIN TAMARINDO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</si>
</sst>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d/m"/>
  </numFmts>
  <fonts count="1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b/>
      <sz val="10"/>
      <color rgb="FF000000"/>
      <name val="Calibri"/>
    </font>
    <font>
      <b/>
      <sz val="17"/>
      <color rgb="FF004378"/>
      <name val="Calibri"/>
    </font>
    <font>
      <sz val="10"/>
      <color rgb="FF000000"/>
      <name val="Arial"/>
    </font>
    <font>
      <sz val="10"/>
      <color rgb="FFFF0000"/>
      <name val="Arial"/>
      <scheme val="minor"/>
    </font>
    <font>
      <b/>
      <sz val="9"/>
      <color theme="1"/>
      <name val="Calibri"/>
    </font>
    <font>
      <b/>
      <sz val="11"/>
      <color rgb="FFB91C1C"/>
      <name val="Calibri"/>
    </font>
    <font>
      <sz val="11"/>
      <color rgb="FF15803D"/>
      <name val="Calibri"/>
    </font>
    <font>
      <sz val="11"/>
      <color rgb="FFA16207"/>
      <name val="Calibri"/>
    </font>
    <font>
      <b/>
      <sz val="11"/>
      <color theme="1"/>
      <name val="Calibri"/>
    </font>
    <font>
      <sz val="11"/>
      <color rgb="FFB91C1C"/>
      <name val="Calibri"/>
    </font>
  </fonts>
  <fills count="24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1C232"/>
        <bgColor rgb="FFF1C232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9900"/>
        <bgColor rgb="FFFF9900"/>
      </patternFill>
    </fill>
    <fill>
      <patternFill patternType="solid">
        <fgColor rgb="FFD5A6BD"/>
        <bgColor rgb="FFD5A6BD"/>
      </patternFill>
    </fill>
    <fill>
      <patternFill patternType="solid">
        <fgColor rgb="FFF6B26B"/>
        <bgColor rgb="FFF6B26B"/>
      </patternFill>
    </fill>
    <fill>
      <patternFill patternType="solid">
        <fgColor rgb="FFFF00FF"/>
        <bgColor rgb="FFFF00FF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rgb="FFBDBEC0"/>
        <bgColor rgb="FFBDBEC0"/>
      </patternFill>
    </fill>
    <fill>
      <patternFill patternType="solid">
        <fgColor rgb="FFF4F4F5"/>
        <bgColor rgb="FFF4F4F5"/>
      </patternFill>
    </fill>
    <fill>
      <patternFill patternType="solid">
        <fgColor rgb="FFFAFAF9"/>
        <bgColor rgb="FFFAFAF9"/>
      </patternFill>
    </fill>
    <fill>
      <patternFill patternType="solid">
        <fgColor rgb="FFF1F0EC"/>
        <bgColor rgb="FFF1F0EC"/>
      </patternFill>
    </fill>
    <fill>
      <patternFill patternType="solid">
        <fgColor rgb="FF6AA84F"/>
        <bgColor rgb="FF6AA84F"/>
      </patternFill>
    </fill>
  </fills>
  <borders count="5">
    <border>
      <left/>
      <right/>
      <top/>
      <bottom/>
      <diagonal/>
    </border>
    <border>
      <left/>
      <right/>
      <top/>
      <bottom style="thin">
        <color rgb="FF7FA1BC"/>
      </bottom>
      <diagonal/>
    </border>
    <border>
      <left/>
      <right/>
      <top/>
      <bottom style="thin">
        <color rgb="FF000000"/>
      </bottom>
      <diagonal/>
    </border>
    <border>
      <left style="thin">
        <color rgb="FFD8D5CE"/>
      </left>
      <right style="thin">
        <color rgb="FFD8D5CE"/>
      </right>
      <top style="thin">
        <color rgb="FFD8D5CE"/>
      </top>
      <bottom style="thin">
        <color rgb="FFD8D5CE"/>
      </bottom>
      <diagonal/>
    </border>
    <border>
      <left/>
      <right/>
      <top style="thin">
        <color rgb="FFB8B4AC"/>
      </top>
      <bottom/>
      <diagonal/>
    </border>
  </borders>
  <cellStyleXfs count="1">
    <xf numFmtId="0" fontId="0" fillId="0" borderId="0"/>
  </cellStyleXfs>
  <cellXfs count="99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164" fontId="1" fillId="2" borderId="0" xfId="0" applyNumberFormat="1" applyFont="1" applyFill="1" applyAlignment="1"/>
    <xf numFmtId="0" fontId="1" fillId="2" borderId="0" xfId="0" applyFont="1" applyFill="1" applyAlignment="1"/>
    <xf numFmtId="0" fontId="1" fillId="3" borderId="0" xfId="0" applyFont="1" applyFill="1" applyAlignment="1"/>
    <xf numFmtId="10" fontId="1" fillId="4" borderId="0" xfId="0" applyNumberFormat="1" applyFont="1" applyFill="1" applyAlignment="1"/>
    <xf numFmtId="10" fontId="1" fillId="5" borderId="0" xfId="0" applyNumberFormat="1" applyFont="1" applyFill="1" applyAlignment="1"/>
    <xf numFmtId="10" fontId="1" fillId="6" borderId="0" xfId="0" applyNumberFormat="1" applyFont="1" applyFill="1" applyAlignment="1"/>
    <xf numFmtId="164" fontId="1" fillId="6" borderId="0" xfId="0" applyNumberFormat="1" applyFont="1" applyFill="1" applyAlignment="1"/>
    <xf numFmtId="164" fontId="1" fillId="5" borderId="0" xfId="0" applyNumberFormat="1" applyFont="1" applyFill="1" applyAlignment="1"/>
    <xf numFmtId="164" fontId="1" fillId="4" borderId="0" xfId="0" applyNumberFormat="1" applyFont="1" applyFill="1" applyAlignment="1"/>
    <xf numFmtId="0" fontId="1" fillId="7" borderId="0" xfId="0" applyFont="1" applyFill="1" applyAlignment="1"/>
    <xf numFmtId="164" fontId="1" fillId="7" borderId="0" xfId="0" applyNumberFormat="1" applyFont="1" applyFill="1" applyAlignment="1"/>
    <xf numFmtId="164" fontId="1" fillId="2" borderId="0" xfId="0" applyNumberFormat="1" applyFont="1" applyFill="1"/>
    <xf numFmtId="0" fontId="1" fillId="2" borderId="0" xfId="0" applyFont="1" applyFill="1"/>
    <xf numFmtId="0" fontId="1" fillId="8" borderId="0" xfId="0" applyFont="1" applyFill="1" applyAlignment="1"/>
    <xf numFmtId="0" fontId="1" fillId="3" borderId="0" xfId="0" applyFont="1" applyFill="1"/>
    <xf numFmtId="164" fontId="1" fillId="9" borderId="0" xfId="0" applyNumberFormat="1" applyFont="1" applyFill="1" applyAlignment="1"/>
    <xf numFmtId="0" fontId="1" fillId="10" borderId="0" xfId="0" applyFont="1" applyFill="1" applyAlignment="1"/>
    <xf numFmtId="164" fontId="1" fillId="11" borderId="0" xfId="0" applyNumberFormat="1" applyFont="1" applyFill="1" applyAlignment="1"/>
    <xf numFmtId="0" fontId="1" fillId="10" borderId="0" xfId="0" applyFont="1" applyFill="1"/>
    <xf numFmtId="164" fontId="1" fillId="12" borderId="0" xfId="0" applyNumberFormat="1" applyFont="1" applyFill="1" applyAlignment="1"/>
    <xf numFmtId="0" fontId="1" fillId="13" borderId="0" xfId="0" applyFont="1" applyFill="1" applyAlignment="1"/>
    <xf numFmtId="165" fontId="1" fillId="0" borderId="0" xfId="0" applyNumberFormat="1" applyFont="1" applyAlignment="1"/>
    <xf numFmtId="0" fontId="1" fillId="0" borderId="0" xfId="0" applyFont="1" applyAlignment="1">
      <alignment wrapText="1"/>
    </xf>
    <xf numFmtId="164" fontId="1" fillId="0" borderId="0" xfId="0" applyNumberFormat="1" applyFont="1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14" borderId="0" xfId="0" applyFont="1" applyFill="1" applyAlignment="1"/>
    <xf numFmtId="10" fontId="1" fillId="15" borderId="0" xfId="0" applyNumberFormat="1" applyFont="1" applyFill="1" applyAlignment="1"/>
    <xf numFmtId="4" fontId="1" fillId="15" borderId="0" xfId="0" applyNumberFormat="1" applyFont="1" applyFill="1" applyAlignment="1"/>
    <xf numFmtId="164" fontId="1" fillId="15" borderId="0" xfId="0" applyNumberFormat="1" applyFont="1" applyFill="1" applyAlignment="1"/>
    <xf numFmtId="4" fontId="1" fillId="7" borderId="0" xfId="0" applyNumberFormat="1" applyFont="1" applyFill="1" applyAlignment="1"/>
    <xf numFmtId="4" fontId="1" fillId="0" borderId="0" xfId="0" applyNumberFormat="1" applyFont="1" applyAlignment="1"/>
    <xf numFmtId="0" fontId="1" fillId="9" borderId="0" xfId="0" applyFont="1" applyFill="1" applyAlignment="1"/>
    <xf numFmtId="0" fontId="1" fillId="16" borderId="0" xfId="0" applyFont="1" applyFill="1"/>
    <xf numFmtId="0" fontId="1" fillId="16" borderId="0" xfId="0" applyFont="1" applyFill="1" applyAlignment="1"/>
    <xf numFmtId="0" fontId="1" fillId="8" borderId="0" xfId="0" applyFont="1" applyFill="1"/>
    <xf numFmtId="0" fontId="1" fillId="17" borderId="0" xfId="0" applyFont="1" applyFill="1" applyAlignment="1"/>
    <xf numFmtId="0" fontId="2" fillId="18" borderId="0" xfId="0" applyFont="1" applyFill="1" applyAlignment="1"/>
    <xf numFmtId="0" fontId="2" fillId="18" borderId="0" xfId="0" applyFont="1" applyFill="1" applyAlignment="1">
      <alignment horizontal="right"/>
    </xf>
    <xf numFmtId="0" fontId="3" fillId="19" borderId="0" xfId="0" applyFont="1" applyFill="1" applyAlignment="1"/>
    <xf numFmtId="0" fontId="4" fillId="18" borderId="0" xfId="0" applyFont="1" applyFill="1" applyAlignment="1"/>
    <xf numFmtId="0" fontId="2" fillId="19" borderId="0" xfId="0" applyFont="1" applyFill="1" applyAlignment="1"/>
    <xf numFmtId="0" fontId="2" fillId="18" borderId="1" xfId="0" applyFont="1" applyFill="1" applyBorder="1" applyAlignment="1"/>
    <xf numFmtId="0" fontId="2" fillId="18" borderId="1" xfId="0" applyFont="1" applyFill="1" applyBorder="1" applyAlignment="1">
      <alignment horizontal="right"/>
    </xf>
    <xf numFmtId="0" fontId="2" fillId="18" borderId="0" xfId="0" applyFont="1" applyFill="1" applyAlignment="1"/>
    <xf numFmtId="0" fontId="2" fillId="18" borderId="0" xfId="0" applyFont="1" applyFill="1" applyAlignment="1">
      <alignment horizontal="right"/>
    </xf>
    <xf numFmtId="0" fontId="5" fillId="18" borderId="0" xfId="0" applyFont="1" applyFill="1" applyAlignment="1">
      <alignment horizontal="right"/>
    </xf>
    <xf numFmtId="0" fontId="5" fillId="18" borderId="0" xfId="0" applyFont="1" applyFill="1" applyAlignment="1"/>
    <xf numFmtId="0" fontId="5" fillId="18" borderId="0" xfId="0" applyFont="1" applyFill="1" applyAlignment="1"/>
    <xf numFmtId="0" fontId="5" fillId="18" borderId="0" xfId="0" applyFont="1" applyFill="1" applyAlignment="1">
      <alignment horizontal="right"/>
    </xf>
    <xf numFmtId="0" fontId="1" fillId="17" borderId="0" xfId="0" applyFont="1" applyFill="1"/>
    <xf numFmtId="0" fontId="1" fillId="6" borderId="0" xfId="0" applyFont="1" applyFill="1"/>
    <xf numFmtId="0" fontId="2" fillId="18" borderId="2" xfId="0" applyFont="1" applyFill="1" applyBorder="1" applyAlignment="1"/>
    <xf numFmtId="0" fontId="6" fillId="0" borderId="0" xfId="0" applyFont="1" applyAlignment="1">
      <alignment horizontal="right"/>
    </xf>
    <xf numFmtId="0" fontId="2" fillId="18" borderId="2" xfId="0" applyFont="1" applyFill="1" applyBorder="1" applyAlignment="1">
      <alignment horizontal="right"/>
    </xf>
    <xf numFmtId="0" fontId="7" fillId="20" borderId="3" xfId="0" applyFont="1" applyFill="1" applyBorder="1" applyAlignment="1">
      <alignment horizontal="center"/>
    </xf>
    <xf numFmtId="0" fontId="2" fillId="21" borderId="0" xfId="0" applyFont="1" applyFill="1" applyAlignment="1"/>
    <xf numFmtId="0" fontId="2" fillId="21" borderId="0" xfId="0" applyFont="1" applyFill="1" applyAlignment="1"/>
    <xf numFmtId="0" fontId="2" fillId="21" borderId="0" xfId="0" applyFont="1" applyFill="1" applyAlignment="1">
      <alignment horizontal="right"/>
    </xf>
    <xf numFmtId="4" fontId="1" fillId="4" borderId="0" xfId="0" applyNumberFormat="1" applyFont="1" applyFill="1" applyAlignment="1"/>
    <xf numFmtId="164" fontId="2" fillId="21" borderId="0" xfId="0" applyNumberFormat="1" applyFont="1" applyFill="1" applyAlignment="1">
      <alignment horizontal="right"/>
    </xf>
    <xf numFmtId="0" fontId="8" fillId="21" borderId="0" xfId="0" applyFont="1" applyFill="1" applyAlignment="1">
      <alignment horizontal="right"/>
    </xf>
    <xf numFmtId="0" fontId="9" fillId="21" borderId="0" xfId="0" applyFont="1" applyFill="1" applyAlignment="1"/>
    <xf numFmtId="0" fontId="2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0" fontId="9" fillId="0" borderId="0" xfId="0" applyFont="1" applyAlignment="1"/>
    <xf numFmtId="0" fontId="10" fillId="0" borderId="0" xfId="0" applyFont="1" applyAlignment="1">
      <alignment horizontal="right"/>
    </xf>
    <xf numFmtId="0" fontId="10" fillId="21" borderId="0" xfId="0" applyFont="1" applyFill="1" applyAlignment="1">
      <alignment horizontal="right"/>
    </xf>
    <xf numFmtId="0" fontId="11" fillId="22" borderId="4" xfId="0" applyFont="1" applyFill="1" applyBorder="1" applyAlignment="1"/>
    <xf numFmtId="3" fontId="11" fillId="22" borderId="4" xfId="0" applyNumberFormat="1" applyFont="1" applyFill="1" applyBorder="1" applyAlignment="1">
      <alignment horizontal="right"/>
    </xf>
    <xf numFmtId="0" fontId="11" fillId="22" borderId="4" xfId="0" applyFont="1" applyFill="1" applyBorder="1" applyAlignment="1">
      <alignment horizontal="right"/>
    </xf>
    <xf numFmtId="164" fontId="11" fillId="22" borderId="4" xfId="0" applyNumberFormat="1" applyFont="1" applyFill="1" applyBorder="1" applyAlignment="1">
      <alignment horizontal="right"/>
    </xf>
    <xf numFmtId="0" fontId="1" fillId="0" borderId="0" xfId="0" applyFont="1" applyAlignment="1">
      <alignment horizontal="right"/>
    </xf>
    <xf numFmtId="0" fontId="1" fillId="11" borderId="0" xfId="0" applyFont="1" applyFill="1" applyAlignment="1"/>
    <xf numFmtId="164" fontId="1" fillId="11" borderId="0" xfId="0" applyNumberFormat="1" applyFont="1" applyFill="1"/>
    <xf numFmtId="0" fontId="1" fillId="11" borderId="0" xfId="0" applyFont="1" applyFill="1"/>
    <xf numFmtId="4" fontId="1" fillId="11" borderId="0" xfId="0" applyNumberFormat="1" applyFont="1" applyFill="1" applyAlignment="1"/>
    <xf numFmtId="0" fontId="7" fillId="20" borderId="3" xfId="0" applyFont="1" applyFill="1" applyBorder="1" applyAlignment="1">
      <alignment horizontal="center"/>
    </xf>
    <xf numFmtId="10" fontId="9" fillId="21" borderId="0" xfId="0" applyNumberFormat="1" applyFont="1" applyFill="1" applyAlignment="1">
      <alignment horizontal="right"/>
    </xf>
    <xf numFmtId="10" fontId="12" fillId="21" borderId="0" xfId="0" applyNumberFormat="1" applyFont="1" applyFill="1" applyAlignment="1">
      <alignment horizontal="right"/>
    </xf>
    <xf numFmtId="10" fontId="12" fillId="0" borderId="0" xfId="0" applyNumberFormat="1" applyFont="1" applyAlignment="1">
      <alignment horizontal="right"/>
    </xf>
    <xf numFmtId="10" fontId="9" fillId="0" borderId="0" xfId="0" applyNumberFormat="1" applyFont="1" applyAlignment="1">
      <alignment horizontal="right"/>
    </xf>
    <xf numFmtId="0" fontId="10" fillId="0" borderId="0" xfId="0" applyFont="1" applyAlignment="1"/>
    <xf numFmtId="0" fontId="10" fillId="21" borderId="0" xfId="0" applyFont="1" applyFill="1" applyAlignment="1"/>
    <xf numFmtId="0" fontId="11" fillId="22" borderId="4" xfId="0" applyFont="1" applyFill="1" applyBorder="1" applyAlignment="1"/>
    <xf numFmtId="3" fontId="11" fillId="22" borderId="4" xfId="0" applyNumberFormat="1" applyFont="1" applyFill="1" applyBorder="1" applyAlignment="1">
      <alignment horizontal="right"/>
    </xf>
    <xf numFmtId="0" fontId="11" fillId="22" borderId="4" xfId="0" applyFont="1" applyFill="1" applyBorder="1" applyAlignment="1">
      <alignment horizontal="right"/>
    </xf>
    <xf numFmtId="164" fontId="11" fillId="22" borderId="4" xfId="0" applyNumberFormat="1" applyFont="1" applyFill="1" applyBorder="1" applyAlignment="1">
      <alignment horizontal="right"/>
    </xf>
    <xf numFmtId="0" fontId="11" fillId="22" borderId="4" xfId="0" applyFont="1" applyFill="1" applyBorder="1" applyAlignment="1">
      <alignment horizontal="center"/>
    </xf>
    <xf numFmtId="0" fontId="1" fillId="23" borderId="0" xfId="0" applyFont="1" applyFill="1" applyAlignment="1"/>
    <xf numFmtId="4" fontId="1" fillId="0" borderId="0" xfId="0" applyNumberFormat="1" applyFont="1"/>
    <xf numFmtId="0" fontId="5" fillId="18" borderId="0" xfId="0" applyFont="1" applyFill="1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  <pageSetUpPr fitToPage="1"/>
  </sheetPr>
  <dimension ref="A1:BN1001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.75" customHeight="1" x14ac:dyDescent="0.2"/>
  <cols>
    <col min="1" max="1" width="6.42578125" customWidth="1"/>
    <col min="2" max="2" width="47.42578125" customWidth="1"/>
    <col min="3" max="4" width="4.42578125" hidden="1" customWidth="1"/>
    <col min="5" max="5" width="8.7109375" hidden="1" customWidth="1"/>
    <col min="6" max="6" width="30.7109375" hidden="1" customWidth="1"/>
    <col min="7" max="7" width="8.28515625" hidden="1" customWidth="1"/>
    <col min="8" max="8" width="29.42578125" hidden="1" customWidth="1"/>
    <col min="9" max="9" width="9.140625" hidden="1" customWidth="1"/>
    <col min="10" max="10" width="9.85546875" hidden="1" customWidth="1"/>
    <col min="11" max="11" width="7.140625" hidden="1" customWidth="1"/>
    <col min="12" max="12" width="10.42578125" hidden="1" customWidth="1"/>
    <col min="13" max="13" width="9.28515625" hidden="1" customWidth="1"/>
    <col min="14" max="14" width="11.7109375" hidden="1" customWidth="1"/>
    <col min="15" max="15" width="9.42578125" hidden="1" customWidth="1"/>
    <col min="16" max="17" width="9.28515625" hidden="1" customWidth="1"/>
    <col min="18" max="18" width="12.5703125" hidden="1" customWidth="1"/>
    <col min="19" max="19" width="9.42578125" customWidth="1"/>
    <col min="20" max="20" width="18.42578125" customWidth="1"/>
    <col min="21" max="21" width="9.28515625" customWidth="1"/>
    <col min="22" max="22" width="11.7109375" customWidth="1"/>
    <col min="23" max="23" width="9.42578125" customWidth="1"/>
    <col min="24" max="24" width="8" customWidth="1"/>
    <col min="25" max="25" width="10.42578125" customWidth="1"/>
    <col min="26" max="26" width="13.5703125" customWidth="1"/>
    <col min="27" max="27" width="9.42578125" hidden="1" customWidth="1"/>
    <col min="28" max="29" width="10.42578125" hidden="1" customWidth="1"/>
    <col min="30" max="30" width="11.7109375" hidden="1" customWidth="1"/>
    <col min="31" max="31" width="13.28515625" hidden="1" customWidth="1"/>
    <col min="32" max="32" width="9.42578125" hidden="1" customWidth="1"/>
    <col min="33" max="34" width="10.42578125" hidden="1" customWidth="1"/>
    <col min="35" max="35" width="11.7109375" hidden="1" customWidth="1"/>
    <col min="36" max="36" width="13.28515625" hidden="1" customWidth="1"/>
    <col min="37" max="37" width="9.42578125" hidden="1" customWidth="1"/>
    <col min="38" max="39" width="10.42578125" hidden="1" customWidth="1"/>
    <col min="40" max="40" width="11.7109375" hidden="1" customWidth="1"/>
    <col min="41" max="41" width="13.28515625" hidden="1" customWidth="1"/>
    <col min="42" max="42" width="9.42578125" hidden="1" customWidth="1"/>
    <col min="43" max="44" width="10.42578125" hidden="1" customWidth="1"/>
    <col min="45" max="45" width="11.7109375" hidden="1" customWidth="1"/>
    <col min="46" max="46" width="13.28515625" hidden="1" customWidth="1"/>
    <col min="47" max="47" width="9.42578125" hidden="1" customWidth="1"/>
    <col min="48" max="49" width="10.42578125" hidden="1" customWidth="1"/>
    <col min="50" max="50" width="11.7109375" hidden="1" customWidth="1"/>
    <col min="51" max="51" width="13.28515625" hidden="1" customWidth="1"/>
    <col min="52" max="52" width="9.42578125" hidden="1" customWidth="1"/>
    <col min="53" max="54" width="10.42578125" hidden="1" customWidth="1"/>
    <col min="55" max="55" width="11.7109375" hidden="1" customWidth="1"/>
    <col min="56" max="56" width="13.28515625" hidden="1" customWidth="1"/>
    <col min="57" max="57" width="9.42578125" hidden="1" customWidth="1"/>
    <col min="58" max="59" width="10.42578125" hidden="1" customWidth="1"/>
    <col min="60" max="60" width="11.7109375" hidden="1" customWidth="1"/>
    <col min="61" max="61" width="13.28515625" hidden="1" customWidth="1"/>
    <col min="62" max="62" width="9.42578125" hidden="1" customWidth="1"/>
    <col min="63" max="64" width="10.42578125" hidden="1" customWidth="1"/>
    <col min="65" max="65" width="11.7109375" hidden="1" customWidth="1"/>
    <col min="66" max="66" width="13.28515625" hidden="1" customWidth="1"/>
  </cols>
  <sheetData>
    <row r="1" spans="1:66" ht="12.75" x14ac:dyDescent="0.2">
      <c r="A1" s="1"/>
      <c r="B1" s="1"/>
      <c r="C1" s="1"/>
      <c r="D1" s="1"/>
      <c r="E1" s="1"/>
      <c r="F1" s="1"/>
      <c r="G1" s="1"/>
      <c r="H1" s="1"/>
      <c r="I1" s="2"/>
      <c r="J1" s="2"/>
      <c r="K1" s="3">
        <f t="shared" ref="K1:N1" si="0">SUM(K18:K55)</f>
        <v>639228.90200000012</v>
      </c>
      <c r="L1" s="3">
        <f t="shared" si="0"/>
        <v>670</v>
      </c>
      <c r="M1" s="3">
        <f t="shared" si="0"/>
        <v>356.14999999999986</v>
      </c>
      <c r="N1" s="3">
        <f t="shared" si="0"/>
        <v>369.62999999999988</v>
      </c>
      <c r="O1" s="3"/>
      <c r="P1" s="3">
        <f t="shared" ref="P1:S1" si="1">SUM(P18:P55)</f>
        <v>0</v>
      </c>
      <c r="Q1" s="3">
        <f t="shared" si="1"/>
        <v>502.08</v>
      </c>
      <c r="R1" s="3">
        <f t="shared" si="1"/>
        <v>484.43000000000006</v>
      </c>
      <c r="S1" s="3">
        <f t="shared" si="1"/>
        <v>315</v>
      </c>
      <c r="T1" s="1"/>
      <c r="U1" s="1"/>
      <c r="V1" s="1"/>
      <c r="W1" s="5"/>
      <c r="X1" s="7">
        <f>Z1/Y1</f>
        <v>0.83409698287800704</v>
      </c>
      <c r="Y1" s="10">
        <f t="shared" ref="Y1:Z1" si="2">SUM(Y3:Y91)</f>
        <v>998643.07999999984</v>
      </c>
      <c r="Z1" s="10">
        <f t="shared" si="2"/>
        <v>832965.18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 spans="1:66" ht="12.75" x14ac:dyDescent="0.2">
      <c r="A2" s="12" t="s">
        <v>0</v>
      </c>
      <c r="B2" s="12" t="s">
        <v>1</v>
      </c>
      <c r="C2" s="12" t="s">
        <v>3</v>
      </c>
      <c r="D2" s="12" t="s">
        <v>2</v>
      </c>
      <c r="E2" s="12" t="s">
        <v>4</v>
      </c>
      <c r="F2" s="12" t="s">
        <v>5</v>
      </c>
      <c r="G2" s="12" t="s">
        <v>6</v>
      </c>
      <c r="H2" s="12" t="s">
        <v>7</v>
      </c>
      <c r="I2" s="13" t="s">
        <v>8</v>
      </c>
      <c r="J2" s="13" t="s">
        <v>9</v>
      </c>
      <c r="K2" s="3" t="s">
        <v>10</v>
      </c>
      <c r="L2" s="4" t="s">
        <v>11</v>
      </c>
      <c r="M2" s="12" t="s">
        <v>12</v>
      </c>
      <c r="N2" s="12" t="s">
        <v>13</v>
      </c>
      <c r="O2" s="5" t="s">
        <v>14</v>
      </c>
      <c r="P2" s="12"/>
      <c r="Q2" s="12" t="s">
        <v>15</v>
      </c>
      <c r="R2" s="12" t="s">
        <v>16</v>
      </c>
      <c r="S2" s="5" t="s">
        <v>17</v>
      </c>
      <c r="T2" s="12"/>
      <c r="U2" s="12" t="s">
        <v>18</v>
      </c>
      <c r="V2" s="12" t="s">
        <v>19</v>
      </c>
      <c r="W2" s="5" t="s">
        <v>20</v>
      </c>
      <c r="X2" s="12" t="s">
        <v>21</v>
      </c>
      <c r="Y2" s="13" t="s">
        <v>22</v>
      </c>
      <c r="Z2" s="13" t="s">
        <v>23</v>
      </c>
      <c r="AA2" s="12" t="s">
        <v>24</v>
      </c>
      <c r="AB2" s="12" t="s">
        <v>25</v>
      </c>
      <c r="AC2" s="12" t="s">
        <v>26</v>
      </c>
      <c r="AD2" s="12" t="s">
        <v>27</v>
      </c>
      <c r="AE2" s="12" t="s">
        <v>28</v>
      </c>
      <c r="AF2" s="12" t="s">
        <v>29</v>
      </c>
      <c r="AG2" s="12" t="s">
        <v>30</v>
      </c>
      <c r="AH2" s="12" t="s">
        <v>31</v>
      </c>
      <c r="AI2" s="12" t="s">
        <v>32</v>
      </c>
      <c r="AJ2" s="12" t="s">
        <v>33</v>
      </c>
      <c r="AK2" s="12" t="s">
        <v>34</v>
      </c>
      <c r="AL2" s="12" t="s">
        <v>35</v>
      </c>
      <c r="AM2" s="12" t="s">
        <v>36</v>
      </c>
      <c r="AN2" s="12" t="s">
        <v>37</v>
      </c>
      <c r="AO2" s="12" t="s">
        <v>38</v>
      </c>
      <c r="AP2" s="12" t="s">
        <v>39</v>
      </c>
      <c r="AQ2" s="12" t="s">
        <v>40</v>
      </c>
      <c r="AR2" s="12" t="s">
        <v>41</v>
      </c>
      <c r="AS2" s="12" t="s">
        <v>42</v>
      </c>
      <c r="AT2" s="12" t="s">
        <v>43</v>
      </c>
      <c r="AU2" s="12" t="s">
        <v>44</v>
      </c>
      <c r="AV2" s="12" t="s">
        <v>45</v>
      </c>
      <c r="AW2" s="12" t="s">
        <v>46</v>
      </c>
      <c r="AX2" s="12" t="s">
        <v>47</v>
      </c>
      <c r="AY2" s="12" t="s">
        <v>48</v>
      </c>
      <c r="AZ2" s="12" t="s">
        <v>49</v>
      </c>
      <c r="BA2" s="12" t="s">
        <v>50</v>
      </c>
      <c r="BB2" s="12" t="s">
        <v>51</v>
      </c>
      <c r="BC2" s="12" t="s">
        <v>52</v>
      </c>
      <c r="BD2" s="12" t="s">
        <v>53</v>
      </c>
      <c r="BE2" s="12" t="s">
        <v>54</v>
      </c>
      <c r="BF2" s="12" t="s">
        <v>55</v>
      </c>
      <c r="BG2" s="12" t="s">
        <v>56</v>
      </c>
      <c r="BH2" s="12" t="s">
        <v>57</v>
      </c>
      <c r="BI2" s="12" t="s">
        <v>58</v>
      </c>
      <c r="BJ2" s="12" t="s">
        <v>59</v>
      </c>
      <c r="BK2" s="12" t="s">
        <v>60</v>
      </c>
      <c r="BL2" s="12" t="s">
        <v>61</v>
      </c>
      <c r="BM2" s="12" t="s">
        <v>62</v>
      </c>
      <c r="BN2" s="12" t="s">
        <v>63</v>
      </c>
    </row>
    <row r="3" spans="1:66" ht="12.75" hidden="1" x14ac:dyDescent="0.2">
      <c r="A3" s="1">
        <v>47047</v>
      </c>
      <c r="B3" s="1">
        <v>47047</v>
      </c>
      <c r="C3" s="1"/>
      <c r="D3" s="1">
        <v>15</v>
      </c>
      <c r="E3" s="1">
        <v>677</v>
      </c>
      <c r="F3" s="1" t="s">
        <v>64</v>
      </c>
      <c r="G3" s="1">
        <v>999</v>
      </c>
      <c r="H3" s="1" t="s">
        <v>67</v>
      </c>
      <c r="I3" s="2">
        <v>20.947700000000001</v>
      </c>
      <c r="J3" s="2">
        <v>314.21550000000002</v>
      </c>
      <c r="K3" s="14" t="e">
        <f t="shared" ref="K3:K91" si="3">L3*J3</f>
        <v>#REF!</v>
      </c>
      <c r="L3" s="15" t="e">
        <f t="shared" ref="L3:L17" si="4">SUM(O3+S3+W3)</f>
        <v>#REF!</v>
      </c>
      <c r="M3" s="1">
        <v>0</v>
      </c>
      <c r="N3" s="1">
        <v>0</v>
      </c>
      <c r="O3" s="17">
        <f t="shared" ref="O3:O18" si="5">MAX(0,(TRUNC((M3*0.75)-N3)))</f>
        <v>0</v>
      </c>
      <c r="P3" s="1"/>
      <c r="Q3" s="1">
        <v>0</v>
      </c>
      <c r="R3" s="1">
        <v>0</v>
      </c>
      <c r="S3" s="17" t="e">
        <f t="shared" ref="S3:S17" si="6">Q3-#REF!</f>
        <v>#REF!</v>
      </c>
      <c r="T3" s="1"/>
      <c r="U3" s="1">
        <v>0</v>
      </c>
      <c r="V3" s="1">
        <v>0</v>
      </c>
      <c r="W3" s="17">
        <f t="shared" ref="W3:W17" si="7">MAX(0,(TRUNC((U3*0.75)-V3)))</f>
        <v>0</v>
      </c>
      <c r="X3" s="1">
        <v>0</v>
      </c>
      <c r="Y3" s="20">
        <v>0</v>
      </c>
      <c r="Z3" s="2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</row>
    <row r="4" spans="1:66" ht="12.75" hidden="1" x14ac:dyDescent="0.2">
      <c r="A4" s="1">
        <v>47006</v>
      </c>
      <c r="B4" s="1" t="s">
        <v>72</v>
      </c>
      <c r="C4" s="1"/>
      <c r="D4" s="1">
        <v>24</v>
      </c>
      <c r="E4" s="1">
        <v>677</v>
      </c>
      <c r="F4" s="1" t="s">
        <v>64</v>
      </c>
      <c r="G4" s="1">
        <v>998</v>
      </c>
      <c r="H4" s="1" t="s">
        <v>73</v>
      </c>
      <c r="I4" s="2">
        <v>20.635100000000001</v>
      </c>
      <c r="J4" s="2">
        <v>495.24239999999998</v>
      </c>
      <c r="K4" s="14" t="e">
        <f t="shared" si="3"/>
        <v>#REF!</v>
      </c>
      <c r="L4" s="15" t="e">
        <f t="shared" si="4"/>
        <v>#REF!</v>
      </c>
      <c r="M4" s="1">
        <v>0</v>
      </c>
      <c r="N4" s="1">
        <v>0</v>
      </c>
      <c r="O4" s="17">
        <f t="shared" si="5"/>
        <v>0</v>
      </c>
      <c r="P4" s="1"/>
      <c r="Q4" s="1">
        <v>0</v>
      </c>
      <c r="R4" s="1">
        <v>0</v>
      </c>
      <c r="S4" s="17" t="e">
        <f t="shared" si="6"/>
        <v>#REF!</v>
      </c>
      <c r="T4" s="1"/>
      <c r="U4" s="1">
        <v>0</v>
      </c>
      <c r="V4" s="1">
        <v>0</v>
      </c>
      <c r="W4" s="17">
        <f t="shared" si="7"/>
        <v>0</v>
      </c>
      <c r="X4" s="1">
        <v>0</v>
      </c>
      <c r="Y4" s="20">
        <v>0</v>
      </c>
      <c r="Z4" s="2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</row>
    <row r="5" spans="1:66" ht="12.75" hidden="1" x14ac:dyDescent="0.2">
      <c r="A5" s="1">
        <v>47022</v>
      </c>
      <c r="B5" s="1" t="s">
        <v>75</v>
      </c>
      <c r="C5" s="1"/>
      <c r="D5" s="1">
        <v>10</v>
      </c>
      <c r="E5" s="1">
        <v>677</v>
      </c>
      <c r="F5" s="1" t="s">
        <v>64</v>
      </c>
      <c r="G5" s="1">
        <v>998</v>
      </c>
      <c r="H5" s="1" t="s">
        <v>73</v>
      </c>
      <c r="I5" s="2">
        <v>127.43</v>
      </c>
      <c r="J5" s="2">
        <v>1274.3</v>
      </c>
      <c r="K5" s="14" t="e">
        <f t="shared" si="3"/>
        <v>#REF!</v>
      </c>
      <c r="L5" s="15" t="e">
        <f t="shared" si="4"/>
        <v>#REF!</v>
      </c>
      <c r="M5" s="1">
        <v>0</v>
      </c>
      <c r="N5" s="1">
        <v>0</v>
      </c>
      <c r="O5" s="17">
        <f t="shared" si="5"/>
        <v>0</v>
      </c>
      <c r="P5" s="1"/>
      <c r="Q5" s="1">
        <v>0</v>
      </c>
      <c r="R5" s="1">
        <v>0</v>
      </c>
      <c r="S5" s="17" t="e">
        <f t="shared" si="6"/>
        <v>#REF!</v>
      </c>
      <c r="T5" s="1"/>
      <c r="U5" s="1">
        <v>0</v>
      </c>
      <c r="V5" s="1">
        <v>0</v>
      </c>
      <c r="W5" s="17">
        <f t="shared" si="7"/>
        <v>0</v>
      </c>
      <c r="X5" s="1">
        <v>0</v>
      </c>
      <c r="Y5" s="20">
        <v>0</v>
      </c>
      <c r="Z5" s="2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</row>
    <row r="6" spans="1:66" ht="12.75" hidden="1" x14ac:dyDescent="0.2">
      <c r="A6" s="1">
        <v>8041</v>
      </c>
      <c r="B6" s="1" t="s">
        <v>77</v>
      </c>
      <c r="C6" s="1"/>
      <c r="D6" s="1">
        <v>72</v>
      </c>
      <c r="E6" s="1">
        <v>677</v>
      </c>
      <c r="F6" s="1" t="s">
        <v>64</v>
      </c>
      <c r="G6" s="1">
        <v>999</v>
      </c>
      <c r="H6" s="1" t="s">
        <v>67</v>
      </c>
      <c r="I6" s="2">
        <v>6.5368000000000004</v>
      </c>
      <c r="J6" s="2">
        <v>470.64960000000002</v>
      </c>
      <c r="K6" s="14" t="e">
        <f t="shared" si="3"/>
        <v>#REF!</v>
      </c>
      <c r="L6" s="15" t="e">
        <f t="shared" si="4"/>
        <v>#REF!</v>
      </c>
      <c r="M6" s="1">
        <v>0</v>
      </c>
      <c r="N6" s="1">
        <v>0</v>
      </c>
      <c r="O6" s="17">
        <f t="shared" si="5"/>
        <v>0</v>
      </c>
      <c r="P6" s="1"/>
      <c r="Q6" s="1">
        <v>0</v>
      </c>
      <c r="R6" s="1">
        <v>0</v>
      </c>
      <c r="S6" s="17" t="e">
        <f t="shared" si="6"/>
        <v>#REF!</v>
      </c>
      <c r="T6" s="1"/>
      <c r="U6" s="1">
        <v>0</v>
      </c>
      <c r="V6" s="1">
        <v>0</v>
      </c>
      <c r="W6" s="17">
        <f t="shared" si="7"/>
        <v>0</v>
      </c>
      <c r="X6" s="1">
        <v>0</v>
      </c>
      <c r="Y6" s="20">
        <v>0</v>
      </c>
      <c r="Z6" s="2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</row>
    <row r="7" spans="1:66" ht="12.75" hidden="1" x14ac:dyDescent="0.2">
      <c r="A7" s="1">
        <v>8042</v>
      </c>
      <c r="B7" s="1" t="s">
        <v>77</v>
      </c>
      <c r="C7" s="1"/>
      <c r="D7" s="1">
        <v>72</v>
      </c>
      <c r="E7" s="1">
        <v>677</v>
      </c>
      <c r="F7" s="1" t="s">
        <v>64</v>
      </c>
      <c r="G7" s="1">
        <v>999</v>
      </c>
      <c r="H7" s="1" t="s">
        <v>67</v>
      </c>
      <c r="I7" s="2">
        <v>6.5368000000000004</v>
      </c>
      <c r="J7" s="2">
        <v>470.64960000000002</v>
      </c>
      <c r="K7" s="14" t="e">
        <f t="shared" si="3"/>
        <v>#REF!</v>
      </c>
      <c r="L7" s="15" t="e">
        <f t="shared" si="4"/>
        <v>#REF!</v>
      </c>
      <c r="M7" s="1">
        <v>0</v>
      </c>
      <c r="N7" s="1">
        <v>0</v>
      </c>
      <c r="O7" s="17">
        <f t="shared" si="5"/>
        <v>0</v>
      </c>
      <c r="P7" s="1"/>
      <c r="Q7" s="1">
        <v>0</v>
      </c>
      <c r="R7" s="1">
        <v>0</v>
      </c>
      <c r="S7" s="17" t="e">
        <f t="shared" si="6"/>
        <v>#REF!</v>
      </c>
      <c r="T7" s="1"/>
      <c r="U7" s="1">
        <v>0</v>
      </c>
      <c r="V7" s="1">
        <v>0</v>
      </c>
      <c r="W7" s="17">
        <f t="shared" si="7"/>
        <v>0</v>
      </c>
      <c r="X7" s="1">
        <v>0</v>
      </c>
      <c r="Y7" s="20">
        <v>0</v>
      </c>
      <c r="Z7" s="2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</row>
    <row r="8" spans="1:66" ht="12.75" hidden="1" x14ac:dyDescent="0.2">
      <c r="A8" s="1">
        <v>9099</v>
      </c>
      <c r="B8" s="1" t="s">
        <v>77</v>
      </c>
      <c r="C8" s="1"/>
      <c r="D8" s="1">
        <v>24</v>
      </c>
      <c r="E8" s="1">
        <v>677</v>
      </c>
      <c r="F8" s="1" t="s">
        <v>64</v>
      </c>
      <c r="G8" s="1">
        <v>999</v>
      </c>
      <c r="H8" s="1" t="s">
        <v>67</v>
      </c>
      <c r="I8" s="2">
        <v>15.6492</v>
      </c>
      <c r="J8" s="2">
        <v>375.58080000000001</v>
      </c>
      <c r="K8" s="14" t="e">
        <f t="shared" si="3"/>
        <v>#REF!</v>
      </c>
      <c r="L8" s="15" t="e">
        <f t="shared" si="4"/>
        <v>#REF!</v>
      </c>
      <c r="M8" s="1">
        <v>0</v>
      </c>
      <c r="N8" s="1">
        <v>0</v>
      </c>
      <c r="O8" s="17">
        <f t="shared" si="5"/>
        <v>0</v>
      </c>
      <c r="P8" s="1"/>
      <c r="Q8" s="1">
        <v>0</v>
      </c>
      <c r="R8" s="1">
        <v>0</v>
      </c>
      <c r="S8" s="17" t="e">
        <f t="shared" si="6"/>
        <v>#REF!</v>
      </c>
      <c r="T8" s="1"/>
      <c r="U8" s="1">
        <v>0</v>
      </c>
      <c r="V8" s="1">
        <v>0</v>
      </c>
      <c r="W8" s="17">
        <f t="shared" si="7"/>
        <v>0</v>
      </c>
      <c r="X8" s="1">
        <v>0</v>
      </c>
      <c r="Y8" s="20">
        <v>0</v>
      </c>
      <c r="Z8" s="2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</row>
    <row r="9" spans="1:66" ht="12.75" hidden="1" x14ac:dyDescent="0.2">
      <c r="A9" s="1">
        <v>47017</v>
      </c>
      <c r="B9" s="1" t="s">
        <v>81</v>
      </c>
      <c r="C9" s="1"/>
      <c r="D9" s="1">
        <v>6</v>
      </c>
      <c r="E9" s="1">
        <v>677</v>
      </c>
      <c r="F9" s="1" t="s">
        <v>64</v>
      </c>
      <c r="G9" s="1">
        <v>999</v>
      </c>
      <c r="H9" s="1" t="s">
        <v>67</v>
      </c>
      <c r="I9" s="2">
        <v>51.17</v>
      </c>
      <c r="J9" s="2">
        <v>307.02</v>
      </c>
      <c r="K9" s="14" t="e">
        <f t="shared" si="3"/>
        <v>#REF!</v>
      </c>
      <c r="L9" s="15" t="e">
        <f t="shared" si="4"/>
        <v>#REF!</v>
      </c>
      <c r="M9" s="1">
        <v>0</v>
      </c>
      <c r="N9" s="1">
        <v>0</v>
      </c>
      <c r="O9" s="17">
        <f t="shared" si="5"/>
        <v>0</v>
      </c>
      <c r="P9" s="1"/>
      <c r="Q9" s="1">
        <v>0</v>
      </c>
      <c r="R9" s="1">
        <v>0</v>
      </c>
      <c r="S9" s="17" t="e">
        <f t="shared" si="6"/>
        <v>#REF!</v>
      </c>
      <c r="T9" s="1"/>
      <c r="U9" s="1">
        <v>0</v>
      </c>
      <c r="V9" s="1">
        <v>0</v>
      </c>
      <c r="W9" s="17">
        <f t="shared" si="7"/>
        <v>0</v>
      </c>
      <c r="X9" s="1">
        <v>0</v>
      </c>
      <c r="Y9" s="20">
        <v>0</v>
      </c>
      <c r="Z9" s="2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</row>
    <row r="10" spans="1:66" ht="12.75" hidden="1" x14ac:dyDescent="0.2">
      <c r="A10" s="1">
        <v>47021</v>
      </c>
      <c r="B10" s="1" t="s">
        <v>81</v>
      </c>
      <c r="C10" s="1"/>
      <c r="D10" s="1">
        <v>10</v>
      </c>
      <c r="E10" s="1">
        <v>677</v>
      </c>
      <c r="F10" s="1" t="s">
        <v>64</v>
      </c>
      <c r="G10" s="1">
        <v>999</v>
      </c>
      <c r="H10" s="1" t="s">
        <v>67</v>
      </c>
      <c r="I10" s="2">
        <v>34.318800000000003</v>
      </c>
      <c r="J10" s="2">
        <v>343.18799999999999</v>
      </c>
      <c r="K10" s="14" t="e">
        <f t="shared" si="3"/>
        <v>#REF!</v>
      </c>
      <c r="L10" s="15" t="e">
        <f t="shared" si="4"/>
        <v>#REF!</v>
      </c>
      <c r="M10" s="1">
        <v>0</v>
      </c>
      <c r="N10" s="1">
        <v>0</v>
      </c>
      <c r="O10" s="17">
        <f t="shared" si="5"/>
        <v>0</v>
      </c>
      <c r="P10" s="1"/>
      <c r="Q10" s="1">
        <v>0</v>
      </c>
      <c r="R10" s="1">
        <v>0</v>
      </c>
      <c r="S10" s="17" t="e">
        <f t="shared" si="6"/>
        <v>#REF!</v>
      </c>
      <c r="T10" s="1"/>
      <c r="U10" s="1">
        <v>0</v>
      </c>
      <c r="V10" s="1">
        <v>0</v>
      </c>
      <c r="W10" s="17">
        <f t="shared" si="7"/>
        <v>0</v>
      </c>
      <c r="X10" s="1">
        <v>0</v>
      </c>
      <c r="Y10" s="20">
        <v>0</v>
      </c>
      <c r="Z10" s="2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</row>
    <row r="11" spans="1:66" ht="12.75" hidden="1" x14ac:dyDescent="0.2">
      <c r="A11" s="1">
        <v>47028</v>
      </c>
      <c r="B11" s="1" t="s">
        <v>81</v>
      </c>
      <c r="C11" s="1"/>
      <c r="D11" s="1">
        <v>24</v>
      </c>
      <c r="E11" s="1">
        <v>677</v>
      </c>
      <c r="F11" s="1" t="s">
        <v>64</v>
      </c>
      <c r="G11" s="1">
        <v>999</v>
      </c>
      <c r="H11" s="1" t="s">
        <v>67</v>
      </c>
      <c r="I11" s="2">
        <v>37.9</v>
      </c>
      <c r="J11" s="2">
        <v>909.6</v>
      </c>
      <c r="K11" s="14" t="e">
        <f t="shared" si="3"/>
        <v>#REF!</v>
      </c>
      <c r="L11" s="15" t="e">
        <f t="shared" si="4"/>
        <v>#REF!</v>
      </c>
      <c r="M11" s="1">
        <v>0</v>
      </c>
      <c r="N11" s="1">
        <v>0</v>
      </c>
      <c r="O11" s="17">
        <f t="shared" si="5"/>
        <v>0</v>
      </c>
      <c r="P11" s="1"/>
      <c r="Q11" s="1">
        <v>0</v>
      </c>
      <c r="R11" s="1">
        <v>0</v>
      </c>
      <c r="S11" s="17" t="e">
        <f t="shared" si="6"/>
        <v>#REF!</v>
      </c>
      <c r="T11" s="1"/>
      <c r="U11" s="1">
        <v>0</v>
      </c>
      <c r="V11" s="1">
        <v>0</v>
      </c>
      <c r="W11" s="17">
        <f t="shared" si="7"/>
        <v>0</v>
      </c>
      <c r="X11" s="1">
        <v>0</v>
      </c>
      <c r="Y11" s="20">
        <v>0</v>
      </c>
      <c r="Z11" s="2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</row>
    <row r="12" spans="1:66" ht="12.75" hidden="1" x14ac:dyDescent="0.2">
      <c r="A12" s="1">
        <v>47032</v>
      </c>
      <c r="B12" s="1" t="s">
        <v>81</v>
      </c>
      <c r="C12" s="1"/>
      <c r="D12" s="1">
        <v>12</v>
      </c>
      <c r="E12" s="1">
        <v>677</v>
      </c>
      <c r="F12" s="1" t="s">
        <v>64</v>
      </c>
      <c r="G12" s="1">
        <v>999</v>
      </c>
      <c r="H12" s="1" t="s">
        <v>67</v>
      </c>
      <c r="I12" s="2">
        <v>22.49</v>
      </c>
      <c r="J12" s="2">
        <v>269.88</v>
      </c>
      <c r="K12" s="14" t="e">
        <f t="shared" si="3"/>
        <v>#REF!</v>
      </c>
      <c r="L12" s="15" t="e">
        <f t="shared" si="4"/>
        <v>#REF!</v>
      </c>
      <c r="M12" s="1">
        <v>0</v>
      </c>
      <c r="N12" s="1">
        <v>0</v>
      </c>
      <c r="O12" s="17">
        <f t="shared" si="5"/>
        <v>0</v>
      </c>
      <c r="P12" s="1"/>
      <c r="Q12" s="1">
        <v>0</v>
      </c>
      <c r="R12" s="1">
        <v>0</v>
      </c>
      <c r="S12" s="17" t="e">
        <f t="shared" si="6"/>
        <v>#REF!</v>
      </c>
      <c r="T12" s="1"/>
      <c r="U12" s="1">
        <v>0</v>
      </c>
      <c r="V12" s="1">
        <v>0</v>
      </c>
      <c r="W12" s="17">
        <f t="shared" si="7"/>
        <v>0</v>
      </c>
      <c r="X12" s="1">
        <v>0</v>
      </c>
      <c r="Y12" s="20">
        <v>0</v>
      </c>
      <c r="Z12" s="2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</row>
    <row r="13" spans="1:66" ht="12.75" hidden="1" x14ac:dyDescent="0.2">
      <c r="A13" s="1">
        <v>47034</v>
      </c>
      <c r="B13" s="1" t="s">
        <v>81</v>
      </c>
      <c r="C13" s="1"/>
      <c r="D13" s="1">
        <v>12</v>
      </c>
      <c r="E13" s="1">
        <v>677</v>
      </c>
      <c r="F13" s="1" t="s">
        <v>64</v>
      </c>
      <c r="G13" s="1">
        <v>999</v>
      </c>
      <c r="H13" s="1" t="s">
        <v>67</v>
      </c>
      <c r="I13" s="2">
        <v>25.038699999999999</v>
      </c>
      <c r="J13" s="2">
        <v>300.46440000000001</v>
      </c>
      <c r="K13" s="14" t="e">
        <f t="shared" si="3"/>
        <v>#REF!</v>
      </c>
      <c r="L13" s="15" t="e">
        <f t="shared" si="4"/>
        <v>#REF!</v>
      </c>
      <c r="M13" s="1">
        <v>0</v>
      </c>
      <c r="N13" s="1">
        <v>0</v>
      </c>
      <c r="O13" s="17">
        <f t="shared" si="5"/>
        <v>0</v>
      </c>
      <c r="P13" s="1"/>
      <c r="Q13" s="1">
        <v>0</v>
      </c>
      <c r="R13" s="1">
        <v>0</v>
      </c>
      <c r="S13" s="17" t="e">
        <f t="shared" si="6"/>
        <v>#REF!</v>
      </c>
      <c r="T13" s="1"/>
      <c r="U13" s="1">
        <v>0</v>
      </c>
      <c r="V13" s="1">
        <v>0</v>
      </c>
      <c r="W13" s="17">
        <f t="shared" si="7"/>
        <v>0</v>
      </c>
      <c r="X13" s="1">
        <v>0</v>
      </c>
      <c r="Y13" s="20">
        <v>0</v>
      </c>
      <c r="Z13" s="2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</row>
    <row r="14" spans="1:66" ht="12.75" hidden="1" x14ac:dyDescent="0.2">
      <c r="A14" s="1">
        <v>47037</v>
      </c>
      <c r="B14" s="1" t="s">
        <v>81</v>
      </c>
      <c r="C14" s="1"/>
      <c r="D14" s="1">
        <v>24</v>
      </c>
      <c r="E14" s="1">
        <v>677</v>
      </c>
      <c r="F14" s="1" t="s">
        <v>64</v>
      </c>
      <c r="G14" s="1">
        <v>999</v>
      </c>
      <c r="H14" s="1" t="s">
        <v>67</v>
      </c>
      <c r="I14" s="2">
        <v>20.088100000000001</v>
      </c>
      <c r="J14" s="2">
        <v>482.11439999999999</v>
      </c>
      <c r="K14" s="14" t="e">
        <f t="shared" si="3"/>
        <v>#REF!</v>
      </c>
      <c r="L14" s="15" t="e">
        <f t="shared" si="4"/>
        <v>#REF!</v>
      </c>
      <c r="M14" s="1">
        <v>0</v>
      </c>
      <c r="N14" s="1">
        <v>0</v>
      </c>
      <c r="O14" s="17">
        <f t="shared" si="5"/>
        <v>0</v>
      </c>
      <c r="P14" s="1"/>
      <c r="Q14" s="1">
        <v>0</v>
      </c>
      <c r="R14" s="1">
        <v>0</v>
      </c>
      <c r="S14" s="17" t="e">
        <f t="shared" si="6"/>
        <v>#REF!</v>
      </c>
      <c r="T14" s="1"/>
      <c r="U14" s="1">
        <v>0</v>
      </c>
      <c r="V14" s="1">
        <v>0</v>
      </c>
      <c r="W14" s="17">
        <f t="shared" si="7"/>
        <v>0</v>
      </c>
      <c r="X14" s="1">
        <v>0</v>
      </c>
      <c r="Y14" s="20">
        <v>0</v>
      </c>
      <c r="Z14" s="2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</row>
    <row r="15" spans="1:66" ht="12.75" hidden="1" x14ac:dyDescent="0.2">
      <c r="A15" s="1">
        <v>47044</v>
      </c>
      <c r="B15" s="1" t="s">
        <v>81</v>
      </c>
      <c r="C15" s="1"/>
      <c r="D15" s="1">
        <v>12</v>
      </c>
      <c r="E15" s="1">
        <v>677</v>
      </c>
      <c r="F15" s="1" t="s">
        <v>64</v>
      </c>
      <c r="G15" s="1">
        <v>999</v>
      </c>
      <c r="H15" s="1" t="s">
        <v>67</v>
      </c>
      <c r="I15" s="2">
        <v>18.04</v>
      </c>
      <c r="J15" s="2">
        <v>216.48</v>
      </c>
      <c r="K15" s="14" t="e">
        <f t="shared" si="3"/>
        <v>#REF!</v>
      </c>
      <c r="L15" s="15" t="e">
        <f t="shared" si="4"/>
        <v>#REF!</v>
      </c>
      <c r="M15" s="1">
        <v>0</v>
      </c>
      <c r="N15" s="1">
        <v>0</v>
      </c>
      <c r="O15" s="17">
        <f t="shared" si="5"/>
        <v>0</v>
      </c>
      <c r="P15" s="1"/>
      <c r="Q15" s="1">
        <v>0</v>
      </c>
      <c r="R15" s="1">
        <v>0</v>
      </c>
      <c r="S15" s="17" t="e">
        <f t="shared" si="6"/>
        <v>#REF!</v>
      </c>
      <c r="T15" s="1"/>
      <c r="U15" s="1">
        <v>0</v>
      </c>
      <c r="V15" s="1">
        <v>0</v>
      </c>
      <c r="W15" s="17">
        <f t="shared" si="7"/>
        <v>0</v>
      </c>
      <c r="X15" s="1">
        <v>0</v>
      </c>
      <c r="Y15" s="20">
        <v>0</v>
      </c>
      <c r="Z15" s="2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</row>
    <row r="16" spans="1:66" ht="12.75" hidden="1" x14ac:dyDescent="0.2">
      <c r="A16" s="1">
        <v>47050</v>
      </c>
      <c r="B16" s="1" t="s">
        <v>81</v>
      </c>
      <c r="C16" s="1"/>
      <c r="D16" s="1">
        <v>24</v>
      </c>
      <c r="E16" s="1">
        <v>677</v>
      </c>
      <c r="F16" s="1" t="s">
        <v>64</v>
      </c>
      <c r="G16" s="1">
        <v>999</v>
      </c>
      <c r="H16" s="1" t="s">
        <v>67</v>
      </c>
      <c r="I16" s="2">
        <v>16.470099999999999</v>
      </c>
      <c r="J16" s="2">
        <v>395.2824</v>
      </c>
      <c r="K16" s="14" t="e">
        <f t="shared" si="3"/>
        <v>#REF!</v>
      </c>
      <c r="L16" s="15" t="e">
        <f t="shared" si="4"/>
        <v>#REF!</v>
      </c>
      <c r="M16" s="1">
        <v>0</v>
      </c>
      <c r="N16" s="1">
        <v>0</v>
      </c>
      <c r="O16" s="17">
        <f t="shared" si="5"/>
        <v>0</v>
      </c>
      <c r="P16" s="1"/>
      <c r="Q16" s="1">
        <v>0</v>
      </c>
      <c r="R16" s="1">
        <v>0</v>
      </c>
      <c r="S16" s="17" t="e">
        <f t="shared" si="6"/>
        <v>#REF!</v>
      </c>
      <c r="T16" s="1"/>
      <c r="U16" s="1">
        <v>0</v>
      </c>
      <c r="V16" s="1">
        <v>0</v>
      </c>
      <c r="W16" s="17">
        <f t="shared" si="7"/>
        <v>0</v>
      </c>
      <c r="X16" s="1">
        <v>0</v>
      </c>
      <c r="Y16" s="20">
        <v>0</v>
      </c>
      <c r="Z16" s="2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</row>
    <row r="17" spans="1:66" ht="12.75" hidden="1" x14ac:dyDescent="0.2">
      <c r="A17" s="1">
        <v>47125</v>
      </c>
      <c r="B17" s="1" t="s">
        <v>81</v>
      </c>
      <c r="C17" s="1"/>
      <c r="D17" s="1">
        <v>15</v>
      </c>
      <c r="E17" s="1">
        <v>677</v>
      </c>
      <c r="F17" s="1" t="s">
        <v>64</v>
      </c>
      <c r="G17" s="1">
        <v>999</v>
      </c>
      <c r="H17" s="1" t="s">
        <v>67</v>
      </c>
      <c r="I17" s="2">
        <v>37.9</v>
      </c>
      <c r="J17" s="2">
        <v>568.5</v>
      </c>
      <c r="K17" s="14" t="e">
        <f t="shared" si="3"/>
        <v>#REF!</v>
      </c>
      <c r="L17" s="15" t="e">
        <f t="shared" si="4"/>
        <v>#REF!</v>
      </c>
      <c r="M17" s="1">
        <v>0</v>
      </c>
      <c r="N17" s="1">
        <v>0</v>
      </c>
      <c r="O17" s="17">
        <f t="shared" si="5"/>
        <v>0</v>
      </c>
      <c r="P17" s="1"/>
      <c r="Q17" s="1">
        <v>0</v>
      </c>
      <c r="R17" s="1">
        <v>0</v>
      </c>
      <c r="S17" s="17" t="e">
        <f t="shared" si="6"/>
        <v>#REF!</v>
      </c>
      <c r="T17" s="1"/>
      <c r="U17" s="1">
        <v>0</v>
      </c>
      <c r="V17" s="1">
        <v>0</v>
      </c>
      <c r="W17" s="17">
        <f t="shared" si="7"/>
        <v>0</v>
      </c>
      <c r="X17" s="1">
        <v>0</v>
      </c>
      <c r="Y17" s="20">
        <v>0</v>
      </c>
      <c r="Z17" s="2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</row>
    <row r="18" spans="1:66" ht="12.75" hidden="1" x14ac:dyDescent="0.2">
      <c r="A18" s="1">
        <v>47005</v>
      </c>
      <c r="B18" s="1" t="s">
        <v>68</v>
      </c>
      <c r="C18" s="1" t="s">
        <v>96</v>
      </c>
      <c r="D18" s="1">
        <v>24</v>
      </c>
      <c r="E18" s="1">
        <v>677</v>
      </c>
      <c r="F18" s="1" t="s">
        <v>64</v>
      </c>
      <c r="G18" s="1">
        <v>61</v>
      </c>
      <c r="H18" s="1" t="s">
        <v>66</v>
      </c>
      <c r="I18" s="2">
        <v>22.315899999999999</v>
      </c>
      <c r="J18" s="2">
        <v>535.58159999999998</v>
      </c>
      <c r="K18" s="14">
        <f t="shared" si="3"/>
        <v>0</v>
      </c>
      <c r="L18" s="15">
        <f t="shared" ref="L18:L53" si="8">SUM(O18+W18+S18)</f>
        <v>0</v>
      </c>
      <c r="M18" s="1">
        <v>63.67</v>
      </c>
      <c r="N18" s="1">
        <v>71.959999999999994</v>
      </c>
      <c r="O18" s="17">
        <f t="shared" si="5"/>
        <v>0</v>
      </c>
      <c r="P18" s="1"/>
      <c r="Q18" s="1">
        <v>98.98</v>
      </c>
      <c r="R18" s="1">
        <v>143.71</v>
      </c>
      <c r="S18" s="5">
        <v>0</v>
      </c>
      <c r="T18" s="1"/>
      <c r="U18" s="1">
        <v>99.04</v>
      </c>
      <c r="V18" s="1">
        <v>46.96</v>
      </c>
      <c r="W18" s="5">
        <v>0</v>
      </c>
      <c r="X18" s="1" t="s">
        <v>98</v>
      </c>
      <c r="Y18" s="18">
        <v>140155.01</v>
      </c>
      <c r="Z18" s="2">
        <v>140657.12</v>
      </c>
      <c r="AA18" s="1">
        <v>254</v>
      </c>
      <c r="AB18" s="1">
        <v>147</v>
      </c>
      <c r="AC18" s="1">
        <v>952</v>
      </c>
      <c r="AD18" s="1">
        <v>497</v>
      </c>
      <c r="AE18" s="1">
        <v>1727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614</v>
      </c>
      <c r="AV18" s="1">
        <v>305</v>
      </c>
      <c r="AW18" s="1">
        <v>1272</v>
      </c>
      <c r="AX18" s="1">
        <v>674</v>
      </c>
      <c r="AY18" s="1">
        <v>3449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701</v>
      </c>
      <c r="BF18" s="1">
        <v>182</v>
      </c>
      <c r="BG18" s="1">
        <v>1160</v>
      </c>
      <c r="BH18" s="1">
        <v>850</v>
      </c>
      <c r="BI18" s="1">
        <v>1127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</row>
    <row r="19" spans="1:66" ht="12.75" x14ac:dyDescent="0.2">
      <c r="A19" s="1">
        <v>47001</v>
      </c>
      <c r="B19" s="1" t="s">
        <v>65</v>
      </c>
      <c r="C19" s="1" t="s">
        <v>99</v>
      </c>
      <c r="D19" s="1">
        <v>16</v>
      </c>
      <c r="E19" s="1">
        <v>677</v>
      </c>
      <c r="F19" s="1" t="s">
        <v>64</v>
      </c>
      <c r="G19" s="1">
        <v>61</v>
      </c>
      <c r="H19" s="1" t="s">
        <v>66</v>
      </c>
      <c r="I19" s="2">
        <v>56.590200000000003</v>
      </c>
      <c r="J19" s="2">
        <v>905.44320000000005</v>
      </c>
      <c r="K19" s="14">
        <f t="shared" si="3"/>
        <v>144870.91200000001</v>
      </c>
      <c r="L19" s="15">
        <f t="shared" si="8"/>
        <v>160</v>
      </c>
      <c r="M19" s="1">
        <v>45.12</v>
      </c>
      <c r="N19" s="1">
        <v>4.4400000000000004</v>
      </c>
      <c r="O19" s="5">
        <v>60</v>
      </c>
      <c r="P19" s="1"/>
      <c r="Q19" s="1">
        <v>58.19</v>
      </c>
      <c r="R19" s="1">
        <v>20</v>
      </c>
      <c r="S19" s="5">
        <v>60</v>
      </c>
      <c r="T19" s="1"/>
      <c r="U19" s="1">
        <v>47.5</v>
      </c>
      <c r="V19" s="1">
        <v>6.88</v>
      </c>
      <c r="W19" s="5">
        <v>40</v>
      </c>
      <c r="X19" s="1">
        <v>0</v>
      </c>
      <c r="Y19" s="18">
        <v>136552.15</v>
      </c>
      <c r="Z19" s="2">
        <v>28351.69</v>
      </c>
      <c r="AA19" s="1">
        <v>213</v>
      </c>
      <c r="AB19" s="1">
        <v>67</v>
      </c>
      <c r="AC19" s="1">
        <v>291</v>
      </c>
      <c r="AD19" s="1">
        <v>369</v>
      </c>
      <c r="AE19" s="1">
        <v>71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369</v>
      </c>
      <c r="AV19" s="1">
        <v>107</v>
      </c>
      <c r="AW19" s="1">
        <v>362</v>
      </c>
      <c r="AX19" s="1">
        <v>293</v>
      </c>
      <c r="AY19" s="1">
        <v>320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140</v>
      </c>
      <c r="BF19" s="1">
        <v>154</v>
      </c>
      <c r="BG19" s="1">
        <v>372</v>
      </c>
      <c r="BH19" s="1">
        <v>342</v>
      </c>
      <c r="BI19" s="1">
        <v>110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</row>
    <row r="20" spans="1:66" ht="12.75" x14ac:dyDescent="0.2">
      <c r="A20" s="1">
        <v>47012</v>
      </c>
      <c r="B20" s="1" t="s">
        <v>74</v>
      </c>
      <c r="C20" s="1" t="s">
        <v>102</v>
      </c>
      <c r="D20" s="1">
        <v>18</v>
      </c>
      <c r="E20" s="1">
        <v>677</v>
      </c>
      <c r="F20" s="1" t="s">
        <v>64</v>
      </c>
      <c r="G20" s="1">
        <v>61</v>
      </c>
      <c r="H20" s="1" t="s">
        <v>66</v>
      </c>
      <c r="I20" s="2">
        <v>58.837899999999998</v>
      </c>
      <c r="J20" s="2">
        <v>1059.0822000000001</v>
      </c>
      <c r="K20" s="14">
        <f t="shared" si="3"/>
        <v>52954.11</v>
      </c>
      <c r="L20" s="15">
        <f t="shared" si="8"/>
        <v>50</v>
      </c>
      <c r="M20" s="1">
        <v>15.86</v>
      </c>
      <c r="N20" s="1">
        <v>17.440000000000001</v>
      </c>
      <c r="O20" s="17">
        <f>MAX(0,(TRUNC((M20*0.75)-N20)))</f>
        <v>0</v>
      </c>
      <c r="P20" s="1"/>
      <c r="Q20" s="1">
        <v>41.25</v>
      </c>
      <c r="R20" s="1">
        <v>7.78</v>
      </c>
      <c r="S20" s="5">
        <v>50</v>
      </c>
      <c r="T20" s="1"/>
      <c r="U20" s="1">
        <v>32.33</v>
      </c>
      <c r="V20" s="1">
        <v>26.89</v>
      </c>
      <c r="W20" s="17">
        <f>MAX(0,(TRUNC((U20*0.75)-V20)))</f>
        <v>0</v>
      </c>
      <c r="X20" s="1">
        <v>0</v>
      </c>
      <c r="Y20" s="18">
        <v>94729.02</v>
      </c>
      <c r="Z20" s="2">
        <v>55189.95</v>
      </c>
      <c r="AA20" s="1">
        <v>91</v>
      </c>
      <c r="AB20" s="1">
        <v>87</v>
      </c>
      <c r="AC20" s="1">
        <v>63</v>
      </c>
      <c r="AD20" s="1">
        <v>176</v>
      </c>
      <c r="AE20" s="1">
        <v>314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278</v>
      </c>
      <c r="AV20" s="1">
        <v>125</v>
      </c>
      <c r="AW20" s="1">
        <v>308</v>
      </c>
      <c r="AX20" s="1">
        <v>188</v>
      </c>
      <c r="AY20" s="1">
        <v>140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265</v>
      </c>
      <c r="BF20" s="1">
        <v>66</v>
      </c>
      <c r="BG20" s="1">
        <v>219</v>
      </c>
      <c r="BH20" s="1">
        <v>130</v>
      </c>
      <c r="BI20" s="1">
        <v>484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</row>
    <row r="21" spans="1:66" ht="12.75" x14ac:dyDescent="0.2">
      <c r="A21" s="1">
        <v>47023</v>
      </c>
      <c r="B21" s="1" t="s">
        <v>76</v>
      </c>
      <c r="C21" s="1"/>
      <c r="D21" s="1">
        <v>8</v>
      </c>
      <c r="E21" s="1">
        <v>677</v>
      </c>
      <c r="F21" s="1" t="s">
        <v>64</v>
      </c>
      <c r="G21" s="1">
        <v>61</v>
      </c>
      <c r="H21" s="1" t="s">
        <v>66</v>
      </c>
      <c r="I21" s="2">
        <v>105.55</v>
      </c>
      <c r="J21" s="2">
        <v>844.4</v>
      </c>
      <c r="K21" s="14">
        <f t="shared" si="3"/>
        <v>84440</v>
      </c>
      <c r="L21" s="15">
        <f t="shared" si="8"/>
        <v>100</v>
      </c>
      <c r="M21" s="1">
        <v>33.19</v>
      </c>
      <c r="N21" s="1">
        <v>13.5</v>
      </c>
      <c r="O21" s="5">
        <v>20</v>
      </c>
      <c r="P21" s="1"/>
      <c r="Q21" s="1">
        <v>35.119999999999997</v>
      </c>
      <c r="R21" s="1">
        <v>7.38</v>
      </c>
      <c r="S21" s="5">
        <v>50</v>
      </c>
      <c r="T21" s="1"/>
      <c r="U21" s="1">
        <v>22.38</v>
      </c>
      <c r="V21" s="1">
        <v>4.88</v>
      </c>
      <c r="W21" s="5">
        <v>30</v>
      </c>
      <c r="X21" s="1">
        <v>0</v>
      </c>
      <c r="Y21" s="18">
        <v>76576.52</v>
      </c>
      <c r="Z21" s="2">
        <v>21743.3</v>
      </c>
      <c r="AA21" s="1">
        <v>101</v>
      </c>
      <c r="AB21" s="1">
        <v>23</v>
      </c>
      <c r="AC21" s="1">
        <v>127</v>
      </c>
      <c r="AD21" s="1">
        <v>52</v>
      </c>
      <c r="AE21" s="1">
        <v>108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106</v>
      </c>
      <c r="AV21" s="1">
        <v>19</v>
      </c>
      <c r="AW21" s="1">
        <v>120</v>
      </c>
      <c r="AX21" s="1">
        <v>91</v>
      </c>
      <c r="AY21" s="1">
        <v>59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78</v>
      </c>
      <c r="BF21" s="1">
        <v>59</v>
      </c>
      <c r="BG21" s="1">
        <v>62</v>
      </c>
      <c r="BH21" s="1">
        <v>19</v>
      </c>
      <c r="BI21" s="1">
        <v>39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</row>
    <row r="22" spans="1:66" ht="12.75" x14ac:dyDescent="0.2">
      <c r="A22" s="1">
        <v>47010</v>
      </c>
      <c r="B22" s="1" t="s">
        <v>71</v>
      </c>
      <c r="C22" s="24">
        <v>46296</v>
      </c>
      <c r="D22" s="1">
        <v>24</v>
      </c>
      <c r="E22" s="1">
        <v>677</v>
      </c>
      <c r="F22" s="1" t="s">
        <v>64</v>
      </c>
      <c r="G22" s="1">
        <v>61</v>
      </c>
      <c r="H22" s="1" t="s">
        <v>66</v>
      </c>
      <c r="I22" s="2">
        <v>48.56</v>
      </c>
      <c r="J22" s="2">
        <v>1165.44</v>
      </c>
      <c r="K22" s="14">
        <f t="shared" si="3"/>
        <v>58272</v>
      </c>
      <c r="L22" s="15">
        <f t="shared" si="8"/>
        <v>50</v>
      </c>
      <c r="M22" s="1">
        <v>14.6</v>
      </c>
      <c r="N22" s="1">
        <v>2.79</v>
      </c>
      <c r="O22" s="5">
        <v>20</v>
      </c>
      <c r="P22" s="1"/>
      <c r="Q22" s="1">
        <v>22.04</v>
      </c>
      <c r="R22" s="1">
        <v>7.62</v>
      </c>
      <c r="S22" s="5">
        <v>20</v>
      </c>
      <c r="T22" s="1"/>
      <c r="U22" s="1">
        <v>24.75</v>
      </c>
      <c r="V22" s="1">
        <v>12.08</v>
      </c>
      <c r="W22" s="5">
        <v>10</v>
      </c>
      <c r="X22" s="1">
        <v>0</v>
      </c>
      <c r="Y22" s="18">
        <v>71553.16</v>
      </c>
      <c r="Z22" s="2">
        <v>26222.400000000001</v>
      </c>
      <c r="AA22" s="1">
        <v>67</v>
      </c>
      <c r="AB22" s="1">
        <v>59</v>
      </c>
      <c r="AC22" s="1">
        <v>127</v>
      </c>
      <c r="AD22" s="1">
        <v>254</v>
      </c>
      <c r="AE22" s="1">
        <v>67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187</v>
      </c>
      <c r="AV22" s="1">
        <v>74</v>
      </c>
      <c r="AW22" s="1">
        <v>143</v>
      </c>
      <c r="AX22" s="1">
        <v>324</v>
      </c>
      <c r="AY22" s="1">
        <v>183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153</v>
      </c>
      <c r="BF22" s="1">
        <v>98</v>
      </c>
      <c r="BG22" s="1">
        <v>253</v>
      </c>
      <c r="BH22" s="1">
        <v>278</v>
      </c>
      <c r="BI22" s="1">
        <v>290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</row>
    <row r="23" spans="1:66" ht="12.75" x14ac:dyDescent="0.2">
      <c r="A23" s="1">
        <v>47046</v>
      </c>
      <c r="B23" s="1" t="s">
        <v>78</v>
      </c>
      <c r="C23" s="1" t="s">
        <v>99</v>
      </c>
      <c r="D23" s="1">
        <v>24</v>
      </c>
      <c r="E23" s="1">
        <v>677</v>
      </c>
      <c r="F23" s="1" t="s">
        <v>64</v>
      </c>
      <c r="G23" s="1">
        <v>61</v>
      </c>
      <c r="H23" s="1" t="s">
        <v>66</v>
      </c>
      <c r="I23" s="2">
        <v>39.11</v>
      </c>
      <c r="J23" s="2">
        <v>938.64</v>
      </c>
      <c r="K23" s="14">
        <f t="shared" si="3"/>
        <v>18772.8</v>
      </c>
      <c r="L23" s="15">
        <f t="shared" si="8"/>
        <v>20</v>
      </c>
      <c r="M23" s="1">
        <v>12.83</v>
      </c>
      <c r="N23" s="1">
        <v>45.96</v>
      </c>
      <c r="O23" s="17">
        <f>MAX(0,(TRUNC((M23*0.75)-N23)))</f>
        <v>0</v>
      </c>
      <c r="P23" s="1"/>
      <c r="Q23" s="1">
        <v>30.85</v>
      </c>
      <c r="R23" s="1">
        <v>6.88</v>
      </c>
      <c r="S23" s="5">
        <v>20</v>
      </c>
      <c r="T23" s="1" t="s">
        <v>108</v>
      </c>
      <c r="U23" s="1">
        <v>22.21</v>
      </c>
      <c r="V23" s="1">
        <v>49.12</v>
      </c>
      <c r="W23" s="17">
        <f>MAX(0,(TRUNC((U23*0.75)-V23)))</f>
        <v>0</v>
      </c>
      <c r="X23" s="1">
        <v>0</v>
      </c>
      <c r="Y23" s="18">
        <v>61852.46</v>
      </c>
      <c r="Z23" s="2">
        <v>95702.17</v>
      </c>
      <c r="AA23" s="1">
        <v>86</v>
      </c>
      <c r="AB23" s="1">
        <v>38</v>
      </c>
      <c r="AC23" s="1">
        <v>139</v>
      </c>
      <c r="AD23" s="1">
        <v>128</v>
      </c>
      <c r="AE23" s="1">
        <v>1103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319</v>
      </c>
      <c r="AV23" s="1">
        <v>77</v>
      </c>
      <c r="AW23" s="1">
        <v>286</v>
      </c>
      <c r="AX23" s="1">
        <v>194</v>
      </c>
      <c r="AY23" s="1">
        <v>165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133</v>
      </c>
      <c r="BF23" s="1">
        <v>62</v>
      </c>
      <c r="BG23" s="1">
        <v>270</v>
      </c>
      <c r="BH23" s="1">
        <v>198</v>
      </c>
      <c r="BI23" s="1">
        <v>1179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</row>
    <row r="24" spans="1:66" ht="12.75" hidden="1" x14ac:dyDescent="0.2">
      <c r="A24" s="1">
        <v>47038</v>
      </c>
      <c r="B24" s="1" t="s">
        <v>90</v>
      </c>
      <c r="C24" s="1"/>
      <c r="D24" s="1">
        <v>28</v>
      </c>
      <c r="E24" s="1">
        <v>677</v>
      </c>
      <c r="F24" s="1" t="s">
        <v>64</v>
      </c>
      <c r="G24" s="1">
        <v>61</v>
      </c>
      <c r="H24" s="1" t="s">
        <v>66</v>
      </c>
      <c r="I24" s="2">
        <v>26.59</v>
      </c>
      <c r="J24" s="2">
        <v>744.52</v>
      </c>
      <c r="K24" s="14">
        <f t="shared" si="3"/>
        <v>29780.799999999999</v>
      </c>
      <c r="L24" s="15">
        <f t="shared" si="8"/>
        <v>40</v>
      </c>
      <c r="M24" s="1">
        <v>16.34</v>
      </c>
      <c r="N24" s="1">
        <v>0.04</v>
      </c>
      <c r="O24" s="5">
        <v>20</v>
      </c>
      <c r="P24" s="1"/>
      <c r="Q24" s="1">
        <v>23.54</v>
      </c>
      <c r="R24" s="1">
        <v>29.54</v>
      </c>
      <c r="S24" s="5">
        <v>0</v>
      </c>
      <c r="T24" s="1"/>
      <c r="U24" s="1">
        <v>23.89</v>
      </c>
      <c r="V24" s="1">
        <v>6.54</v>
      </c>
      <c r="W24" s="5">
        <v>20</v>
      </c>
      <c r="X24" s="1">
        <v>0</v>
      </c>
      <c r="Y24" s="18">
        <v>47476.44</v>
      </c>
      <c r="Z24" s="2">
        <v>26882.49</v>
      </c>
      <c r="AA24" s="1">
        <v>93</v>
      </c>
      <c r="AB24" s="1">
        <v>83</v>
      </c>
      <c r="AC24" s="1">
        <v>248</v>
      </c>
      <c r="AD24" s="1">
        <v>150</v>
      </c>
      <c r="AE24" s="1">
        <v>1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138</v>
      </c>
      <c r="AV24" s="1">
        <v>52</v>
      </c>
      <c r="AW24" s="1">
        <v>357</v>
      </c>
      <c r="AX24" s="1">
        <v>276</v>
      </c>
      <c r="AY24" s="1">
        <v>827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239</v>
      </c>
      <c r="BF24" s="1">
        <v>8</v>
      </c>
      <c r="BG24" s="1">
        <v>277</v>
      </c>
      <c r="BH24" s="1">
        <v>298</v>
      </c>
      <c r="BI24" s="1">
        <v>183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</row>
    <row r="25" spans="1:66" ht="12.75" x14ac:dyDescent="0.2">
      <c r="A25" s="1">
        <v>47039</v>
      </c>
      <c r="B25" s="1" t="s">
        <v>79</v>
      </c>
      <c r="D25" s="1">
        <v>24</v>
      </c>
      <c r="E25" s="1">
        <v>677</v>
      </c>
      <c r="F25" s="1" t="s">
        <v>64</v>
      </c>
      <c r="G25" s="1">
        <v>61</v>
      </c>
      <c r="H25" s="1" t="s">
        <v>66</v>
      </c>
      <c r="I25" s="2">
        <v>52.259</v>
      </c>
      <c r="J25" s="2">
        <v>1254.2159999999999</v>
      </c>
      <c r="K25" s="14">
        <f t="shared" si="3"/>
        <v>25084.32</v>
      </c>
      <c r="L25" s="15">
        <f t="shared" si="8"/>
        <v>20</v>
      </c>
      <c r="M25" s="1">
        <v>8.44</v>
      </c>
      <c r="N25" s="1">
        <v>1</v>
      </c>
      <c r="O25" s="5">
        <v>10</v>
      </c>
      <c r="P25" s="1"/>
      <c r="Q25" s="1">
        <v>17.899999999999999</v>
      </c>
      <c r="R25" s="1">
        <v>12.12</v>
      </c>
      <c r="S25" s="5">
        <v>10</v>
      </c>
      <c r="T25" s="1"/>
      <c r="U25" s="1">
        <v>9.98</v>
      </c>
      <c r="V25" s="1">
        <v>7.83</v>
      </c>
      <c r="W25" s="17">
        <f t="shared" ref="W25:W26" si="9">MAX(0,(TRUNC((U25*0.75)-V25)))</f>
        <v>0</v>
      </c>
      <c r="X25" s="1">
        <v>0</v>
      </c>
      <c r="Y25" s="18">
        <v>45543.72</v>
      </c>
      <c r="Z25" s="2">
        <v>26286.28</v>
      </c>
      <c r="AA25" s="1">
        <v>72</v>
      </c>
      <c r="AB25" s="1">
        <v>0</v>
      </c>
      <c r="AC25" s="1">
        <v>94</v>
      </c>
      <c r="AD25" s="1">
        <v>73</v>
      </c>
      <c r="AE25" s="1">
        <v>24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126</v>
      </c>
      <c r="AV25" s="1">
        <v>35</v>
      </c>
      <c r="AW25" s="1">
        <v>217</v>
      </c>
      <c r="AX25" s="1">
        <v>138</v>
      </c>
      <c r="AY25" s="1">
        <v>291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97</v>
      </c>
      <c r="BF25" s="1">
        <v>20</v>
      </c>
      <c r="BG25" s="1">
        <v>85</v>
      </c>
      <c r="BH25" s="1">
        <v>95</v>
      </c>
      <c r="BI25" s="1">
        <v>188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</row>
    <row r="26" spans="1:66" ht="12.75" hidden="1" x14ac:dyDescent="0.2">
      <c r="A26" s="1">
        <v>47000</v>
      </c>
      <c r="B26" s="1" t="s">
        <v>85</v>
      </c>
      <c r="C26" s="1" t="s">
        <v>99</v>
      </c>
      <c r="D26" s="1">
        <v>16</v>
      </c>
      <c r="E26" s="1">
        <v>677</v>
      </c>
      <c r="F26" s="1" t="s">
        <v>64</v>
      </c>
      <c r="G26" s="1">
        <v>61</v>
      </c>
      <c r="H26" s="1" t="s">
        <v>66</v>
      </c>
      <c r="I26" s="2">
        <v>56.59</v>
      </c>
      <c r="J26" s="2">
        <v>905.44</v>
      </c>
      <c r="K26" s="14">
        <f t="shared" si="3"/>
        <v>0</v>
      </c>
      <c r="L26" s="15">
        <f t="shared" si="8"/>
        <v>0</v>
      </c>
      <c r="M26" s="1">
        <v>12.75</v>
      </c>
      <c r="N26" s="1">
        <v>8.3800000000000008</v>
      </c>
      <c r="O26" s="5">
        <v>0</v>
      </c>
      <c r="P26" s="1" t="s">
        <v>113</v>
      </c>
      <c r="Q26" s="1">
        <v>23.38</v>
      </c>
      <c r="R26" s="1">
        <v>38.44</v>
      </c>
      <c r="S26" s="5">
        <v>0</v>
      </c>
      <c r="T26" s="1"/>
      <c r="U26" s="1">
        <v>12</v>
      </c>
      <c r="V26" s="1">
        <v>21.62</v>
      </c>
      <c r="W26" s="17">
        <f t="shared" si="9"/>
        <v>0</v>
      </c>
      <c r="X26" s="1">
        <v>0</v>
      </c>
      <c r="Y26" s="18">
        <v>43574.3</v>
      </c>
      <c r="Z26" s="2">
        <v>61966.05</v>
      </c>
      <c r="AA26" s="1">
        <v>70</v>
      </c>
      <c r="AB26" s="1">
        <v>17</v>
      </c>
      <c r="AC26" s="1">
        <v>83</v>
      </c>
      <c r="AD26" s="1">
        <v>85</v>
      </c>
      <c r="AE26" s="1">
        <v>134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147</v>
      </c>
      <c r="AV26" s="1">
        <v>38</v>
      </c>
      <c r="AW26" s="1">
        <v>133</v>
      </c>
      <c r="AX26" s="1">
        <v>150</v>
      </c>
      <c r="AY26" s="1">
        <v>615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62</v>
      </c>
      <c r="BF26" s="1">
        <v>49</v>
      </c>
      <c r="BG26" s="1">
        <v>83</v>
      </c>
      <c r="BH26" s="1">
        <v>45</v>
      </c>
      <c r="BI26" s="1">
        <v>346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</row>
    <row r="27" spans="1:66" ht="12.75" x14ac:dyDescent="0.2">
      <c r="A27" s="1">
        <v>10703</v>
      </c>
      <c r="B27" s="1" t="s">
        <v>82</v>
      </c>
      <c r="C27" s="1"/>
      <c r="D27" s="1">
        <v>12</v>
      </c>
      <c r="E27" s="1">
        <v>677</v>
      </c>
      <c r="F27" s="1" t="s">
        <v>64</v>
      </c>
      <c r="G27" s="1">
        <v>542</v>
      </c>
      <c r="H27" s="1" t="s">
        <v>84</v>
      </c>
      <c r="I27" s="2">
        <v>125.581</v>
      </c>
      <c r="J27" s="2">
        <v>1506.972</v>
      </c>
      <c r="K27" s="14">
        <f t="shared" si="3"/>
        <v>52744.02</v>
      </c>
      <c r="L27" s="15">
        <f t="shared" si="8"/>
        <v>35</v>
      </c>
      <c r="M27" s="1">
        <v>4.62</v>
      </c>
      <c r="N27" s="1">
        <v>-0.25</v>
      </c>
      <c r="O27" s="5">
        <v>10</v>
      </c>
      <c r="P27" s="1"/>
      <c r="Q27" s="1">
        <v>5.92</v>
      </c>
      <c r="R27" s="1">
        <v>0</v>
      </c>
      <c r="S27" s="5">
        <v>15</v>
      </c>
      <c r="T27" s="1"/>
      <c r="U27" s="1">
        <v>11.08</v>
      </c>
      <c r="V27" s="1">
        <v>3.25</v>
      </c>
      <c r="W27" s="5">
        <v>10</v>
      </c>
      <c r="X27" s="1">
        <v>0</v>
      </c>
      <c r="Y27" s="18">
        <v>32588.27</v>
      </c>
      <c r="Z27" s="2">
        <v>4520.92</v>
      </c>
      <c r="AA27" s="1">
        <v>12</v>
      </c>
      <c r="AB27" s="1">
        <v>15</v>
      </c>
      <c r="AC27" s="1">
        <v>34</v>
      </c>
      <c r="AD27" s="1">
        <v>4</v>
      </c>
      <c r="AE27" s="1">
        <v>-3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13</v>
      </c>
      <c r="AV27" s="1">
        <v>9</v>
      </c>
      <c r="AW27" s="1">
        <v>40</v>
      </c>
      <c r="AX27" s="1">
        <v>27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40</v>
      </c>
      <c r="BF27" s="1">
        <v>23</v>
      </c>
      <c r="BG27" s="1">
        <v>54</v>
      </c>
      <c r="BH27" s="1">
        <v>55</v>
      </c>
      <c r="BI27" s="1">
        <v>39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</row>
    <row r="28" spans="1:66" ht="12.75" hidden="1" x14ac:dyDescent="0.2">
      <c r="A28" s="1">
        <v>47004</v>
      </c>
      <c r="B28" s="1" t="s">
        <v>86</v>
      </c>
      <c r="C28" s="1" t="s">
        <v>96</v>
      </c>
      <c r="D28" s="1">
        <v>24</v>
      </c>
      <c r="E28" s="1">
        <v>677</v>
      </c>
      <c r="F28" s="1" t="s">
        <v>64</v>
      </c>
      <c r="G28" s="1">
        <v>61</v>
      </c>
      <c r="H28" s="1" t="s">
        <v>66</v>
      </c>
      <c r="I28" s="2">
        <v>22.315899999999999</v>
      </c>
      <c r="J28" s="2">
        <v>535.58159999999998</v>
      </c>
      <c r="K28" s="14">
        <f t="shared" si="3"/>
        <v>0</v>
      </c>
      <c r="L28" s="15">
        <f t="shared" si="8"/>
        <v>0</v>
      </c>
      <c r="M28" s="1">
        <v>15.02</v>
      </c>
      <c r="N28" s="1">
        <v>22.88</v>
      </c>
      <c r="O28" s="17">
        <f>MAX(0,(TRUNC((M28*0.75)-N28)))</f>
        <v>0</v>
      </c>
      <c r="P28" s="1"/>
      <c r="Q28" s="1">
        <v>22.33</v>
      </c>
      <c r="R28" s="1">
        <v>41.42</v>
      </c>
      <c r="S28" s="5">
        <v>0</v>
      </c>
      <c r="T28" s="1"/>
      <c r="U28" s="1">
        <v>23.35</v>
      </c>
      <c r="V28" s="1">
        <v>79.959999999999994</v>
      </c>
      <c r="W28" s="17">
        <f>MAX(0,(TRUNC((U28*0.75)-V28)))</f>
        <v>0</v>
      </c>
      <c r="X28" s="1">
        <v>0</v>
      </c>
      <c r="Y28" s="18">
        <v>32514.27</v>
      </c>
      <c r="Z28" s="2">
        <v>77257.649999999994</v>
      </c>
      <c r="AA28" s="1">
        <v>104</v>
      </c>
      <c r="AB28" s="1">
        <v>70</v>
      </c>
      <c r="AC28" s="1">
        <v>93</v>
      </c>
      <c r="AD28" s="1">
        <v>257</v>
      </c>
      <c r="AE28" s="1">
        <v>549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220</v>
      </c>
      <c r="AV28" s="1">
        <v>69</v>
      </c>
      <c r="AW28" s="1">
        <v>232</v>
      </c>
      <c r="AX28" s="1">
        <v>99</v>
      </c>
      <c r="AY28" s="1">
        <v>994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64</v>
      </c>
      <c r="BF28" s="1">
        <v>32</v>
      </c>
      <c r="BG28" s="1">
        <v>377</v>
      </c>
      <c r="BH28" s="1">
        <v>207</v>
      </c>
      <c r="BI28" s="1">
        <v>1919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</row>
    <row r="29" spans="1:66" ht="12.75" x14ac:dyDescent="0.2">
      <c r="A29" s="1">
        <v>47024</v>
      </c>
      <c r="B29" s="1" t="s">
        <v>88</v>
      </c>
      <c r="C29" s="1"/>
      <c r="D29" s="1">
        <v>12</v>
      </c>
      <c r="E29" s="1">
        <v>677</v>
      </c>
      <c r="F29" s="1" t="s">
        <v>64</v>
      </c>
      <c r="G29" s="1">
        <v>61</v>
      </c>
      <c r="H29" s="1" t="s">
        <v>66</v>
      </c>
      <c r="I29" s="2">
        <v>135.38999999999999</v>
      </c>
      <c r="J29" s="2">
        <v>1624.68</v>
      </c>
      <c r="K29" s="14">
        <f t="shared" si="3"/>
        <v>40617</v>
      </c>
      <c r="L29" s="15">
        <f t="shared" si="8"/>
        <v>25</v>
      </c>
      <c r="M29" s="1">
        <v>7.42</v>
      </c>
      <c r="N29" s="1">
        <v>-0.08</v>
      </c>
      <c r="O29" s="5">
        <v>10</v>
      </c>
      <c r="P29" s="1"/>
      <c r="Q29" s="1">
        <v>6.67</v>
      </c>
      <c r="R29" s="1">
        <v>4.67</v>
      </c>
      <c r="S29" s="5">
        <v>5</v>
      </c>
      <c r="T29" s="1"/>
      <c r="U29" s="1">
        <v>4.88</v>
      </c>
      <c r="V29" s="1">
        <v>0</v>
      </c>
      <c r="W29" s="5">
        <v>10</v>
      </c>
      <c r="X29" s="1">
        <v>0</v>
      </c>
      <c r="Y29" s="18">
        <v>30801.22</v>
      </c>
      <c r="Z29" s="2">
        <v>7446.45</v>
      </c>
      <c r="AA29" s="1">
        <v>19</v>
      </c>
      <c r="AB29" s="1">
        <v>29</v>
      </c>
      <c r="AC29" s="1">
        <v>54</v>
      </c>
      <c r="AD29" s="1">
        <v>3</v>
      </c>
      <c r="AE29" s="1">
        <v>-1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33</v>
      </c>
      <c r="AV29" s="1">
        <v>6</v>
      </c>
      <c r="AW29" s="1">
        <v>33</v>
      </c>
      <c r="AX29" s="1">
        <v>22</v>
      </c>
      <c r="AY29" s="1">
        <v>56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6</v>
      </c>
      <c r="BF29" s="1">
        <v>13</v>
      </c>
      <c r="BG29" s="1">
        <v>30</v>
      </c>
      <c r="BH29" s="1">
        <v>32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</row>
    <row r="30" spans="1:66" ht="12.75" x14ac:dyDescent="0.2">
      <c r="A30" s="1">
        <v>47008</v>
      </c>
      <c r="B30" s="1" t="s">
        <v>93</v>
      </c>
      <c r="C30" s="1"/>
      <c r="D30" s="1">
        <v>24</v>
      </c>
      <c r="E30" s="1">
        <v>677</v>
      </c>
      <c r="F30" s="1" t="s">
        <v>64</v>
      </c>
      <c r="G30" s="1">
        <v>61</v>
      </c>
      <c r="H30" s="1" t="s">
        <v>66</v>
      </c>
      <c r="I30" s="2">
        <v>35.74</v>
      </c>
      <c r="J30" s="2">
        <v>857.76</v>
      </c>
      <c r="K30" s="14">
        <f t="shared" si="3"/>
        <v>42888</v>
      </c>
      <c r="L30" s="15">
        <f t="shared" si="8"/>
        <v>50</v>
      </c>
      <c r="M30" s="1">
        <v>7.79</v>
      </c>
      <c r="N30" s="1">
        <v>0.5</v>
      </c>
      <c r="O30" s="5">
        <v>10</v>
      </c>
      <c r="P30" s="1"/>
      <c r="Q30" s="1">
        <v>10.58</v>
      </c>
      <c r="R30" s="1">
        <v>0</v>
      </c>
      <c r="S30" s="5">
        <v>20</v>
      </c>
      <c r="T30" s="1"/>
      <c r="U30" s="1">
        <v>16.5</v>
      </c>
      <c r="V30" s="1">
        <v>1.42</v>
      </c>
      <c r="W30" s="5">
        <v>20</v>
      </c>
      <c r="X30" s="1">
        <v>0</v>
      </c>
      <c r="Y30" s="18">
        <v>29914.38</v>
      </c>
      <c r="Z30" s="2">
        <v>1644.04</v>
      </c>
      <c r="AA30" s="1">
        <v>0</v>
      </c>
      <c r="AB30" s="1">
        <v>3</v>
      </c>
      <c r="AC30" s="1">
        <v>135</v>
      </c>
      <c r="AD30" s="1">
        <v>101</v>
      </c>
      <c r="AE30" s="1">
        <v>12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3</v>
      </c>
      <c r="AW30" s="1">
        <v>198</v>
      </c>
      <c r="AX30" s="1">
        <v>109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88</v>
      </c>
      <c r="BF30" s="1">
        <v>89</v>
      </c>
      <c r="BG30" s="1">
        <v>169</v>
      </c>
      <c r="BH30" s="1">
        <v>189</v>
      </c>
      <c r="BI30" s="1">
        <v>34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</row>
    <row r="31" spans="1:66" ht="12.75" hidden="1" x14ac:dyDescent="0.2">
      <c r="A31" s="1">
        <v>47003</v>
      </c>
      <c r="B31" s="1" t="s">
        <v>91</v>
      </c>
      <c r="C31" s="1" t="s">
        <v>96</v>
      </c>
      <c r="D31" s="1">
        <v>24</v>
      </c>
      <c r="E31" s="1">
        <v>677</v>
      </c>
      <c r="F31" s="1" t="s">
        <v>64</v>
      </c>
      <c r="G31" s="1">
        <v>61</v>
      </c>
      <c r="H31" s="1" t="s">
        <v>66</v>
      </c>
      <c r="I31" s="2">
        <v>22.315899999999999</v>
      </c>
      <c r="J31" s="2">
        <v>535.58159999999998</v>
      </c>
      <c r="K31" s="14">
        <f t="shared" si="3"/>
        <v>0</v>
      </c>
      <c r="L31" s="15">
        <f t="shared" si="8"/>
        <v>0</v>
      </c>
      <c r="M31" s="1">
        <v>19.75</v>
      </c>
      <c r="N31" s="1">
        <v>36.58</v>
      </c>
      <c r="O31" s="17">
        <f t="shared" ref="O31:O32" si="10">MAX(0,(TRUNC((M31*0.75)-N31)))</f>
        <v>0</v>
      </c>
      <c r="P31" s="1"/>
      <c r="Q31" s="1">
        <v>16.98</v>
      </c>
      <c r="R31" s="1">
        <v>47.54</v>
      </c>
      <c r="S31" s="5">
        <v>0</v>
      </c>
      <c r="T31" s="1"/>
      <c r="U31" s="1">
        <v>17.809999999999999</v>
      </c>
      <c r="V31" s="1">
        <v>54.04</v>
      </c>
      <c r="W31" s="17">
        <f t="shared" ref="W31:W32" si="11">MAX(0,(TRUNC((U31*0.75)-V31)))</f>
        <v>0</v>
      </c>
      <c r="X31" s="1">
        <v>0</v>
      </c>
      <c r="Y31" s="18">
        <v>29211.51</v>
      </c>
      <c r="Z31" s="2">
        <v>73999.520000000004</v>
      </c>
      <c r="AA31" s="1">
        <v>63</v>
      </c>
      <c r="AB31" s="1">
        <v>38</v>
      </c>
      <c r="AC31" s="1">
        <v>348</v>
      </c>
      <c r="AD31" s="1">
        <v>88</v>
      </c>
      <c r="AE31" s="1">
        <v>878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74</v>
      </c>
      <c r="AV31" s="1">
        <v>33</v>
      </c>
      <c r="AW31" s="1">
        <v>218</v>
      </c>
      <c r="AX31" s="1">
        <v>198</v>
      </c>
      <c r="AY31" s="1">
        <v>1141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99</v>
      </c>
      <c r="BF31" s="1">
        <v>46</v>
      </c>
      <c r="BG31" s="1">
        <v>250</v>
      </c>
      <c r="BH31" s="1">
        <v>111</v>
      </c>
      <c r="BI31" s="1">
        <v>1297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</row>
    <row r="32" spans="1:66" ht="12.75" hidden="1" x14ac:dyDescent="0.2">
      <c r="A32" s="1">
        <v>47002</v>
      </c>
      <c r="B32" s="1" t="s">
        <v>89</v>
      </c>
      <c r="C32" s="1" t="s">
        <v>96</v>
      </c>
      <c r="D32" s="1">
        <v>24</v>
      </c>
      <c r="E32" s="1">
        <v>677</v>
      </c>
      <c r="F32" s="1" t="s">
        <v>64</v>
      </c>
      <c r="G32" s="1">
        <v>61</v>
      </c>
      <c r="H32" s="1" t="s">
        <v>66</v>
      </c>
      <c r="I32" s="2">
        <v>22.315899999999999</v>
      </c>
      <c r="J32" s="2">
        <v>535.58159999999998</v>
      </c>
      <c r="K32" s="14">
        <f t="shared" si="3"/>
        <v>0</v>
      </c>
      <c r="L32" s="15">
        <f t="shared" si="8"/>
        <v>0</v>
      </c>
      <c r="M32" s="1">
        <v>17.71</v>
      </c>
      <c r="N32" s="1">
        <v>39.58</v>
      </c>
      <c r="O32" s="17">
        <f t="shared" si="10"/>
        <v>0</v>
      </c>
      <c r="P32" s="1"/>
      <c r="Q32" s="1">
        <v>16.940000000000001</v>
      </c>
      <c r="R32" s="1">
        <v>50.88</v>
      </c>
      <c r="S32" s="5">
        <v>0</v>
      </c>
      <c r="T32" s="1"/>
      <c r="U32" s="1">
        <v>9.5399999999999991</v>
      </c>
      <c r="V32" s="1">
        <v>24</v>
      </c>
      <c r="W32" s="17">
        <f t="shared" si="11"/>
        <v>0</v>
      </c>
      <c r="X32" s="1">
        <v>0</v>
      </c>
      <c r="Y32" s="18">
        <v>23666.01</v>
      </c>
      <c r="Z32" s="2">
        <v>61301.78</v>
      </c>
      <c r="AA32" s="1">
        <v>76</v>
      </c>
      <c r="AB32" s="1">
        <v>33</v>
      </c>
      <c r="AC32" s="1">
        <v>237</v>
      </c>
      <c r="AD32" s="1">
        <v>191</v>
      </c>
      <c r="AE32" s="1">
        <v>950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99</v>
      </c>
      <c r="AV32" s="1">
        <v>49</v>
      </c>
      <c r="AW32" s="1">
        <v>176</v>
      </c>
      <c r="AX32" s="1">
        <v>214</v>
      </c>
      <c r="AY32" s="1">
        <v>1221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66</v>
      </c>
      <c r="BF32" s="1">
        <v>17</v>
      </c>
      <c r="BG32" s="1">
        <v>112</v>
      </c>
      <c r="BH32" s="1">
        <v>85</v>
      </c>
      <c r="BI32" s="1">
        <v>576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</row>
    <row r="33" spans="1:66" ht="12.75" x14ac:dyDescent="0.2">
      <c r="A33" s="1">
        <v>47029</v>
      </c>
      <c r="B33" s="1" t="s">
        <v>94</v>
      </c>
      <c r="C33" s="1"/>
      <c r="D33" s="1">
        <v>24</v>
      </c>
      <c r="E33" s="1">
        <v>677</v>
      </c>
      <c r="F33" s="1" t="s">
        <v>64</v>
      </c>
      <c r="G33" s="1">
        <v>61</v>
      </c>
      <c r="H33" s="1" t="s">
        <v>66</v>
      </c>
      <c r="I33" s="2">
        <v>41.26</v>
      </c>
      <c r="J33" s="2">
        <v>990.24</v>
      </c>
      <c r="K33" s="14">
        <f t="shared" si="3"/>
        <v>24756</v>
      </c>
      <c r="L33" s="15">
        <f t="shared" si="8"/>
        <v>25</v>
      </c>
      <c r="M33" s="1">
        <v>5</v>
      </c>
      <c r="N33" s="1">
        <v>-0.04</v>
      </c>
      <c r="O33" s="5">
        <v>5</v>
      </c>
      <c r="P33" s="1"/>
      <c r="Q33" s="1">
        <v>7.75</v>
      </c>
      <c r="R33" s="1">
        <v>4.29</v>
      </c>
      <c r="S33" s="5">
        <v>10</v>
      </c>
      <c r="T33" s="1"/>
      <c r="U33" s="1">
        <v>9.08</v>
      </c>
      <c r="V33" s="1">
        <v>2.67</v>
      </c>
      <c r="W33" s="5">
        <v>10</v>
      </c>
      <c r="X33" s="1">
        <v>0</v>
      </c>
      <c r="Y33" s="18">
        <v>21620.240000000002</v>
      </c>
      <c r="Z33" s="2">
        <v>6849.16</v>
      </c>
      <c r="AA33" s="1">
        <v>16</v>
      </c>
      <c r="AB33" s="1">
        <v>7</v>
      </c>
      <c r="AC33" s="1">
        <v>57</v>
      </c>
      <c r="AD33" s="1">
        <v>87</v>
      </c>
      <c r="AE33" s="1">
        <v>-1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75</v>
      </c>
      <c r="AV33" s="1">
        <v>36</v>
      </c>
      <c r="AW33" s="1">
        <v>56</v>
      </c>
      <c r="AX33" s="1">
        <v>74</v>
      </c>
      <c r="AY33" s="1">
        <v>103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76</v>
      </c>
      <c r="BF33" s="1">
        <v>25</v>
      </c>
      <c r="BG33" s="1">
        <v>108</v>
      </c>
      <c r="BH33" s="1">
        <v>43</v>
      </c>
      <c r="BI33" s="1">
        <v>64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</row>
    <row r="34" spans="1:66" ht="51" x14ac:dyDescent="0.2">
      <c r="A34" s="1">
        <v>47014</v>
      </c>
      <c r="B34" s="1" t="s">
        <v>97</v>
      </c>
      <c r="C34" s="1" t="s">
        <v>102</v>
      </c>
      <c r="D34" s="1">
        <v>24</v>
      </c>
      <c r="E34" s="1">
        <v>677</v>
      </c>
      <c r="F34" s="1" t="s">
        <v>64</v>
      </c>
      <c r="G34" s="1">
        <v>61</v>
      </c>
      <c r="H34" s="1" t="s">
        <v>66</v>
      </c>
      <c r="I34" s="2">
        <v>43.319099999999999</v>
      </c>
      <c r="J34" s="2">
        <v>1039.6584</v>
      </c>
      <c r="K34" s="14">
        <f t="shared" si="3"/>
        <v>5198.2920000000004</v>
      </c>
      <c r="L34" s="15">
        <f t="shared" si="8"/>
        <v>5</v>
      </c>
      <c r="M34" s="1">
        <v>4.0999999999999996</v>
      </c>
      <c r="N34" s="1">
        <v>1.62</v>
      </c>
      <c r="O34" s="5">
        <v>0</v>
      </c>
      <c r="P34" s="1" t="s">
        <v>125</v>
      </c>
      <c r="Q34" s="1">
        <v>5.9</v>
      </c>
      <c r="R34" s="1">
        <v>4</v>
      </c>
      <c r="S34" s="5">
        <v>5</v>
      </c>
      <c r="T34" s="25" t="s">
        <v>126</v>
      </c>
      <c r="U34" s="1">
        <v>2.1</v>
      </c>
      <c r="V34" s="1">
        <v>5.04</v>
      </c>
      <c r="W34" s="17">
        <f t="shared" ref="W34:W36" si="12">MAX(0,(TRUNC((U34*0.75)-V34)))</f>
        <v>0</v>
      </c>
      <c r="X34" s="1">
        <v>0</v>
      </c>
      <c r="Y34" s="18">
        <v>12584.2</v>
      </c>
      <c r="Z34" s="2">
        <v>11089.69</v>
      </c>
      <c r="AA34" s="1">
        <v>15</v>
      </c>
      <c r="AB34" s="1">
        <v>4</v>
      </c>
      <c r="AC34" s="1">
        <v>71</v>
      </c>
      <c r="AD34" s="1">
        <v>21</v>
      </c>
      <c r="AE34" s="1">
        <v>39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73</v>
      </c>
      <c r="AV34" s="1">
        <v>33</v>
      </c>
      <c r="AW34" s="1">
        <v>34</v>
      </c>
      <c r="AX34" s="1">
        <v>36</v>
      </c>
      <c r="AY34" s="1">
        <v>96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10</v>
      </c>
      <c r="BF34" s="1">
        <v>9</v>
      </c>
      <c r="BG34" s="1">
        <v>17</v>
      </c>
      <c r="BH34" s="1">
        <v>38</v>
      </c>
      <c r="BI34" s="1">
        <v>121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</row>
    <row r="35" spans="1:66" ht="12.75" hidden="1" x14ac:dyDescent="0.2">
      <c r="A35" s="1">
        <v>48091</v>
      </c>
      <c r="B35" s="1" t="s">
        <v>103</v>
      </c>
      <c r="C35" s="1"/>
      <c r="D35" s="1">
        <v>12</v>
      </c>
      <c r="E35" s="1">
        <v>677</v>
      </c>
      <c r="F35" s="1" t="s">
        <v>64</v>
      </c>
      <c r="G35" s="1">
        <v>690</v>
      </c>
      <c r="H35" s="1" t="s">
        <v>101</v>
      </c>
      <c r="I35" s="2">
        <v>29.570699999999999</v>
      </c>
      <c r="J35" s="2">
        <v>354.84840000000003</v>
      </c>
      <c r="K35" s="14">
        <f t="shared" si="3"/>
        <v>0</v>
      </c>
      <c r="L35" s="15">
        <f t="shared" si="8"/>
        <v>0</v>
      </c>
      <c r="M35" s="1">
        <v>10.88</v>
      </c>
      <c r="N35" s="1">
        <v>12.17</v>
      </c>
      <c r="O35" s="17">
        <f t="shared" ref="O35:O38" si="13">MAX(0,(TRUNC((M35*0.75)-N35)))</f>
        <v>0</v>
      </c>
      <c r="P35" s="1"/>
      <c r="Q35" s="1">
        <v>6.96</v>
      </c>
      <c r="R35" s="1">
        <v>5.92</v>
      </c>
      <c r="S35" s="5">
        <v>0</v>
      </c>
      <c r="T35" s="1" t="s">
        <v>128</v>
      </c>
      <c r="U35" s="1">
        <v>7.33</v>
      </c>
      <c r="V35" s="1">
        <v>20.25</v>
      </c>
      <c r="W35" s="17">
        <f t="shared" si="12"/>
        <v>0</v>
      </c>
      <c r="X35" s="1">
        <v>0</v>
      </c>
      <c r="Y35" s="22">
        <v>8930.35</v>
      </c>
      <c r="Z35" s="2">
        <v>13602.52</v>
      </c>
      <c r="AA35" s="1">
        <v>32</v>
      </c>
      <c r="AB35" s="1">
        <v>14</v>
      </c>
      <c r="AC35" s="1">
        <v>58</v>
      </c>
      <c r="AD35" s="1">
        <v>67</v>
      </c>
      <c r="AE35" s="1">
        <v>146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18</v>
      </c>
      <c r="AV35" s="1">
        <v>11</v>
      </c>
      <c r="AW35" s="1">
        <v>43</v>
      </c>
      <c r="AX35" s="1">
        <v>34</v>
      </c>
      <c r="AY35" s="1">
        <v>71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17</v>
      </c>
      <c r="BF35" s="1">
        <v>12</v>
      </c>
      <c r="BG35" s="1">
        <v>13</v>
      </c>
      <c r="BH35" s="1">
        <v>104</v>
      </c>
      <c r="BI35" s="1">
        <v>243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</row>
    <row r="36" spans="1:66" ht="12.75" hidden="1" x14ac:dyDescent="0.2">
      <c r="A36" s="1">
        <v>48084</v>
      </c>
      <c r="B36" s="1" t="s">
        <v>100</v>
      </c>
      <c r="C36" s="1"/>
      <c r="D36" s="1">
        <v>12</v>
      </c>
      <c r="E36" s="1">
        <v>677</v>
      </c>
      <c r="F36" s="1" t="s">
        <v>64</v>
      </c>
      <c r="G36" s="1">
        <v>690</v>
      </c>
      <c r="H36" s="1" t="s">
        <v>101</v>
      </c>
      <c r="I36" s="2">
        <v>29.570699999999999</v>
      </c>
      <c r="J36" s="2">
        <v>354.84840000000003</v>
      </c>
      <c r="K36" s="14">
        <f t="shared" si="3"/>
        <v>0</v>
      </c>
      <c r="L36" s="15">
        <f t="shared" si="8"/>
        <v>0</v>
      </c>
      <c r="M36" s="1">
        <v>7.04</v>
      </c>
      <c r="N36" s="1">
        <v>10.83</v>
      </c>
      <c r="O36" s="17">
        <f t="shared" si="13"/>
        <v>0</v>
      </c>
      <c r="P36" s="1"/>
      <c r="Q36" s="1">
        <v>5.58</v>
      </c>
      <c r="R36" s="1">
        <v>5.17</v>
      </c>
      <c r="S36" s="5">
        <v>0</v>
      </c>
      <c r="T36" s="1" t="s">
        <v>115</v>
      </c>
      <c r="U36" s="1">
        <v>5.79</v>
      </c>
      <c r="V36" s="1">
        <v>15.42</v>
      </c>
      <c r="W36" s="17">
        <f t="shared" si="12"/>
        <v>0</v>
      </c>
      <c r="X36" s="1">
        <v>0</v>
      </c>
      <c r="Y36" s="22">
        <v>6535.12</v>
      </c>
      <c r="Z36" s="2">
        <v>11148.15</v>
      </c>
      <c r="AA36" s="1">
        <v>41</v>
      </c>
      <c r="AB36" s="1">
        <v>14</v>
      </c>
      <c r="AC36" s="1">
        <v>14</v>
      </c>
      <c r="AD36" s="1">
        <v>45</v>
      </c>
      <c r="AE36" s="1">
        <v>130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18</v>
      </c>
      <c r="AV36" s="1">
        <v>10</v>
      </c>
      <c r="AW36" s="1">
        <v>30</v>
      </c>
      <c r="AX36" s="1">
        <v>28</v>
      </c>
      <c r="AY36" s="1">
        <v>62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22</v>
      </c>
      <c r="BF36" s="1">
        <v>9</v>
      </c>
      <c r="BG36" s="1">
        <v>10</v>
      </c>
      <c r="BH36" s="1">
        <v>66</v>
      </c>
      <c r="BI36" s="1">
        <v>185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</row>
    <row r="37" spans="1:66" ht="12.75" hidden="1" x14ac:dyDescent="0.2">
      <c r="A37" s="1">
        <v>48085</v>
      </c>
      <c r="B37" s="1" t="s">
        <v>105</v>
      </c>
      <c r="C37" s="1"/>
      <c r="D37" s="1">
        <v>12</v>
      </c>
      <c r="E37" s="1">
        <v>677</v>
      </c>
      <c r="F37" s="1" t="s">
        <v>64</v>
      </c>
      <c r="G37" s="1">
        <v>690</v>
      </c>
      <c r="H37" s="1" t="s">
        <v>101</v>
      </c>
      <c r="I37" s="2">
        <v>29.570699999999999</v>
      </c>
      <c r="J37" s="2">
        <v>354.84840000000003</v>
      </c>
      <c r="K37" s="14">
        <f t="shared" si="3"/>
        <v>0</v>
      </c>
      <c r="L37" s="15">
        <f t="shared" si="8"/>
        <v>0</v>
      </c>
      <c r="M37" s="1">
        <v>5.12</v>
      </c>
      <c r="N37" s="1">
        <v>3.5</v>
      </c>
      <c r="O37" s="17">
        <f t="shared" si="13"/>
        <v>0</v>
      </c>
      <c r="P37" s="1"/>
      <c r="Q37" s="1">
        <v>4.5</v>
      </c>
      <c r="R37" s="1">
        <v>3.33</v>
      </c>
      <c r="S37" s="5">
        <v>0</v>
      </c>
      <c r="T37" s="1"/>
      <c r="U37" s="1">
        <v>4.83</v>
      </c>
      <c r="V37" s="1">
        <v>0.67</v>
      </c>
      <c r="W37" s="5">
        <v>0</v>
      </c>
      <c r="X37" s="1">
        <v>0</v>
      </c>
      <c r="Y37" s="22">
        <v>5130.5200000000004</v>
      </c>
      <c r="Z37" s="2">
        <v>2661.36</v>
      </c>
      <c r="AA37" s="1">
        <v>17</v>
      </c>
      <c r="AB37" s="1">
        <v>11</v>
      </c>
      <c r="AC37" s="1">
        <v>7</v>
      </c>
      <c r="AD37" s="1">
        <v>64</v>
      </c>
      <c r="AE37" s="1">
        <v>42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8</v>
      </c>
      <c r="AV37" s="1">
        <v>0</v>
      </c>
      <c r="AW37" s="1">
        <v>35</v>
      </c>
      <c r="AX37" s="1">
        <v>22</v>
      </c>
      <c r="AY37" s="1">
        <v>40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10</v>
      </c>
      <c r="BF37" s="1">
        <v>6</v>
      </c>
      <c r="BG37" s="1">
        <v>12</v>
      </c>
      <c r="BH37" s="1">
        <v>66</v>
      </c>
      <c r="BI37" s="1">
        <v>8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</row>
    <row r="38" spans="1:66" ht="12.75" hidden="1" x14ac:dyDescent="0.2">
      <c r="A38" s="1">
        <v>48081</v>
      </c>
      <c r="B38" s="1" t="s">
        <v>104</v>
      </c>
      <c r="C38" s="1"/>
      <c r="D38" s="1">
        <v>12</v>
      </c>
      <c r="E38" s="1">
        <v>677</v>
      </c>
      <c r="F38" s="1" t="s">
        <v>64</v>
      </c>
      <c r="G38" s="1">
        <v>690</v>
      </c>
      <c r="H38" s="1" t="s">
        <v>101</v>
      </c>
      <c r="I38" s="2">
        <v>29.570699999999999</v>
      </c>
      <c r="J38" s="2">
        <v>354.84840000000003</v>
      </c>
      <c r="K38" s="14">
        <f t="shared" si="3"/>
        <v>0</v>
      </c>
      <c r="L38" s="15">
        <f t="shared" si="8"/>
        <v>0</v>
      </c>
      <c r="M38" s="1">
        <v>4.46</v>
      </c>
      <c r="N38" s="1">
        <v>15.08</v>
      </c>
      <c r="O38" s="17">
        <f t="shared" si="13"/>
        <v>0</v>
      </c>
      <c r="P38" s="1"/>
      <c r="Q38" s="1">
        <v>3.25</v>
      </c>
      <c r="R38" s="1">
        <v>6.75</v>
      </c>
      <c r="S38" s="5">
        <v>0</v>
      </c>
      <c r="T38" s="1"/>
      <c r="U38" s="1">
        <v>6.38</v>
      </c>
      <c r="V38" s="1">
        <v>18.170000000000002</v>
      </c>
      <c r="W38" s="17">
        <f>MAX(0,(TRUNC((U38*0.75)-V38)))</f>
        <v>0</v>
      </c>
      <c r="X38" s="1">
        <v>0</v>
      </c>
      <c r="Y38" s="20">
        <v>4997.45</v>
      </c>
      <c r="Z38" s="2">
        <v>14193.94</v>
      </c>
      <c r="AA38" s="1">
        <v>18</v>
      </c>
      <c r="AB38" s="1">
        <v>9</v>
      </c>
      <c r="AC38" s="1">
        <v>6</v>
      </c>
      <c r="AD38" s="1">
        <v>50</v>
      </c>
      <c r="AE38" s="1">
        <v>181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5</v>
      </c>
      <c r="AV38" s="1">
        <v>4</v>
      </c>
      <c r="AW38" s="1">
        <v>23</v>
      </c>
      <c r="AX38" s="1">
        <v>18</v>
      </c>
      <c r="AY38" s="1">
        <v>81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25</v>
      </c>
      <c r="BF38" s="1">
        <v>10</v>
      </c>
      <c r="BG38" s="1">
        <v>19</v>
      </c>
      <c r="BH38" s="1">
        <v>55</v>
      </c>
      <c r="BI38" s="1">
        <v>218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</row>
    <row r="39" spans="1:66" ht="12.75" x14ac:dyDescent="0.2">
      <c r="A39" s="1">
        <v>47026</v>
      </c>
      <c r="B39" s="1" t="s">
        <v>120</v>
      </c>
      <c r="C39" s="1" t="s">
        <v>99</v>
      </c>
      <c r="D39" s="1">
        <v>12</v>
      </c>
      <c r="E39" s="1">
        <v>677</v>
      </c>
      <c r="F39" s="1" t="s">
        <v>64</v>
      </c>
      <c r="G39" s="1">
        <v>999</v>
      </c>
      <c r="H39" s="1" t="s">
        <v>67</v>
      </c>
      <c r="I39" s="2">
        <v>48.56</v>
      </c>
      <c r="J39" s="2">
        <v>582.72</v>
      </c>
      <c r="K39" s="14">
        <f t="shared" si="3"/>
        <v>34963.200000000004</v>
      </c>
      <c r="L39" s="15">
        <f t="shared" si="8"/>
        <v>60</v>
      </c>
      <c r="M39" s="1">
        <v>0</v>
      </c>
      <c r="N39" s="1">
        <v>0</v>
      </c>
      <c r="O39" s="5">
        <v>20</v>
      </c>
      <c r="P39" s="1"/>
      <c r="Q39" s="1">
        <v>7.08</v>
      </c>
      <c r="R39" s="1">
        <v>3.5</v>
      </c>
      <c r="S39" s="5">
        <v>20</v>
      </c>
      <c r="T39" s="1"/>
      <c r="U39" s="1">
        <v>0</v>
      </c>
      <c r="V39" s="1">
        <v>0</v>
      </c>
      <c r="W39" s="5">
        <v>20</v>
      </c>
      <c r="X39" s="1">
        <v>0</v>
      </c>
      <c r="Y39" s="20">
        <v>4127.6000000000004</v>
      </c>
      <c r="Z39" s="2">
        <v>2039.52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67</v>
      </c>
      <c r="AV39" s="1">
        <v>36</v>
      </c>
      <c r="AW39" s="1">
        <v>0</v>
      </c>
      <c r="AX39" s="1">
        <v>0</v>
      </c>
      <c r="AY39" s="1">
        <v>42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</row>
    <row r="40" spans="1:66" ht="12.75" hidden="1" x14ac:dyDescent="0.2">
      <c r="A40" s="1">
        <v>48067</v>
      </c>
      <c r="B40" s="1" t="s">
        <v>106</v>
      </c>
      <c r="C40" s="1"/>
      <c r="D40" s="1">
        <v>12</v>
      </c>
      <c r="E40" s="1">
        <v>677</v>
      </c>
      <c r="F40" s="1" t="s">
        <v>64</v>
      </c>
      <c r="G40" s="1">
        <v>690</v>
      </c>
      <c r="H40" s="1" t="s">
        <v>101</v>
      </c>
      <c r="I40" s="2">
        <v>29.570699999999999</v>
      </c>
      <c r="J40" s="2">
        <v>354.84840000000003</v>
      </c>
      <c r="K40" s="14">
        <f t="shared" si="3"/>
        <v>0</v>
      </c>
      <c r="L40" s="15">
        <f t="shared" si="8"/>
        <v>0</v>
      </c>
      <c r="M40" s="1">
        <v>3.58</v>
      </c>
      <c r="N40" s="1">
        <v>8</v>
      </c>
      <c r="O40" s="17">
        <f>MAX(0,(TRUNC((M40*0.75)-N40)))</f>
        <v>0</v>
      </c>
      <c r="P40" s="1"/>
      <c r="Q40" s="1">
        <v>3.21</v>
      </c>
      <c r="R40" s="1">
        <v>7.25</v>
      </c>
      <c r="S40" s="5">
        <v>0</v>
      </c>
      <c r="T40" s="1"/>
      <c r="U40" s="1">
        <v>4.58</v>
      </c>
      <c r="V40" s="1">
        <v>9.92</v>
      </c>
      <c r="W40" s="17">
        <f t="shared" ref="W40:W43" si="14">MAX(0,(TRUNC((U40*0.75)-V40)))</f>
        <v>0</v>
      </c>
      <c r="X40" s="1">
        <v>0</v>
      </c>
      <c r="Y40" s="20">
        <v>4036.4</v>
      </c>
      <c r="Z40" s="2">
        <v>8930.35</v>
      </c>
      <c r="AA40" s="1">
        <v>22</v>
      </c>
      <c r="AB40" s="1">
        <v>5</v>
      </c>
      <c r="AC40" s="1">
        <v>6</v>
      </c>
      <c r="AD40" s="1">
        <v>25</v>
      </c>
      <c r="AE40" s="1">
        <v>96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6</v>
      </c>
      <c r="AV40" s="1">
        <v>4</v>
      </c>
      <c r="AW40" s="1">
        <v>25</v>
      </c>
      <c r="AX40" s="1">
        <v>11</v>
      </c>
      <c r="AY40" s="1">
        <v>87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5</v>
      </c>
      <c r="BF40" s="1">
        <v>4</v>
      </c>
      <c r="BG40" s="1">
        <v>24</v>
      </c>
      <c r="BH40" s="1">
        <v>48</v>
      </c>
      <c r="BI40" s="1">
        <v>119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</row>
    <row r="41" spans="1:66" ht="12.75" hidden="1" x14ac:dyDescent="0.2">
      <c r="A41" s="1">
        <v>47036</v>
      </c>
      <c r="B41" s="1" t="s">
        <v>117</v>
      </c>
      <c r="C41" s="1"/>
      <c r="D41" s="1">
        <v>24</v>
      </c>
      <c r="E41" s="1">
        <v>677</v>
      </c>
      <c r="F41" s="1" t="s">
        <v>64</v>
      </c>
      <c r="G41" s="1">
        <v>61</v>
      </c>
      <c r="H41" s="1" t="s">
        <v>66</v>
      </c>
      <c r="I41" s="2">
        <v>38.6661</v>
      </c>
      <c r="J41" s="2">
        <v>927.9864</v>
      </c>
      <c r="K41" s="14">
        <f t="shared" si="3"/>
        <v>0</v>
      </c>
      <c r="L41" s="15">
        <f t="shared" si="8"/>
        <v>0</v>
      </c>
      <c r="M41" s="1">
        <v>2.06</v>
      </c>
      <c r="N41" s="1">
        <v>0</v>
      </c>
      <c r="O41" s="5">
        <v>0</v>
      </c>
      <c r="P41" s="1"/>
      <c r="Q41" s="1">
        <v>1.21</v>
      </c>
      <c r="R41" s="1">
        <v>0</v>
      </c>
      <c r="S41" s="5">
        <v>0</v>
      </c>
      <c r="T41" s="1"/>
      <c r="U41" s="1">
        <v>0.65</v>
      </c>
      <c r="V41" s="1">
        <v>0</v>
      </c>
      <c r="W41" s="17">
        <f t="shared" si="14"/>
        <v>0</v>
      </c>
      <c r="X41" s="1">
        <v>0</v>
      </c>
      <c r="Y41" s="20">
        <v>3634.61</v>
      </c>
      <c r="Z41" s="2">
        <v>0</v>
      </c>
      <c r="AA41" s="1">
        <v>0</v>
      </c>
      <c r="AB41" s="1">
        <v>0</v>
      </c>
      <c r="AC41" s="1">
        <v>35</v>
      </c>
      <c r="AD41" s="1">
        <v>29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19</v>
      </c>
      <c r="AX41" s="1">
        <v>20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11</v>
      </c>
      <c r="BH41" s="1">
        <v>9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</row>
    <row r="42" spans="1:66" ht="12.75" hidden="1" x14ac:dyDescent="0.2">
      <c r="A42" s="1">
        <v>48069</v>
      </c>
      <c r="B42" s="1" t="s">
        <v>110</v>
      </c>
      <c r="C42" s="1"/>
      <c r="D42" s="1">
        <v>12</v>
      </c>
      <c r="E42" s="1">
        <v>677</v>
      </c>
      <c r="F42" s="1" t="s">
        <v>64</v>
      </c>
      <c r="G42" s="1">
        <v>690</v>
      </c>
      <c r="H42" s="1" t="s">
        <v>101</v>
      </c>
      <c r="I42" s="2">
        <v>29.570699999999999</v>
      </c>
      <c r="J42" s="2">
        <v>354.84840000000003</v>
      </c>
      <c r="K42" s="14">
        <f t="shared" si="3"/>
        <v>0</v>
      </c>
      <c r="L42" s="15">
        <f t="shared" si="8"/>
        <v>0</v>
      </c>
      <c r="M42" s="1">
        <v>2.42</v>
      </c>
      <c r="N42" s="1">
        <v>4.5</v>
      </c>
      <c r="O42" s="17">
        <f t="shared" ref="O42:O56" si="15">MAX(0,(TRUNC((M42*0.75)-N42)))</f>
        <v>0</v>
      </c>
      <c r="P42" s="1"/>
      <c r="Q42" s="1">
        <v>5</v>
      </c>
      <c r="R42" s="1">
        <v>2.75</v>
      </c>
      <c r="S42" s="5">
        <v>0</v>
      </c>
      <c r="T42" s="1" t="s">
        <v>115</v>
      </c>
      <c r="U42" s="1">
        <v>2.08</v>
      </c>
      <c r="V42" s="1">
        <v>8.25</v>
      </c>
      <c r="W42" s="17">
        <f t="shared" si="14"/>
        <v>0</v>
      </c>
      <c r="X42" s="1">
        <v>0</v>
      </c>
      <c r="Y42" s="20">
        <v>3371.06</v>
      </c>
      <c r="Z42" s="2">
        <v>5500.15</v>
      </c>
      <c r="AA42" s="1">
        <v>8</v>
      </c>
      <c r="AB42" s="1">
        <v>3</v>
      </c>
      <c r="AC42" s="1">
        <v>6</v>
      </c>
      <c r="AD42" s="1">
        <v>27</v>
      </c>
      <c r="AE42" s="1">
        <v>54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12</v>
      </c>
      <c r="AV42" s="1">
        <v>4</v>
      </c>
      <c r="AW42" s="1">
        <v>31</v>
      </c>
      <c r="AX42" s="1">
        <v>30</v>
      </c>
      <c r="AY42" s="1">
        <v>33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5</v>
      </c>
      <c r="BF42" s="1">
        <v>4</v>
      </c>
      <c r="BG42" s="1">
        <v>11</v>
      </c>
      <c r="BH42" s="1">
        <v>14</v>
      </c>
      <c r="BI42" s="1">
        <v>99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</row>
    <row r="43" spans="1:66" ht="12.75" hidden="1" x14ac:dyDescent="0.2">
      <c r="A43" s="1">
        <v>48058</v>
      </c>
      <c r="B43" s="1" t="s">
        <v>116</v>
      </c>
      <c r="C43" s="1"/>
      <c r="D43" s="1">
        <v>12</v>
      </c>
      <c r="E43" s="1">
        <v>677</v>
      </c>
      <c r="F43" s="1" t="s">
        <v>64</v>
      </c>
      <c r="G43" s="1">
        <v>690</v>
      </c>
      <c r="H43" s="1" t="s">
        <v>101</v>
      </c>
      <c r="I43" s="2">
        <v>29.570699999999999</v>
      </c>
      <c r="J43" s="2">
        <v>354.84840000000003</v>
      </c>
      <c r="K43" s="14">
        <f t="shared" si="3"/>
        <v>0</v>
      </c>
      <c r="L43" s="15">
        <f t="shared" si="8"/>
        <v>0</v>
      </c>
      <c r="M43" s="1">
        <v>2.96</v>
      </c>
      <c r="N43" s="1">
        <v>8.83</v>
      </c>
      <c r="O43" s="17">
        <f t="shared" si="15"/>
        <v>0</v>
      </c>
      <c r="P43" s="1"/>
      <c r="Q43" s="1">
        <v>1.83</v>
      </c>
      <c r="R43" s="1">
        <v>3.33</v>
      </c>
      <c r="S43" s="5">
        <v>0</v>
      </c>
      <c r="T43" s="1"/>
      <c r="U43" s="1">
        <v>3.62</v>
      </c>
      <c r="V43" s="1">
        <v>4.92</v>
      </c>
      <c r="W43" s="17">
        <f t="shared" si="14"/>
        <v>0</v>
      </c>
      <c r="X43" s="1">
        <v>0</v>
      </c>
      <c r="Y43" s="20">
        <v>2986.64</v>
      </c>
      <c r="Z43" s="2">
        <v>6061.99</v>
      </c>
      <c r="AA43" s="1">
        <v>15</v>
      </c>
      <c r="AB43" s="1">
        <v>6</v>
      </c>
      <c r="AC43" s="1">
        <v>13</v>
      </c>
      <c r="AD43" s="1">
        <v>9</v>
      </c>
      <c r="AE43" s="1">
        <v>106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2</v>
      </c>
      <c r="AV43" s="1">
        <v>4</v>
      </c>
      <c r="AW43" s="1">
        <v>10</v>
      </c>
      <c r="AX43" s="1">
        <v>16</v>
      </c>
      <c r="AY43" s="1">
        <v>40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2</v>
      </c>
      <c r="BF43" s="1">
        <v>0</v>
      </c>
      <c r="BG43" s="1">
        <v>30</v>
      </c>
      <c r="BH43" s="1">
        <v>23</v>
      </c>
      <c r="BI43" s="1">
        <v>59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</row>
    <row r="44" spans="1:66" ht="12.75" hidden="1" x14ac:dyDescent="0.2">
      <c r="A44" s="1">
        <v>48068</v>
      </c>
      <c r="B44" s="1" t="s">
        <v>109</v>
      </c>
      <c r="C44" s="1"/>
      <c r="D44" s="1">
        <v>12</v>
      </c>
      <c r="E44" s="1">
        <v>677</v>
      </c>
      <c r="F44" s="1" t="s">
        <v>64</v>
      </c>
      <c r="G44" s="1">
        <v>690</v>
      </c>
      <c r="H44" s="1" t="s">
        <v>101</v>
      </c>
      <c r="I44" s="2">
        <v>29.570699999999999</v>
      </c>
      <c r="J44" s="2">
        <v>354.84840000000003</v>
      </c>
      <c r="K44" s="14">
        <f t="shared" si="3"/>
        <v>0</v>
      </c>
      <c r="L44" s="15">
        <f t="shared" si="8"/>
        <v>0</v>
      </c>
      <c r="M44" s="1">
        <v>1.96</v>
      </c>
      <c r="N44" s="1">
        <v>5.33</v>
      </c>
      <c r="O44" s="17">
        <f t="shared" si="15"/>
        <v>0</v>
      </c>
      <c r="P44" s="1"/>
      <c r="Q44" s="1">
        <v>3.92</v>
      </c>
      <c r="R44" s="1">
        <v>2.83</v>
      </c>
      <c r="S44" s="5">
        <v>0</v>
      </c>
      <c r="T44" s="1"/>
      <c r="U44" s="1">
        <v>1.83</v>
      </c>
      <c r="V44" s="1">
        <v>0</v>
      </c>
      <c r="W44" s="5">
        <v>0</v>
      </c>
      <c r="X44" s="1">
        <v>0</v>
      </c>
      <c r="Y44" s="20">
        <v>2735.29</v>
      </c>
      <c r="Z44" s="2">
        <v>2897.93</v>
      </c>
      <c r="AA44" s="1">
        <v>3</v>
      </c>
      <c r="AB44" s="1">
        <v>1</v>
      </c>
      <c r="AC44" s="1">
        <v>5</v>
      </c>
      <c r="AD44" s="1">
        <v>30</v>
      </c>
      <c r="AE44" s="1">
        <v>64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4</v>
      </c>
      <c r="AV44" s="1">
        <v>2</v>
      </c>
      <c r="AW44" s="1">
        <v>30</v>
      </c>
      <c r="AX44" s="1">
        <v>24</v>
      </c>
      <c r="AY44" s="1">
        <v>34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1</v>
      </c>
      <c r="BF44" s="1">
        <v>0</v>
      </c>
      <c r="BG44" s="1">
        <v>5</v>
      </c>
      <c r="BH44" s="1">
        <v>32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</row>
    <row r="45" spans="1:66" ht="12.75" hidden="1" x14ac:dyDescent="0.2">
      <c r="A45" s="1">
        <v>48082</v>
      </c>
      <c r="B45" s="1" t="s">
        <v>114</v>
      </c>
      <c r="C45" s="1"/>
      <c r="D45" s="1">
        <v>12</v>
      </c>
      <c r="E45" s="1">
        <v>677</v>
      </c>
      <c r="F45" s="1" t="s">
        <v>64</v>
      </c>
      <c r="G45" s="1">
        <v>690</v>
      </c>
      <c r="H45" s="1" t="s">
        <v>101</v>
      </c>
      <c r="I45" s="2">
        <v>29.570699999999999</v>
      </c>
      <c r="J45" s="2">
        <v>354.84840000000003</v>
      </c>
      <c r="K45" s="14">
        <f t="shared" si="3"/>
        <v>0</v>
      </c>
      <c r="L45" s="15">
        <f t="shared" si="8"/>
        <v>0</v>
      </c>
      <c r="M45" s="1">
        <v>3.71</v>
      </c>
      <c r="N45" s="1">
        <v>3.08</v>
      </c>
      <c r="O45" s="17">
        <f t="shared" si="15"/>
        <v>0</v>
      </c>
      <c r="P45" s="1"/>
      <c r="Q45" s="1">
        <v>1.54</v>
      </c>
      <c r="R45" s="1">
        <v>0</v>
      </c>
      <c r="S45" s="5">
        <v>0</v>
      </c>
      <c r="T45" s="1" t="s">
        <v>115</v>
      </c>
      <c r="U45" s="1">
        <v>2.38</v>
      </c>
      <c r="V45" s="1">
        <v>8.67</v>
      </c>
      <c r="W45" s="17">
        <f t="shared" ref="W45:W91" si="16">MAX(0,(TRUNC((U45*0.75)-V45)))</f>
        <v>0</v>
      </c>
      <c r="X45" s="1">
        <v>0</v>
      </c>
      <c r="Y45" s="20">
        <v>2705.72</v>
      </c>
      <c r="Z45" s="2">
        <v>4169.47</v>
      </c>
      <c r="AA45" s="1">
        <v>22</v>
      </c>
      <c r="AB45" s="1">
        <v>5</v>
      </c>
      <c r="AC45" s="1">
        <v>6</v>
      </c>
      <c r="AD45" s="1">
        <v>28</v>
      </c>
      <c r="AE45" s="1">
        <v>37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13</v>
      </c>
      <c r="AX45" s="1">
        <v>11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14</v>
      </c>
      <c r="BF45" s="1">
        <v>2</v>
      </c>
      <c r="BG45" s="1">
        <v>4</v>
      </c>
      <c r="BH45" s="1">
        <v>19</v>
      </c>
      <c r="BI45" s="1">
        <v>104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</row>
    <row r="46" spans="1:66" ht="12.75" hidden="1" x14ac:dyDescent="0.2">
      <c r="A46" s="1">
        <v>47009</v>
      </c>
      <c r="B46" s="1" t="s">
        <v>130</v>
      </c>
      <c r="C46" s="1"/>
      <c r="D46" s="1">
        <v>12</v>
      </c>
      <c r="E46" s="1">
        <v>677</v>
      </c>
      <c r="F46" s="1" t="s">
        <v>64</v>
      </c>
      <c r="G46" s="1">
        <v>61</v>
      </c>
      <c r="H46" s="1" t="s">
        <v>66</v>
      </c>
      <c r="I46" s="2">
        <v>138.47</v>
      </c>
      <c r="J46" s="2">
        <v>1661.64</v>
      </c>
      <c r="K46" s="14">
        <f t="shared" si="3"/>
        <v>0</v>
      </c>
      <c r="L46" s="15">
        <f t="shared" si="8"/>
        <v>0</v>
      </c>
      <c r="M46" s="1">
        <v>0</v>
      </c>
      <c r="N46" s="1">
        <v>0</v>
      </c>
      <c r="O46" s="17">
        <f t="shared" si="15"/>
        <v>0</v>
      </c>
      <c r="P46" s="1"/>
      <c r="Q46" s="1">
        <v>0.79</v>
      </c>
      <c r="R46" s="1">
        <v>0</v>
      </c>
      <c r="S46" s="5">
        <v>0</v>
      </c>
      <c r="T46" s="1"/>
      <c r="U46" s="1">
        <v>0.75</v>
      </c>
      <c r="V46" s="1">
        <v>0</v>
      </c>
      <c r="W46" s="17">
        <f t="shared" si="16"/>
        <v>0</v>
      </c>
      <c r="X46" s="1">
        <v>0</v>
      </c>
      <c r="Y46" s="20">
        <v>2561.69</v>
      </c>
      <c r="Z46" s="2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9</v>
      </c>
      <c r="AX46" s="1">
        <v>1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8</v>
      </c>
      <c r="BH46" s="1">
        <v>2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</row>
    <row r="47" spans="1:66" ht="12.75" x14ac:dyDescent="0.2">
      <c r="A47" s="1">
        <v>47027</v>
      </c>
      <c r="B47" s="1" t="s">
        <v>95</v>
      </c>
      <c r="C47" s="1" t="s">
        <v>99</v>
      </c>
      <c r="D47" s="1">
        <v>16</v>
      </c>
      <c r="E47" s="1">
        <v>677</v>
      </c>
      <c r="F47" s="1" t="s">
        <v>64</v>
      </c>
      <c r="G47" s="1">
        <v>999</v>
      </c>
      <c r="H47" s="1" t="s">
        <v>67</v>
      </c>
      <c r="I47" s="2">
        <v>56.59</v>
      </c>
      <c r="J47" s="2">
        <v>905.44</v>
      </c>
      <c r="K47" s="14">
        <f t="shared" si="3"/>
        <v>18108.800000000003</v>
      </c>
      <c r="L47" s="15">
        <f t="shared" si="8"/>
        <v>20</v>
      </c>
      <c r="M47" s="1">
        <v>2.59</v>
      </c>
      <c r="N47" s="1">
        <v>1.81</v>
      </c>
      <c r="O47" s="17">
        <f t="shared" si="15"/>
        <v>0</v>
      </c>
      <c r="P47" s="1"/>
      <c r="Q47" s="1">
        <v>0</v>
      </c>
      <c r="R47" s="1">
        <v>0</v>
      </c>
      <c r="S47" s="5">
        <v>20</v>
      </c>
      <c r="T47" s="1"/>
      <c r="U47" s="1">
        <v>0</v>
      </c>
      <c r="V47" s="1">
        <v>0</v>
      </c>
      <c r="W47" s="17">
        <f t="shared" si="16"/>
        <v>0</v>
      </c>
      <c r="X47" s="1">
        <v>0</v>
      </c>
      <c r="Y47" s="20">
        <v>2348.48</v>
      </c>
      <c r="Z47" s="2">
        <v>1641.11</v>
      </c>
      <c r="AA47" s="1">
        <v>35</v>
      </c>
      <c r="AB47" s="1">
        <v>13</v>
      </c>
      <c r="AC47" s="1">
        <v>0</v>
      </c>
      <c r="AD47" s="1">
        <v>0</v>
      </c>
      <c r="AE47" s="1">
        <v>29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</row>
    <row r="48" spans="1:66" ht="12.75" x14ac:dyDescent="0.2">
      <c r="A48" s="1">
        <v>47210</v>
      </c>
      <c r="B48" s="1" t="s">
        <v>127</v>
      </c>
      <c r="C48" s="1"/>
      <c r="D48" s="1">
        <v>12</v>
      </c>
      <c r="E48" s="1">
        <v>677</v>
      </c>
      <c r="F48" s="1" t="s">
        <v>64</v>
      </c>
      <c r="G48" s="1">
        <v>61</v>
      </c>
      <c r="H48" s="1" t="s">
        <v>66</v>
      </c>
      <c r="I48" s="2">
        <v>48.1554</v>
      </c>
      <c r="J48" s="2">
        <v>577.86479999999995</v>
      </c>
      <c r="K48" s="14">
        <f t="shared" si="3"/>
        <v>5778.6479999999992</v>
      </c>
      <c r="L48" s="15">
        <f t="shared" si="8"/>
        <v>10</v>
      </c>
      <c r="M48" s="1">
        <v>0.25</v>
      </c>
      <c r="N48" s="1">
        <v>1.33</v>
      </c>
      <c r="O48" s="17">
        <f t="shared" si="15"/>
        <v>0</v>
      </c>
      <c r="P48" s="1"/>
      <c r="Q48" s="1">
        <v>2</v>
      </c>
      <c r="R48" s="1">
        <v>0.33</v>
      </c>
      <c r="S48" s="5">
        <v>10</v>
      </c>
      <c r="T48" s="1"/>
      <c r="U48" s="1">
        <v>1.62</v>
      </c>
      <c r="V48" s="1">
        <v>1.42</v>
      </c>
      <c r="W48" s="17">
        <f t="shared" si="16"/>
        <v>0</v>
      </c>
      <c r="X48" s="1">
        <v>0</v>
      </c>
      <c r="Y48" s="20">
        <v>2239.23</v>
      </c>
      <c r="Z48" s="2">
        <v>1781.75</v>
      </c>
      <c r="AA48" s="1">
        <v>3</v>
      </c>
      <c r="AB48" s="1">
        <v>0</v>
      </c>
      <c r="AC48" s="1">
        <v>0</v>
      </c>
      <c r="AD48" s="1">
        <v>0</v>
      </c>
      <c r="AE48" s="1">
        <v>16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16</v>
      </c>
      <c r="AV48" s="1">
        <v>14</v>
      </c>
      <c r="AW48" s="1">
        <v>1</v>
      </c>
      <c r="AX48" s="1">
        <v>0</v>
      </c>
      <c r="AY48" s="1">
        <v>4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13</v>
      </c>
      <c r="BF48" s="1">
        <v>13</v>
      </c>
      <c r="BG48" s="1">
        <v>0</v>
      </c>
      <c r="BH48" s="1">
        <v>0</v>
      </c>
      <c r="BI48" s="1">
        <v>17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</row>
    <row r="49" spans="1:66" ht="12.75" hidden="1" x14ac:dyDescent="0.2">
      <c r="A49" s="1">
        <v>47019</v>
      </c>
      <c r="B49" s="1" t="s">
        <v>123</v>
      </c>
      <c r="C49" s="1"/>
      <c r="D49" s="1">
        <v>8</v>
      </c>
      <c r="E49" s="1">
        <v>677</v>
      </c>
      <c r="F49" s="1" t="s">
        <v>64</v>
      </c>
      <c r="G49" s="1">
        <v>61</v>
      </c>
      <c r="H49" s="1" t="s">
        <v>66</v>
      </c>
      <c r="I49" s="2">
        <v>152.41</v>
      </c>
      <c r="J49" s="2">
        <v>1219.28</v>
      </c>
      <c r="K49" s="14">
        <f t="shared" si="3"/>
        <v>0</v>
      </c>
      <c r="L49" s="15">
        <f t="shared" si="8"/>
        <v>0</v>
      </c>
      <c r="M49" s="1">
        <v>0.12</v>
      </c>
      <c r="N49" s="1">
        <v>3.62</v>
      </c>
      <c r="O49" s="17">
        <f t="shared" si="15"/>
        <v>0</v>
      </c>
      <c r="P49" s="1"/>
      <c r="Q49" s="1">
        <v>1.56</v>
      </c>
      <c r="R49" s="1">
        <v>1.5</v>
      </c>
      <c r="S49" s="5">
        <v>0</v>
      </c>
      <c r="T49" s="1"/>
      <c r="U49" s="1">
        <v>0.12</v>
      </c>
      <c r="V49" s="1">
        <v>0.75</v>
      </c>
      <c r="W49" s="17">
        <f t="shared" si="16"/>
        <v>0</v>
      </c>
      <c r="X49" s="1">
        <v>0</v>
      </c>
      <c r="Y49" s="20">
        <v>2209.9499999999998</v>
      </c>
      <c r="Z49" s="2">
        <v>7163.27</v>
      </c>
      <c r="AA49" s="1">
        <v>0</v>
      </c>
      <c r="AB49" s="1">
        <v>0</v>
      </c>
      <c r="AC49" s="1">
        <v>0</v>
      </c>
      <c r="AD49" s="1">
        <v>2</v>
      </c>
      <c r="AE49" s="1">
        <v>29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1</v>
      </c>
      <c r="AV49" s="1">
        <v>4</v>
      </c>
      <c r="AW49" s="1">
        <v>9</v>
      </c>
      <c r="AX49" s="1">
        <v>1</v>
      </c>
      <c r="AY49" s="1">
        <v>12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2</v>
      </c>
      <c r="BG49" s="1">
        <v>0</v>
      </c>
      <c r="BH49" s="1">
        <v>0</v>
      </c>
      <c r="BI49" s="1">
        <v>6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</row>
    <row r="50" spans="1:66" ht="12.75" hidden="1" x14ac:dyDescent="0.2">
      <c r="A50" s="1">
        <v>48029</v>
      </c>
      <c r="B50" s="1" t="s">
        <v>111</v>
      </c>
      <c r="C50" s="1"/>
      <c r="D50" s="1">
        <v>12</v>
      </c>
      <c r="E50" s="1">
        <v>677</v>
      </c>
      <c r="F50" s="1" t="s">
        <v>64</v>
      </c>
      <c r="G50" s="1">
        <v>690</v>
      </c>
      <c r="H50" s="1" t="s">
        <v>101</v>
      </c>
      <c r="I50" s="2">
        <v>29.570699999999999</v>
      </c>
      <c r="J50" s="2">
        <v>354.84840000000003</v>
      </c>
      <c r="K50" s="14">
        <f t="shared" si="3"/>
        <v>0</v>
      </c>
      <c r="L50" s="15">
        <f t="shared" si="8"/>
        <v>0</v>
      </c>
      <c r="M50" s="1">
        <v>1.29</v>
      </c>
      <c r="N50" s="1">
        <v>8.17</v>
      </c>
      <c r="O50" s="17">
        <f t="shared" si="15"/>
        <v>0</v>
      </c>
      <c r="P50" s="1"/>
      <c r="Q50" s="1">
        <v>2.92</v>
      </c>
      <c r="R50" s="1">
        <v>3.92</v>
      </c>
      <c r="S50" s="5">
        <v>0</v>
      </c>
      <c r="T50" s="1"/>
      <c r="U50" s="1">
        <v>1.75</v>
      </c>
      <c r="V50" s="1">
        <v>4</v>
      </c>
      <c r="W50" s="17">
        <f t="shared" si="16"/>
        <v>0</v>
      </c>
      <c r="X50" s="1">
        <v>0</v>
      </c>
      <c r="Y50" s="20">
        <v>2114.31</v>
      </c>
      <c r="Z50" s="2">
        <v>5707.15</v>
      </c>
      <c r="AA50" s="1">
        <v>4</v>
      </c>
      <c r="AB50" s="1">
        <v>4</v>
      </c>
      <c r="AC50" s="1">
        <v>4</v>
      </c>
      <c r="AD50" s="1">
        <v>11</v>
      </c>
      <c r="AE50" s="1">
        <v>98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4</v>
      </c>
      <c r="AV50" s="1">
        <v>1</v>
      </c>
      <c r="AW50" s="1">
        <v>26</v>
      </c>
      <c r="AX50" s="1">
        <v>9</v>
      </c>
      <c r="AY50" s="1">
        <v>47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4</v>
      </c>
      <c r="BF50" s="1">
        <v>4</v>
      </c>
      <c r="BG50" s="1">
        <v>5</v>
      </c>
      <c r="BH50" s="1">
        <v>20</v>
      </c>
      <c r="BI50" s="1">
        <v>48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</row>
    <row r="51" spans="1:66" ht="12.75" hidden="1" x14ac:dyDescent="0.2">
      <c r="A51" s="1">
        <v>48063</v>
      </c>
      <c r="B51" s="1" t="s">
        <v>118</v>
      </c>
      <c r="C51" s="1"/>
      <c r="D51" s="1">
        <v>12</v>
      </c>
      <c r="E51" s="1">
        <v>677</v>
      </c>
      <c r="F51" s="1" t="s">
        <v>64</v>
      </c>
      <c r="G51" s="1">
        <v>690</v>
      </c>
      <c r="H51" s="1" t="s">
        <v>101</v>
      </c>
      <c r="I51" s="2">
        <v>29.570699999999999</v>
      </c>
      <c r="J51" s="2">
        <v>354.84840000000003</v>
      </c>
      <c r="K51" s="14">
        <f t="shared" si="3"/>
        <v>0</v>
      </c>
      <c r="L51" s="15">
        <f t="shared" si="8"/>
        <v>0</v>
      </c>
      <c r="M51" s="1">
        <v>1.96</v>
      </c>
      <c r="N51" s="1">
        <v>6.75</v>
      </c>
      <c r="O51" s="17">
        <f t="shared" si="15"/>
        <v>0</v>
      </c>
      <c r="P51" s="1"/>
      <c r="Q51" s="1">
        <v>0.5</v>
      </c>
      <c r="R51" s="1">
        <v>4.17</v>
      </c>
      <c r="S51" s="5">
        <v>0</v>
      </c>
      <c r="T51" s="1"/>
      <c r="U51" s="1">
        <v>1.38</v>
      </c>
      <c r="V51" s="1">
        <v>6.33</v>
      </c>
      <c r="W51" s="17">
        <f t="shared" si="16"/>
        <v>0</v>
      </c>
      <c r="X51" s="1">
        <v>0</v>
      </c>
      <c r="Y51" s="20">
        <v>1360.25</v>
      </c>
      <c r="Z51" s="2">
        <v>6121.13</v>
      </c>
      <c r="AA51" s="1">
        <v>5</v>
      </c>
      <c r="AB51" s="1">
        <v>10</v>
      </c>
      <c r="AC51" s="1">
        <v>5</v>
      </c>
      <c r="AD51" s="1">
        <v>17</v>
      </c>
      <c r="AE51" s="1">
        <v>81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5</v>
      </c>
      <c r="AV51" s="1">
        <v>2</v>
      </c>
      <c r="AW51" s="1">
        <v>0</v>
      </c>
      <c r="AX51" s="1">
        <v>0</v>
      </c>
      <c r="AY51" s="1">
        <v>50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1</v>
      </c>
      <c r="BF51" s="1">
        <v>2</v>
      </c>
      <c r="BG51" s="1">
        <v>4</v>
      </c>
      <c r="BH51" s="1">
        <v>21</v>
      </c>
      <c r="BI51" s="1">
        <v>76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</row>
    <row r="52" spans="1:66" ht="12.75" hidden="1" x14ac:dyDescent="0.2">
      <c r="A52" s="1">
        <v>48049</v>
      </c>
      <c r="B52" s="1" t="s">
        <v>124</v>
      </c>
      <c r="C52" s="1"/>
      <c r="D52" s="1">
        <v>12</v>
      </c>
      <c r="E52" s="1">
        <v>677</v>
      </c>
      <c r="F52" s="1" t="s">
        <v>64</v>
      </c>
      <c r="G52" s="1">
        <v>690</v>
      </c>
      <c r="H52" s="1" t="s">
        <v>101</v>
      </c>
      <c r="I52" s="2">
        <v>29.570699999999999</v>
      </c>
      <c r="J52" s="2">
        <v>354.84840000000003</v>
      </c>
      <c r="K52" s="14">
        <f t="shared" si="3"/>
        <v>0</v>
      </c>
      <c r="L52" s="15">
        <f t="shared" si="8"/>
        <v>0</v>
      </c>
      <c r="M52" s="1">
        <v>0.96</v>
      </c>
      <c r="N52" s="1">
        <v>5.08</v>
      </c>
      <c r="O52" s="17">
        <f t="shared" si="15"/>
        <v>0</v>
      </c>
      <c r="P52" s="1"/>
      <c r="Q52" s="1">
        <v>2.25</v>
      </c>
      <c r="R52" s="1">
        <v>0</v>
      </c>
      <c r="S52" s="5">
        <v>0</v>
      </c>
      <c r="T52" s="1"/>
      <c r="U52" s="1">
        <v>0.57999999999999996</v>
      </c>
      <c r="V52" s="1">
        <v>0</v>
      </c>
      <c r="W52" s="17">
        <f t="shared" si="16"/>
        <v>0</v>
      </c>
      <c r="X52" s="1">
        <v>0</v>
      </c>
      <c r="Y52" s="20">
        <v>1345.47</v>
      </c>
      <c r="Z52" s="2">
        <v>1803.81</v>
      </c>
      <c r="AA52" s="1">
        <v>0</v>
      </c>
      <c r="AB52" s="1">
        <v>3</v>
      </c>
      <c r="AC52" s="1">
        <v>9</v>
      </c>
      <c r="AD52" s="1">
        <v>2</v>
      </c>
      <c r="AE52" s="1">
        <v>61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15</v>
      </c>
      <c r="AX52" s="1">
        <v>24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2</v>
      </c>
      <c r="BH52" s="1">
        <v>10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</row>
    <row r="53" spans="1:66" ht="12.75" hidden="1" x14ac:dyDescent="0.2">
      <c r="A53" s="1">
        <v>48080</v>
      </c>
      <c r="B53" s="1" t="s">
        <v>122</v>
      </c>
      <c r="C53" s="1"/>
      <c r="D53" s="1">
        <v>12</v>
      </c>
      <c r="E53" s="1">
        <v>677</v>
      </c>
      <c r="F53" s="1" t="s">
        <v>64</v>
      </c>
      <c r="G53" s="1">
        <v>690</v>
      </c>
      <c r="H53" s="1" t="s">
        <v>101</v>
      </c>
      <c r="I53" s="2">
        <v>29.570699999999999</v>
      </c>
      <c r="J53" s="2">
        <v>354.84840000000003</v>
      </c>
      <c r="K53" s="14">
        <f t="shared" si="3"/>
        <v>0</v>
      </c>
      <c r="L53" s="15">
        <f t="shared" si="8"/>
        <v>0</v>
      </c>
      <c r="M53" s="1">
        <v>0</v>
      </c>
      <c r="N53" s="1">
        <v>0</v>
      </c>
      <c r="O53" s="17">
        <f t="shared" si="15"/>
        <v>0</v>
      </c>
      <c r="P53" s="1"/>
      <c r="Q53" s="1">
        <v>2.04</v>
      </c>
      <c r="R53" s="1">
        <v>0</v>
      </c>
      <c r="S53" s="5">
        <v>0</v>
      </c>
      <c r="T53" s="1"/>
      <c r="U53" s="1">
        <v>1.08</v>
      </c>
      <c r="V53" s="1">
        <v>2.92</v>
      </c>
      <c r="W53" s="17">
        <f t="shared" si="16"/>
        <v>0</v>
      </c>
      <c r="X53" s="1">
        <v>0</v>
      </c>
      <c r="Y53" s="20">
        <v>1108.9000000000001</v>
      </c>
      <c r="Z53" s="2">
        <v>1034.97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18</v>
      </c>
      <c r="AX53" s="1">
        <v>13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7</v>
      </c>
      <c r="BF53" s="1">
        <v>1</v>
      </c>
      <c r="BG53" s="1">
        <v>2</v>
      </c>
      <c r="BH53" s="1">
        <v>7</v>
      </c>
      <c r="BI53" s="1">
        <v>35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</row>
    <row r="54" spans="1:66" ht="12.75" hidden="1" x14ac:dyDescent="0.2">
      <c r="A54" s="1">
        <v>48044</v>
      </c>
      <c r="B54" s="1" t="s">
        <v>121</v>
      </c>
      <c r="C54" s="1"/>
      <c r="D54" s="1">
        <v>12</v>
      </c>
      <c r="E54" s="1">
        <v>677</v>
      </c>
      <c r="F54" s="1" t="s">
        <v>64</v>
      </c>
      <c r="G54" s="1">
        <v>690</v>
      </c>
      <c r="H54" s="1" t="s">
        <v>101</v>
      </c>
      <c r="I54" s="2">
        <v>29.570699999999999</v>
      </c>
      <c r="J54" s="2">
        <v>354.84840000000003</v>
      </c>
      <c r="K54" s="14">
        <f t="shared" si="3"/>
        <v>0</v>
      </c>
      <c r="L54" s="15">
        <f t="shared" ref="L54:L91" si="17">SUM(O54+S54+W54)</f>
        <v>0</v>
      </c>
      <c r="M54" s="1">
        <v>0</v>
      </c>
      <c r="N54" s="1">
        <v>0</v>
      </c>
      <c r="O54" s="17">
        <f t="shared" si="15"/>
        <v>0</v>
      </c>
      <c r="P54" s="1"/>
      <c r="Q54" s="1">
        <v>1.29</v>
      </c>
      <c r="R54" s="1">
        <v>4.33</v>
      </c>
      <c r="S54" s="5">
        <v>0</v>
      </c>
      <c r="T54" s="1"/>
      <c r="U54" s="1">
        <v>0.5</v>
      </c>
      <c r="V54" s="1">
        <v>3.17</v>
      </c>
      <c r="W54" s="17">
        <f t="shared" si="16"/>
        <v>0</v>
      </c>
      <c r="X54" s="1">
        <v>0</v>
      </c>
      <c r="Y54" s="20">
        <v>635.77</v>
      </c>
      <c r="Z54" s="2">
        <v>2661.36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7</v>
      </c>
      <c r="AV54" s="1">
        <v>1</v>
      </c>
      <c r="AW54" s="1">
        <v>6</v>
      </c>
      <c r="AX54" s="1">
        <v>4</v>
      </c>
      <c r="AY54" s="1">
        <v>52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6</v>
      </c>
      <c r="BF54" s="1">
        <v>0</v>
      </c>
      <c r="BG54" s="1">
        <v>0</v>
      </c>
      <c r="BH54" s="1">
        <v>0</v>
      </c>
      <c r="BI54" s="1">
        <v>38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</row>
    <row r="55" spans="1:66" ht="12.75" hidden="1" x14ac:dyDescent="0.2">
      <c r="A55" s="1">
        <v>48055</v>
      </c>
      <c r="B55" s="1" t="s">
        <v>119</v>
      </c>
      <c r="C55" s="1"/>
      <c r="D55" s="1">
        <v>12</v>
      </c>
      <c r="E55" s="1">
        <v>677</v>
      </c>
      <c r="F55" s="1" t="s">
        <v>64</v>
      </c>
      <c r="G55" s="1">
        <v>690</v>
      </c>
      <c r="H55" s="1" t="s">
        <v>101</v>
      </c>
      <c r="I55" s="2">
        <v>29.570699999999999</v>
      </c>
      <c r="J55" s="2">
        <v>354.84840000000003</v>
      </c>
      <c r="K55" s="14">
        <f t="shared" si="3"/>
        <v>0</v>
      </c>
      <c r="L55" s="15">
        <f t="shared" si="17"/>
        <v>0</v>
      </c>
      <c r="M55" s="1">
        <v>0.57999999999999996</v>
      </c>
      <c r="N55" s="1">
        <v>5.25</v>
      </c>
      <c r="O55" s="17">
        <f t="shared" si="15"/>
        <v>0</v>
      </c>
      <c r="P55" s="1"/>
      <c r="Q55" s="1">
        <v>0.33</v>
      </c>
      <c r="R55" s="1">
        <v>3.08</v>
      </c>
      <c r="S55" s="5">
        <v>0</v>
      </c>
      <c r="T55" s="1"/>
      <c r="U55" s="1">
        <v>0.5</v>
      </c>
      <c r="V55" s="1">
        <v>2.42</v>
      </c>
      <c r="W55" s="17">
        <f t="shared" si="16"/>
        <v>0</v>
      </c>
      <c r="X55" s="1">
        <v>0</v>
      </c>
      <c r="Y55" s="20">
        <v>502.7</v>
      </c>
      <c r="Z55" s="2">
        <v>3814.62</v>
      </c>
      <c r="AA55" s="1">
        <v>5</v>
      </c>
      <c r="AB55" s="1">
        <v>4</v>
      </c>
      <c r="AC55" s="1">
        <v>0</v>
      </c>
      <c r="AD55" s="1">
        <v>0</v>
      </c>
      <c r="AE55" s="1">
        <v>63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2</v>
      </c>
      <c r="AV55" s="1">
        <v>4</v>
      </c>
      <c r="AW55" s="1">
        <v>0</v>
      </c>
      <c r="AX55" s="1">
        <v>0</v>
      </c>
      <c r="AY55" s="1">
        <v>37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5</v>
      </c>
      <c r="BF55" s="1">
        <v>2</v>
      </c>
      <c r="BG55" s="1">
        <v>0</v>
      </c>
      <c r="BH55" s="1">
        <v>0</v>
      </c>
      <c r="BI55" s="1">
        <v>29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</row>
    <row r="56" spans="1:66" ht="12.75" hidden="1" x14ac:dyDescent="0.2">
      <c r="A56" s="1">
        <v>48066</v>
      </c>
      <c r="B56" s="1" t="s">
        <v>129</v>
      </c>
      <c r="C56" s="1"/>
      <c r="D56" s="1">
        <v>12</v>
      </c>
      <c r="E56" s="1">
        <v>677</v>
      </c>
      <c r="F56" s="1" t="s">
        <v>64</v>
      </c>
      <c r="G56" s="1">
        <v>690</v>
      </c>
      <c r="H56" s="1" t="s">
        <v>101</v>
      </c>
      <c r="I56" s="2">
        <v>29.570699999999999</v>
      </c>
      <c r="J56" s="2">
        <v>354.84840000000003</v>
      </c>
      <c r="K56" s="14">
        <f t="shared" si="3"/>
        <v>0</v>
      </c>
      <c r="L56" s="15">
        <f t="shared" si="17"/>
        <v>0</v>
      </c>
      <c r="M56" s="1">
        <v>0.54</v>
      </c>
      <c r="N56" s="1">
        <v>3.25</v>
      </c>
      <c r="O56" s="17">
        <f t="shared" si="15"/>
        <v>0</v>
      </c>
      <c r="P56" s="1"/>
      <c r="Q56" s="1">
        <v>0.25</v>
      </c>
      <c r="R56" s="1">
        <v>4.5</v>
      </c>
      <c r="S56" s="5">
        <v>0</v>
      </c>
      <c r="T56" s="1"/>
      <c r="U56" s="1">
        <v>0.17</v>
      </c>
      <c r="V56" s="1">
        <v>2.33</v>
      </c>
      <c r="W56" s="17">
        <f t="shared" si="16"/>
        <v>0</v>
      </c>
      <c r="X56" s="1">
        <v>0</v>
      </c>
      <c r="Y56" s="20">
        <v>340.06</v>
      </c>
      <c r="Z56" s="2">
        <v>3578.05</v>
      </c>
      <c r="AA56" s="1">
        <v>5</v>
      </c>
      <c r="AB56" s="1">
        <v>3</v>
      </c>
      <c r="AC56" s="1">
        <v>0</v>
      </c>
      <c r="AD56" s="1">
        <v>0</v>
      </c>
      <c r="AE56" s="1">
        <v>39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2</v>
      </c>
      <c r="AV56" s="1">
        <v>2</v>
      </c>
      <c r="AW56" s="1">
        <v>0</v>
      </c>
      <c r="AX56" s="1">
        <v>0</v>
      </c>
      <c r="AY56" s="1">
        <v>54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2</v>
      </c>
      <c r="BF56" s="1">
        <v>0</v>
      </c>
      <c r="BG56" s="1">
        <v>0</v>
      </c>
      <c r="BH56" s="1">
        <v>0</v>
      </c>
      <c r="BI56" s="1">
        <v>28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</row>
    <row r="57" spans="1:66" ht="12.75" hidden="1" x14ac:dyDescent="0.2">
      <c r="A57" s="1">
        <v>560</v>
      </c>
      <c r="B57" s="1" t="s">
        <v>133</v>
      </c>
      <c r="C57" s="1"/>
      <c r="D57" s="1">
        <v>96</v>
      </c>
      <c r="E57" s="1">
        <v>677</v>
      </c>
      <c r="F57" s="1" t="s">
        <v>64</v>
      </c>
      <c r="G57" s="1">
        <v>690</v>
      </c>
      <c r="H57" s="1" t="s">
        <v>101</v>
      </c>
      <c r="I57" s="2">
        <v>3.6968999999999999</v>
      </c>
      <c r="J57" s="2">
        <v>354.9024</v>
      </c>
      <c r="K57" s="14">
        <f t="shared" si="3"/>
        <v>0</v>
      </c>
      <c r="L57" s="15">
        <f t="shared" si="17"/>
        <v>0</v>
      </c>
      <c r="M57" s="1">
        <v>0.88</v>
      </c>
      <c r="N57" s="1">
        <v>-0.47</v>
      </c>
      <c r="O57" s="5">
        <v>0</v>
      </c>
      <c r="P57" s="1"/>
      <c r="Q57" s="1">
        <v>0</v>
      </c>
      <c r="R57" s="1">
        <v>0</v>
      </c>
      <c r="S57" s="5">
        <v>0</v>
      </c>
      <c r="T57" s="1"/>
      <c r="U57" s="1">
        <v>0</v>
      </c>
      <c r="V57" s="1">
        <v>0</v>
      </c>
      <c r="W57" s="17">
        <f t="shared" si="16"/>
        <v>0</v>
      </c>
      <c r="X57" s="1">
        <v>0</v>
      </c>
      <c r="Y57" s="20">
        <v>312.39</v>
      </c>
      <c r="Z57" s="2">
        <v>-166.36</v>
      </c>
      <c r="AA57" s="1">
        <v>27</v>
      </c>
      <c r="AB57" s="1">
        <v>17</v>
      </c>
      <c r="AC57" s="1">
        <v>21</v>
      </c>
      <c r="AD57" s="1">
        <v>56</v>
      </c>
      <c r="AE57" s="1">
        <v>-45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</row>
    <row r="58" spans="1:66" ht="12.75" hidden="1" x14ac:dyDescent="0.2">
      <c r="A58" s="1">
        <v>567</v>
      </c>
      <c r="B58" s="1" t="s">
        <v>135</v>
      </c>
      <c r="C58" s="1"/>
      <c r="D58" s="1">
        <v>96</v>
      </c>
      <c r="E58" s="1">
        <v>677</v>
      </c>
      <c r="F58" s="1" t="s">
        <v>64</v>
      </c>
      <c r="G58" s="1">
        <v>690</v>
      </c>
      <c r="H58" s="1" t="s">
        <v>101</v>
      </c>
      <c r="I58" s="2">
        <v>3.6968999999999999</v>
      </c>
      <c r="J58" s="2">
        <v>354.9024</v>
      </c>
      <c r="K58" s="14">
        <f t="shared" si="3"/>
        <v>0</v>
      </c>
      <c r="L58" s="15">
        <f t="shared" si="17"/>
        <v>0</v>
      </c>
      <c r="M58" s="1">
        <v>0.57999999999999996</v>
      </c>
      <c r="N58" s="1">
        <v>-0.39</v>
      </c>
      <c r="O58" s="17">
        <f t="shared" ref="O58:O91" si="18">MAX(0,(TRUNC((M58*0.75)-N58)))</f>
        <v>0</v>
      </c>
      <c r="P58" s="1"/>
      <c r="Q58" s="1">
        <v>0</v>
      </c>
      <c r="R58" s="1">
        <v>0</v>
      </c>
      <c r="S58" s="5">
        <v>0</v>
      </c>
      <c r="T58" s="1"/>
      <c r="U58" s="1">
        <v>0.06</v>
      </c>
      <c r="V58" s="1">
        <v>0.02</v>
      </c>
      <c r="W58" s="17">
        <f t="shared" si="16"/>
        <v>0</v>
      </c>
      <c r="X58" s="1">
        <v>0</v>
      </c>
      <c r="Y58" s="20">
        <v>229.21</v>
      </c>
      <c r="Z58" s="2">
        <v>-129.38999999999999</v>
      </c>
      <c r="AA58" s="1">
        <v>11</v>
      </c>
      <c r="AB58" s="1">
        <v>13</v>
      </c>
      <c r="AC58" s="1">
        <v>25</v>
      </c>
      <c r="AD58" s="1">
        <v>27</v>
      </c>
      <c r="AE58" s="1">
        <v>-37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4</v>
      </c>
      <c r="BF58" s="1">
        <v>0</v>
      </c>
      <c r="BG58" s="1">
        <v>2</v>
      </c>
      <c r="BH58" s="1">
        <v>0</v>
      </c>
      <c r="BI58" s="1">
        <v>2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</row>
    <row r="59" spans="1:66" ht="12.75" hidden="1" x14ac:dyDescent="0.2">
      <c r="A59" s="1">
        <v>561</v>
      </c>
      <c r="B59" s="1" t="s">
        <v>132</v>
      </c>
      <c r="C59" s="1"/>
      <c r="D59" s="1">
        <v>96</v>
      </c>
      <c r="E59" s="1">
        <v>677</v>
      </c>
      <c r="F59" s="1" t="s">
        <v>64</v>
      </c>
      <c r="G59" s="1">
        <v>690</v>
      </c>
      <c r="H59" s="1" t="s">
        <v>101</v>
      </c>
      <c r="I59" s="2">
        <v>3.6968999999999999</v>
      </c>
      <c r="J59" s="2">
        <v>354.9024</v>
      </c>
      <c r="K59" s="14">
        <f t="shared" si="3"/>
        <v>0</v>
      </c>
      <c r="L59" s="15">
        <f t="shared" si="17"/>
        <v>0</v>
      </c>
      <c r="M59" s="1">
        <v>0.59</v>
      </c>
      <c r="N59" s="1">
        <v>-0.28999999999999998</v>
      </c>
      <c r="O59" s="17">
        <f t="shared" si="18"/>
        <v>0</v>
      </c>
      <c r="P59" s="1"/>
      <c r="Q59" s="1">
        <v>0</v>
      </c>
      <c r="R59" s="1">
        <v>0</v>
      </c>
      <c r="S59" s="5">
        <v>0</v>
      </c>
      <c r="T59" s="1"/>
      <c r="U59" s="1">
        <v>0.01</v>
      </c>
      <c r="V59" s="1">
        <v>0</v>
      </c>
      <c r="W59" s="17">
        <f t="shared" si="16"/>
        <v>0</v>
      </c>
      <c r="X59" s="1">
        <v>0</v>
      </c>
      <c r="Y59" s="20">
        <v>212.57</v>
      </c>
      <c r="Z59" s="2">
        <v>-103.51</v>
      </c>
      <c r="AA59" s="1">
        <v>23</v>
      </c>
      <c r="AB59" s="1">
        <v>3</v>
      </c>
      <c r="AC59" s="1">
        <v>9</v>
      </c>
      <c r="AD59" s="1">
        <v>46</v>
      </c>
      <c r="AE59" s="1">
        <v>-28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1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</row>
    <row r="60" spans="1:66" ht="12.75" hidden="1" x14ac:dyDescent="0.2">
      <c r="A60" s="1">
        <v>562</v>
      </c>
      <c r="B60" s="1" t="s">
        <v>131</v>
      </c>
      <c r="C60" s="1"/>
      <c r="D60" s="1">
        <v>96</v>
      </c>
      <c r="E60" s="1">
        <v>677</v>
      </c>
      <c r="F60" s="1" t="s">
        <v>64</v>
      </c>
      <c r="G60" s="1">
        <v>690</v>
      </c>
      <c r="H60" s="1" t="s">
        <v>101</v>
      </c>
      <c r="I60" s="2">
        <v>3.6968999999999999</v>
      </c>
      <c r="J60" s="2">
        <v>354.9024</v>
      </c>
      <c r="K60" s="14">
        <f t="shared" si="3"/>
        <v>0</v>
      </c>
      <c r="L60" s="15">
        <f t="shared" si="17"/>
        <v>0</v>
      </c>
      <c r="M60" s="1">
        <v>0.52</v>
      </c>
      <c r="N60" s="1">
        <v>-0.23</v>
      </c>
      <c r="O60" s="17">
        <f t="shared" si="18"/>
        <v>0</v>
      </c>
      <c r="P60" s="1"/>
      <c r="Q60" s="1">
        <v>0</v>
      </c>
      <c r="R60" s="1">
        <v>0</v>
      </c>
      <c r="S60" s="5">
        <v>0</v>
      </c>
      <c r="T60" s="1"/>
      <c r="U60" s="1">
        <v>0</v>
      </c>
      <c r="V60" s="1">
        <v>0</v>
      </c>
      <c r="W60" s="17">
        <f t="shared" si="16"/>
        <v>0</v>
      </c>
      <c r="X60" s="1">
        <v>0</v>
      </c>
      <c r="Y60" s="20">
        <v>184.85</v>
      </c>
      <c r="Z60" s="2">
        <v>-81.33</v>
      </c>
      <c r="AA60" s="1">
        <v>15</v>
      </c>
      <c r="AB60" s="1">
        <v>13</v>
      </c>
      <c r="AC60" s="1">
        <v>5</v>
      </c>
      <c r="AD60" s="1">
        <v>47</v>
      </c>
      <c r="AE60" s="1">
        <v>-22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</row>
    <row r="61" spans="1:66" ht="12.75" hidden="1" x14ac:dyDescent="0.2">
      <c r="A61" s="1">
        <v>564</v>
      </c>
      <c r="B61" s="1" t="s">
        <v>136</v>
      </c>
      <c r="C61" s="1"/>
      <c r="D61" s="1">
        <v>96</v>
      </c>
      <c r="E61" s="1">
        <v>677</v>
      </c>
      <c r="F61" s="1" t="s">
        <v>64</v>
      </c>
      <c r="G61" s="1">
        <v>690</v>
      </c>
      <c r="H61" s="1" t="s">
        <v>101</v>
      </c>
      <c r="I61" s="2">
        <v>3.6968999999999999</v>
      </c>
      <c r="J61" s="2">
        <v>354.9024</v>
      </c>
      <c r="K61" s="14">
        <f t="shared" si="3"/>
        <v>0</v>
      </c>
      <c r="L61" s="15">
        <f t="shared" si="17"/>
        <v>0</v>
      </c>
      <c r="M61" s="1">
        <v>0.41</v>
      </c>
      <c r="N61" s="1">
        <v>-0.35</v>
      </c>
      <c r="O61" s="17">
        <f t="shared" si="18"/>
        <v>0</v>
      </c>
      <c r="P61" s="1"/>
      <c r="Q61" s="1">
        <v>0</v>
      </c>
      <c r="R61" s="1">
        <v>0</v>
      </c>
      <c r="S61" s="5">
        <v>0</v>
      </c>
      <c r="T61" s="1"/>
      <c r="U61" s="1">
        <v>0.06</v>
      </c>
      <c r="V61" s="1">
        <v>0</v>
      </c>
      <c r="W61" s="17">
        <f t="shared" si="16"/>
        <v>0</v>
      </c>
      <c r="X61" s="1">
        <v>0</v>
      </c>
      <c r="Y61" s="20">
        <v>168.21</v>
      </c>
      <c r="Z61" s="2">
        <v>-125.69</v>
      </c>
      <c r="AA61" s="1">
        <v>14</v>
      </c>
      <c r="AB61" s="1">
        <v>21</v>
      </c>
      <c r="AC61" s="1">
        <v>0</v>
      </c>
      <c r="AD61" s="1">
        <v>30</v>
      </c>
      <c r="AE61" s="1">
        <v>-34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6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</row>
    <row r="62" spans="1:66" ht="12.75" hidden="1" x14ac:dyDescent="0.2">
      <c r="A62" s="1">
        <v>565</v>
      </c>
      <c r="B62" s="1" t="s">
        <v>137</v>
      </c>
      <c r="C62" s="1"/>
      <c r="D62" s="1">
        <v>96</v>
      </c>
      <c r="E62" s="1">
        <v>677</v>
      </c>
      <c r="F62" s="1" t="s">
        <v>64</v>
      </c>
      <c r="G62" s="1">
        <v>690</v>
      </c>
      <c r="H62" s="1" t="s">
        <v>101</v>
      </c>
      <c r="I62" s="2">
        <v>3.6968999999999999</v>
      </c>
      <c r="J62" s="2">
        <v>354.9024</v>
      </c>
      <c r="K62" s="14">
        <f t="shared" si="3"/>
        <v>0</v>
      </c>
      <c r="L62" s="15">
        <f t="shared" si="17"/>
        <v>0</v>
      </c>
      <c r="M62" s="1">
        <v>0.36</v>
      </c>
      <c r="N62" s="1">
        <v>-0.31</v>
      </c>
      <c r="O62" s="17">
        <f t="shared" si="18"/>
        <v>0</v>
      </c>
      <c r="P62" s="1"/>
      <c r="Q62" s="1">
        <v>0</v>
      </c>
      <c r="R62" s="1">
        <v>0</v>
      </c>
      <c r="S62" s="5">
        <v>0</v>
      </c>
      <c r="T62" s="1"/>
      <c r="U62" s="1">
        <v>0</v>
      </c>
      <c r="V62" s="1">
        <v>0</v>
      </c>
      <c r="W62" s="17">
        <f t="shared" si="16"/>
        <v>0</v>
      </c>
      <c r="X62" s="1">
        <v>0</v>
      </c>
      <c r="Y62" s="20">
        <v>127.54</v>
      </c>
      <c r="Z62" s="2">
        <v>-110.91</v>
      </c>
      <c r="AA62" s="1">
        <v>14</v>
      </c>
      <c r="AB62" s="1">
        <v>16</v>
      </c>
      <c r="AC62" s="1">
        <v>4</v>
      </c>
      <c r="AD62" s="1">
        <v>17</v>
      </c>
      <c r="AE62" s="1">
        <v>-30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</row>
    <row r="63" spans="1:66" ht="12.75" hidden="1" x14ac:dyDescent="0.2">
      <c r="A63" s="1">
        <v>48056</v>
      </c>
      <c r="B63" s="1" t="s">
        <v>134</v>
      </c>
      <c r="C63" s="1"/>
      <c r="D63" s="1">
        <v>12</v>
      </c>
      <c r="E63" s="1">
        <v>677</v>
      </c>
      <c r="F63" s="1" t="s">
        <v>64</v>
      </c>
      <c r="G63" s="1">
        <v>690</v>
      </c>
      <c r="H63" s="1" t="s">
        <v>101</v>
      </c>
      <c r="I63" s="2">
        <v>29.570699999999999</v>
      </c>
      <c r="J63" s="2">
        <v>354.84840000000003</v>
      </c>
      <c r="K63" s="14">
        <f t="shared" si="3"/>
        <v>0</v>
      </c>
      <c r="L63" s="15">
        <f t="shared" si="17"/>
        <v>0</v>
      </c>
      <c r="M63" s="1">
        <v>0</v>
      </c>
      <c r="N63" s="1">
        <v>0</v>
      </c>
      <c r="O63" s="17">
        <f t="shared" si="18"/>
        <v>0</v>
      </c>
      <c r="P63" s="1"/>
      <c r="Q63" s="1">
        <v>0</v>
      </c>
      <c r="R63" s="1">
        <v>0</v>
      </c>
      <c r="S63" s="5">
        <v>0</v>
      </c>
      <c r="T63" s="1"/>
      <c r="U63" s="1">
        <v>0.33</v>
      </c>
      <c r="V63" s="1">
        <v>0.57999999999999996</v>
      </c>
      <c r="W63" s="17">
        <f t="shared" si="16"/>
        <v>0</v>
      </c>
      <c r="X63" s="1">
        <v>0</v>
      </c>
      <c r="Y63" s="20">
        <v>118.28</v>
      </c>
      <c r="Z63" s="2">
        <v>206.99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4</v>
      </c>
      <c r="BF63" s="1">
        <v>0</v>
      </c>
      <c r="BG63" s="1">
        <v>0</v>
      </c>
      <c r="BH63" s="1">
        <v>0</v>
      </c>
      <c r="BI63" s="1">
        <v>7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</row>
    <row r="64" spans="1:66" ht="12.75" hidden="1" x14ac:dyDescent="0.2">
      <c r="A64" s="1">
        <v>48083</v>
      </c>
      <c r="B64" s="1" t="s">
        <v>142</v>
      </c>
      <c r="C64" s="1"/>
      <c r="D64" s="1">
        <v>12</v>
      </c>
      <c r="E64" s="1">
        <v>677</v>
      </c>
      <c r="F64" s="1" t="s">
        <v>64</v>
      </c>
      <c r="G64" s="1">
        <v>690</v>
      </c>
      <c r="H64" s="1" t="s">
        <v>101</v>
      </c>
      <c r="I64" s="2">
        <v>29.570699999999999</v>
      </c>
      <c r="J64" s="2">
        <v>354.84840000000003</v>
      </c>
      <c r="K64" s="14">
        <f t="shared" si="3"/>
        <v>0</v>
      </c>
      <c r="L64" s="15">
        <f t="shared" si="17"/>
        <v>0</v>
      </c>
      <c r="M64" s="1">
        <v>0</v>
      </c>
      <c r="N64" s="1">
        <v>0</v>
      </c>
      <c r="O64" s="17">
        <f t="shared" si="18"/>
        <v>0</v>
      </c>
      <c r="P64" s="1"/>
      <c r="Q64" s="1">
        <v>0</v>
      </c>
      <c r="R64" s="1">
        <v>0</v>
      </c>
      <c r="S64" s="5">
        <v>0</v>
      </c>
      <c r="T64" s="1"/>
      <c r="U64" s="1">
        <v>0.28999999999999998</v>
      </c>
      <c r="V64" s="1">
        <v>0.08</v>
      </c>
      <c r="W64" s="17">
        <f t="shared" si="16"/>
        <v>0</v>
      </c>
      <c r="X64" s="1">
        <v>0</v>
      </c>
      <c r="Y64" s="20">
        <v>103.5</v>
      </c>
      <c r="Z64" s="2">
        <v>29.57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3</v>
      </c>
      <c r="BF64" s="1">
        <v>0</v>
      </c>
      <c r="BG64" s="1">
        <v>0</v>
      </c>
      <c r="BH64" s="1">
        <v>1</v>
      </c>
      <c r="BI64" s="1">
        <v>1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</row>
    <row r="65" spans="1:66" ht="12.75" hidden="1" x14ac:dyDescent="0.2">
      <c r="A65" s="1">
        <v>504</v>
      </c>
      <c r="B65" s="1" t="s">
        <v>138</v>
      </c>
      <c r="C65" s="1"/>
      <c r="D65" s="1">
        <v>96</v>
      </c>
      <c r="E65" s="1">
        <v>677</v>
      </c>
      <c r="F65" s="1" t="s">
        <v>64</v>
      </c>
      <c r="G65" s="1">
        <v>690</v>
      </c>
      <c r="H65" s="1" t="s">
        <v>101</v>
      </c>
      <c r="I65" s="2">
        <v>3.6968999999999999</v>
      </c>
      <c r="J65" s="2">
        <v>354.9024</v>
      </c>
      <c r="K65" s="14">
        <f t="shared" si="3"/>
        <v>0</v>
      </c>
      <c r="L65" s="15">
        <f t="shared" si="17"/>
        <v>0</v>
      </c>
      <c r="M65" s="1">
        <v>0.22</v>
      </c>
      <c r="N65" s="1">
        <v>-0.08</v>
      </c>
      <c r="O65" s="17">
        <f t="shared" si="18"/>
        <v>0</v>
      </c>
      <c r="P65" s="1"/>
      <c r="Q65" s="1">
        <v>0</v>
      </c>
      <c r="R65" s="1">
        <v>0</v>
      </c>
      <c r="S65" s="5">
        <v>0</v>
      </c>
      <c r="T65" s="1"/>
      <c r="U65" s="1">
        <v>0</v>
      </c>
      <c r="V65" s="1">
        <v>0</v>
      </c>
      <c r="W65" s="17">
        <f t="shared" si="16"/>
        <v>0</v>
      </c>
      <c r="X65" s="1">
        <v>0</v>
      </c>
      <c r="Y65" s="20">
        <v>79.48</v>
      </c>
      <c r="Z65" s="2">
        <v>-29.58</v>
      </c>
      <c r="AA65" s="1">
        <v>6</v>
      </c>
      <c r="AB65" s="1">
        <v>4</v>
      </c>
      <c r="AC65" s="1">
        <v>5</v>
      </c>
      <c r="AD65" s="1">
        <v>17</v>
      </c>
      <c r="AE65" s="1">
        <v>-8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</row>
    <row r="66" spans="1:66" ht="12.75" hidden="1" x14ac:dyDescent="0.2">
      <c r="A66" s="1">
        <v>501</v>
      </c>
      <c r="B66" s="1" t="s">
        <v>145</v>
      </c>
      <c r="C66" s="1"/>
      <c r="D66" s="1">
        <v>96</v>
      </c>
      <c r="E66" s="1">
        <v>677</v>
      </c>
      <c r="F66" s="1" t="s">
        <v>64</v>
      </c>
      <c r="G66" s="1">
        <v>690</v>
      </c>
      <c r="H66" s="1" t="s">
        <v>101</v>
      </c>
      <c r="I66" s="2">
        <v>3.6968999999999999</v>
      </c>
      <c r="J66" s="2">
        <v>354.9024</v>
      </c>
      <c r="K66" s="14">
        <f t="shared" si="3"/>
        <v>0</v>
      </c>
      <c r="L66" s="15">
        <f t="shared" si="17"/>
        <v>0</v>
      </c>
      <c r="M66" s="1">
        <v>0.19</v>
      </c>
      <c r="N66" s="1">
        <v>-0.1</v>
      </c>
      <c r="O66" s="17">
        <f t="shared" si="18"/>
        <v>0</v>
      </c>
      <c r="P66" s="1"/>
      <c r="Q66" s="1">
        <v>0</v>
      </c>
      <c r="R66" s="1">
        <v>0</v>
      </c>
      <c r="S66" s="5">
        <v>0</v>
      </c>
      <c r="T66" s="1"/>
      <c r="U66" s="1">
        <v>0</v>
      </c>
      <c r="V66" s="1">
        <v>0</v>
      </c>
      <c r="W66" s="17">
        <f t="shared" si="16"/>
        <v>0</v>
      </c>
      <c r="X66" s="1">
        <v>0</v>
      </c>
      <c r="Y66" s="20">
        <v>68.39</v>
      </c>
      <c r="Z66" s="2">
        <v>-36.97</v>
      </c>
      <c r="AA66" s="1">
        <v>3</v>
      </c>
      <c r="AB66" s="1">
        <v>10</v>
      </c>
      <c r="AC66" s="1">
        <v>8</v>
      </c>
      <c r="AD66" s="1">
        <v>5</v>
      </c>
      <c r="AE66" s="1">
        <v>-10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</row>
    <row r="67" spans="1:66" ht="12.75" hidden="1" x14ac:dyDescent="0.2">
      <c r="A67" s="1">
        <v>566</v>
      </c>
      <c r="B67" s="1" t="s">
        <v>140</v>
      </c>
      <c r="C67" s="1"/>
      <c r="D67" s="1">
        <v>96</v>
      </c>
      <c r="E67" s="1">
        <v>677</v>
      </c>
      <c r="F67" s="1" t="s">
        <v>64</v>
      </c>
      <c r="G67" s="1">
        <v>690</v>
      </c>
      <c r="H67" s="1" t="s">
        <v>101</v>
      </c>
      <c r="I67" s="2">
        <v>3.6968999999999999</v>
      </c>
      <c r="J67" s="2">
        <v>354.9024</v>
      </c>
      <c r="K67" s="14">
        <f t="shared" si="3"/>
        <v>0</v>
      </c>
      <c r="L67" s="15">
        <f t="shared" si="17"/>
        <v>0</v>
      </c>
      <c r="M67" s="1">
        <v>0.15</v>
      </c>
      <c r="N67" s="1">
        <v>-0.08</v>
      </c>
      <c r="O67" s="17">
        <f t="shared" si="18"/>
        <v>0</v>
      </c>
      <c r="P67" s="1"/>
      <c r="Q67" s="1">
        <v>0</v>
      </c>
      <c r="R67" s="1">
        <v>0</v>
      </c>
      <c r="S67" s="5">
        <v>0</v>
      </c>
      <c r="T67" s="1"/>
      <c r="U67" s="1">
        <v>0</v>
      </c>
      <c r="V67" s="1">
        <v>0</v>
      </c>
      <c r="W67" s="17">
        <f t="shared" si="16"/>
        <v>0</v>
      </c>
      <c r="X67" s="1">
        <v>0</v>
      </c>
      <c r="Y67" s="20">
        <v>51.76</v>
      </c>
      <c r="Z67" s="2">
        <v>-29.58</v>
      </c>
      <c r="AA67" s="1">
        <v>4</v>
      </c>
      <c r="AB67" s="1">
        <v>7</v>
      </c>
      <c r="AC67" s="1">
        <v>3</v>
      </c>
      <c r="AD67" s="1">
        <v>7</v>
      </c>
      <c r="AE67" s="1">
        <v>-8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</row>
    <row r="68" spans="1:66" ht="12.75" hidden="1" x14ac:dyDescent="0.2">
      <c r="A68" s="1">
        <v>506</v>
      </c>
      <c r="B68" s="1" t="s">
        <v>139</v>
      </c>
      <c r="C68" s="1"/>
      <c r="D68" s="1">
        <v>96</v>
      </c>
      <c r="E68" s="1">
        <v>677</v>
      </c>
      <c r="F68" s="1" t="s">
        <v>64</v>
      </c>
      <c r="G68" s="1">
        <v>690</v>
      </c>
      <c r="H68" s="1" t="s">
        <v>101</v>
      </c>
      <c r="I68" s="2">
        <v>3.6968999999999999</v>
      </c>
      <c r="J68" s="2">
        <v>354.9024</v>
      </c>
      <c r="K68" s="14">
        <f t="shared" si="3"/>
        <v>0</v>
      </c>
      <c r="L68" s="15">
        <f t="shared" si="17"/>
        <v>0</v>
      </c>
      <c r="M68" s="1">
        <v>0.12</v>
      </c>
      <c r="N68" s="1">
        <v>-0.06</v>
      </c>
      <c r="O68" s="17">
        <f t="shared" si="18"/>
        <v>0</v>
      </c>
      <c r="P68" s="1"/>
      <c r="Q68" s="1">
        <v>0</v>
      </c>
      <c r="R68" s="1">
        <v>0</v>
      </c>
      <c r="S68" s="5">
        <v>0</v>
      </c>
      <c r="T68" s="1"/>
      <c r="U68" s="1">
        <v>0</v>
      </c>
      <c r="V68" s="1">
        <v>0</v>
      </c>
      <c r="W68" s="17">
        <f t="shared" si="16"/>
        <v>0</v>
      </c>
      <c r="X68" s="1">
        <v>0</v>
      </c>
      <c r="Y68" s="20">
        <v>42.51</v>
      </c>
      <c r="Z68" s="2">
        <v>-22.18</v>
      </c>
      <c r="AA68" s="1">
        <v>1</v>
      </c>
      <c r="AB68" s="1">
        <v>10</v>
      </c>
      <c r="AC68" s="1">
        <v>0</v>
      </c>
      <c r="AD68" s="1">
        <v>11</v>
      </c>
      <c r="AE68" s="1">
        <v>-6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</row>
    <row r="69" spans="1:66" ht="12.75" hidden="1" x14ac:dyDescent="0.2">
      <c r="A69" s="1">
        <v>519</v>
      </c>
      <c r="B69" s="1" t="s">
        <v>143</v>
      </c>
      <c r="C69" s="1"/>
      <c r="D69" s="1">
        <v>96</v>
      </c>
      <c r="E69" s="1">
        <v>677</v>
      </c>
      <c r="F69" s="1" t="s">
        <v>64</v>
      </c>
      <c r="G69" s="1">
        <v>690</v>
      </c>
      <c r="H69" s="1" t="s">
        <v>101</v>
      </c>
      <c r="I69" s="2">
        <v>3.6968999999999999</v>
      </c>
      <c r="J69" s="2">
        <v>354.9024</v>
      </c>
      <c r="K69" s="14">
        <f t="shared" si="3"/>
        <v>0</v>
      </c>
      <c r="L69" s="15">
        <f t="shared" si="17"/>
        <v>0</v>
      </c>
      <c r="M69" s="1">
        <v>0.09</v>
      </c>
      <c r="N69" s="1">
        <v>-0.14000000000000001</v>
      </c>
      <c r="O69" s="17">
        <f t="shared" si="18"/>
        <v>0</v>
      </c>
      <c r="P69" s="1"/>
      <c r="Q69" s="1">
        <v>0</v>
      </c>
      <c r="R69" s="1">
        <v>0</v>
      </c>
      <c r="S69" s="5">
        <v>0</v>
      </c>
      <c r="T69" s="1"/>
      <c r="U69" s="1">
        <v>0</v>
      </c>
      <c r="V69" s="1">
        <v>0</v>
      </c>
      <c r="W69" s="17">
        <f t="shared" si="16"/>
        <v>0</v>
      </c>
      <c r="X69" s="1">
        <v>0</v>
      </c>
      <c r="Y69" s="20">
        <v>33.270000000000003</v>
      </c>
      <c r="Z69" s="2">
        <v>-48.06</v>
      </c>
      <c r="AA69" s="1">
        <v>6</v>
      </c>
      <c r="AB69" s="1">
        <v>6</v>
      </c>
      <c r="AC69" s="1">
        <v>0</v>
      </c>
      <c r="AD69" s="1">
        <v>0</v>
      </c>
      <c r="AE69" s="1">
        <v>-13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</row>
    <row r="70" spans="1:66" ht="12.75" hidden="1" x14ac:dyDescent="0.2">
      <c r="A70" s="1">
        <v>526</v>
      </c>
      <c r="B70" s="1" t="s">
        <v>144</v>
      </c>
      <c r="C70" s="1"/>
      <c r="D70" s="1">
        <v>96</v>
      </c>
      <c r="E70" s="1">
        <v>677</v>
      </c>
      <c r="F70" s="1" t="s">
        <v>64</v>
      </c>
      <c r="G70" s="1">
        <v>690</v>
      </c>
      <c r="H70" s="1" t="s">
        <v>101</v>
      </c>
      <c r="I70" s="2">
        <v>3.6968999999999999</v>
      </c>
      <c r="J70" s="2">
        <v>354.9024</v>
      </c>
      <c r="K70" s="14">
        <f t="shared" si="3"/>
        <v>0</v>
      </c>
      <c r="L70" s="15">
        <f t="shared" si="17"/>
        <v>0</v>
      </c>
      <c r="M70" s="1">
        <v>0.05</v>
      </c>
      <c r="N70" s="1">
        <v>-0.02</v>
      </c>
      <c r="O70" s="17">
        <f t="shared" si="18"/>
        <v>0</v>
      </c>
      <c r="P70" s="1"/>
      <c r="Q70" s="1">
        <v>0</v>
      </c>
      <c r="R70" s="1">
        <v>0</v>
      </c>
      <c r="S70" s="5">
        <v>0</v>
      </c>
      <c r="T70" s="1"/>
      <c r="U70" s="1">
        <v>0</v>
      </c>
      <c r="V70" s="1">
        <v>0</v>
      </c>
      <c r="W70" s="17">
        <f t="shared" si="16"/>
        <v>0</v>
      </c>
      <c r="X70" s="1">
        <v>0</v>
      </c>
      <c r="Y70" s="20">
        <v>18.48</v>
      </c>
      <c r="Z70" s="2">
        <v>-7.39</v>
      </c>
      <c r="AA70" s="1">
        <v>1</v>
      </c>
      <c r="AB70" s="1">
        <v>4</v>
      </c>
      <c r="AC70" s="1">
        <v>0</v>
      </c>
      <c r="AD70" s="1">
        <v>4</v>
      </c>
      <c r="AE70" s="1">
        <v>-2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</row>
    <row r="71" spans="1:66" ht="12.75" hidden="1" x14ac:dyDescent="0.2">
      <c r="A71" s="1">
        <v>509</v>
      </c>
      <c r="B71" s="1" t="s">
        <v>141</v>
      </c>
      <c r="C71" s="1"/>
      <c r="D71" s="1">
        <v>96</v>
      </c>
      <c r="E71" s="1">
        <v>677</v>
      </c>
      <c r="F71" s="1" t="s">
        <v>64</v>
      </c>
      <c r="G71" s="1">
        <v>690</v>
      </c>
      <c r="H71" s="1" t="s">
        <v>101</v>
      </c>
      <c r="I71" s="2">
        <v>3.6968999999999999</v>
      </c>
      <c r="J71" s="2">
        <v>354.9024</v>
      </c>
      <c r="K71" s="14">
        <f t="shared" si="3"/>
        <v>0</v>
      </c>
      <c r="L71" s="15">
        <f t="shared" si="17"/>
        <v>0</v>
      </c>
      <c r="M71" s="1">
        <v>0.04</v>
      </c>
      <c r="N71" s="1">
        <v>-0.03</v>
      </c>
      <c r="O71" s="17">
        <f t="shared" si="18"/>
        <v>0</v>
      </c>
      <c r="P71" s="1"/>
      <c r="Q71" s="1">
        <v>0</v>
      </c>
      <c r="R71" s="1">
        <v>0</v>
      </c>
      <c r="S71" s="5">
        <v>0</v>
      </c>
      <c r="T71" s="1"/>
      <c r="U71" s="1">
        <v>0</v>
      </c>
      <c r="V71" s="1">
        <v>0</v>
      </c>
      <c r="W71" s="17">
        <f t="shared" si="16"/>
        <v>0</v>
      </c>
      <c r="X71" s="1">
        <v>0</v>
      </c>
      <c r="Y71" s="20">
        <v>14.79</v>
      </c>
      <c r="Z71" s="2">
        <v>-11.09</v>
      </c>
      <c r="AA71" s="1">
        <v>3</v>
      </c>
      <c r="AB71" s="1">
        <v>2</v>
      </c>
      <c r="AC71" s="1">
        <v>0</v>
      </c>
      <c r="AD71" s="1">
        <v>0</v>
      </c>
      <c r="AE71" s="1">
        <v>-3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</row>
    <row r="72" spans="1:66" ht="12.75" hidden="1" x14ac:dyDescent="0.2">
      <c r="A72" s="1">
        <v>514</v>
      </c>
      <c r="B72" s="1" t="s">
        <v>147</v>
      </c>
      <c r="C72" s="1"/>
      <c r="D72" s="1">
        <v>96</v>
      </c>
      <c r="E72" s="1">
        <v>677</v>
      </c>
      <c r="F72" s="1" t="s">
        <v>64</v>
      </c>
      <c r="G72" s="1">
        <v>690</v>
      </c>
      <c r="H72" s="1" t="s">
        <v>101</v>
      </c>
      <c r="I72" s="2">
        <v>3.6968999999999999</v>
      </c>
      <c r="J72" s="2">
        <v>354.9024</v>
      </c>
      <c r="K72" s="14">
        <f t="shared" si="3"/>
        <v>0</v>
      </c>
      <c r="L72" s="15">
        <f t="shared" si="17"/>
        <v>0</v>
      </c>
      <c r="M72" s="1">
        <v>0.01</v>
      </c>
      <c r="N72" s="1">
        <v>0.01</v>
      </c>
      <c r="O72" s="17">
        <f t="shared" si="18"/>
        <v>0</v>
      </c>
      <c r="P72" s="1"/>
      <c r="Q72" s="1">
        <v>0</v>
      </c>
      <c r="R72" s="1">
        <v>0</v>
      </c>
      <c r="S72" s="5">
        <v>0</v>
      </c>
      <c r="T72" s="1"/>
      <c r="U72" s="1">
        <v>0</v>
      </c>
      <c r="V72" s="1">
        <v>0</v>
      </c>
      <c r="W72" s="17">
        <f t="shared" si="16"/>
        <v>0</v>
      </c>
      <c r="X72" s="1">
        <v>0</v>
      </c>
      <c r="Y72" s="20">
        <v>3.7</v>
      </c>
      <c r="Z72" s="2">
        <v>3.7</v>
      </c>
      <c r="AA72" s="1">
        <v>1</v>
      </c>
      <c r="AB72" s="1">
        <v>0</v>
      </c>
      <c r="AC72" s="1">
        <v>0</v>
      </c>
      <c r="AD72" s="1">
        <v>0</v>
      </c>
      <c r="AE72" s="1">
        <v>1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</row>
    <row r="73" spans="1:66" ht="12.75" hidden="1" x14ac:dyDescent="0.2">
      <c r="A73" s="1">
        <v>515</v>
      </c>
      <c r="B73" s="1" t="s">
        <v>152</v>
      </c>
      <c r="C73" s="1"/>
      <c r="D73" s="1">
        <v>96</v>
      </c>
      <c r="E73" s="1">
        <v>677</v>
      </c>
      <c r="F73" s="1" t="s">
        <v>64</v>
      </c>
      <c r="G73" s="1">
        <v>690</v>
      </c>
      <c r="H73" s="1" t="s">
        <v>101</v>
      </c>
      <c r="I73" s="2">
        <v>3.6968999999999999</v>
      </c>
      <c r="J73" s="2">
        <v>354.9024</v>
      </c>
      <c r="K73" s="14">
        <f t="shared" si="3"/>
        <v>0</v>
      </c>
      <c r="L73" s="15">
        <f t="shared" si="17"/>
        <v>0</v>
      </c>
      <c r="M73" s="1">
        <v>0</v>
      </c>
      <c r="N73" s="1">
        <v>0</v>
      </c>
      <c r="O73" s="17">
        <f t="shared" si="18"/>
        <v>0</v>
      </c>
      <c r="P73" s="1"/>
      <c r="Q73" s="1">
        <v>0</v>
      </c>
      <c r="R73" s="1">
        <v>0</v>
      </c>
      <c r="S73" s="5">
        <v>0</v>
      </c>
      <c r="T73" s="1"/>
      <c r="U73" s="1">
        <v>0.01</v>
      </c>
      <c r="V73" s="1">
        <v>0</v>
      </c>
      <c r="W73" s="17">
        <f t="shared" si="16"/>
        <v>0</v>
      </c>
      <c r="X73" s="1">
        <v>0</v>
      </c>
      <c r="Y73" s="20">
        <v>3.7</v>
      </c>
      <c r="Z73" s="2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1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</row>
    <row r="74" spans="1:66" ht="12.75" hidden="1" x14ac:dyDescent="0.2">
      <c r="A74" s="1">
        <v>47048</v>
      </c>
      <c r="B74" s="1" t="s">
        <v>166</v>
      </c>
      <c r="C74" s="1"/>
      <c r="D74" s="1">
        <v>4</v>
      </c>
      <c r="E74" s="1">
        <v>677</v>
      </c>
      <c r="F74" s="1" t="s">
        <v>64</v>
      </c>
      <c r="G74" s="1">
        <v>677</v>
      </c>
      <c r="H74" s="1" t="s">
        <v>84</v>
      </c>
      <c r="I74" s="2">
        <v>119.16</v>
      </c>
      <c r="J74" s="2">
        <v>476.64</v>
      </c>
      <c r="K74" s="14">
        <f t="shared" si="3"/>
        <v>0</v>
      </c>
      <c r="L74" s="15">
        <f t="shared" si="17"/>
        <v>0</v>
      </c>
      <c r="M74" s="1">
        <v>0</v>
      </c>
      <c r="N74" s="1">
        <v>0</v>
      </c>
      <c r="O74" s="17">
        <f t="shared" si="18"/>
        <v>0</v>
      </c>
      <c r="P74" s="1"/>
      <c r="Q74" s="1">
        <v>0</v>
      </c>
      <c r="R74" s="1">
        <v>0</v>
      </c>
      <c r="S74" s="5">
        <v>0</v>
      </c>
      <c r="T74" s="1"/>
      <c r="U74" s="1">
        <v>0</v>
      </c>
      <c r="V74" s="1">
        <v>0</v>
      </c>
      <c r="W74" s="17">
        <f t="shared" si="16"/>
        <v>0</v>
      </c>
      <c r="X74" s="1">
        <v>0</v>
      </c>
      <c r="Y74" s="20">
        <v>0</v>
      </c>
      <c r="Z74" s="2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</row>
    <row r="75" spans="1:66" ht="12.75" hidden="1" x14ac:dyDescent="0.2">
      <c r="A75" s="1">
        <v>47011</v>
      </c>
      <c r="B75" s="1" t="s">
        <v>158</v>
      </c>
      <c r="C75" s="1"/>
      <c r="D75" s="1">
        <v>24</v>
      </c>
      <c r="E75" s="1">
        <v>677</v>
      </c>
      <c r="F75" s="1" t="s">
        <v>64</v>
      </c>
      <c r="G75" s="1">
        <v>677</v>
      </c>
      <c r="H75" s="1" t="s">
        <v>84</v>
      </c>
      <c r="I75" s="2">
        <v>21.65</v>
      </c>
      <c r="J75" s="2">
        <v>519.6</v>
      </c>
      <c r="K75" s="14">
        <f t="shared" si="3"/>
        <v>0</v>
      </c>
      <c r="L75" s="15">
        <f t="shared" si="17"/>
        <v>0</v>
      </c>
      <c r="M75" s="1">
        <v>0</v>
      </c>
      <c r="N75" s="1">
        <v>0</v>
      </c>
      <c r="O75" s="17">
        <f t="shared" si="18"/>
        <v>0</v>
      </c>
      <c r="P75" s="1"/>
      <c r="Q75" s="1">
        <v>0</v>
      </c>
      <c r="R75" s="1">
        <v>0</v>
      </c>
      <c r="S75" s="5">
        <v>0</v>
      </c>
      <c r="T75" s="1"/>
      <c r="U75" s="1">
        <v>0</v>
      </c>
      <c r="V75" s="1">
        <v>0</v>
      </c>
      <c r="W75" s="17">
        <f t="shared" si="16"/>
        <v>0</v>
      </c>
      <c r="X75" s="1">
        <v>0</v>
      </c>
      <c r="Y75" s="20">
        <v>0</v>
      </c>
      <c r="Z75" s="2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</row>
    <row r="76" spans="1:66" ht="12.75" hidden="1" x14ac:dyDescent="0.2">
      <c r="A76" s="1">
        <v>47025</v>
      </c>
      <c r="B76" s="1" t="s">
        <v>162</v>
      </c>
      <c r="C76" s="1"/>
      <c r="D76" s="1">
        <v>24</v>
      </c>
      <c r="E76" s="1">
        <v>677</v>
      </c>
      <c r="F76" s="1" t="s">
        <v>64</v>
      </c>
      <c r="G76" s="1">
        <v>677</v>
      </c>
      <c r="H76" s="1" t="s">
        <v>84</v>
      </c>
      <c r="I76" s="2">
        <v>48.56</v>
      </c>
      <c r="J76" s="2">
        <v>1165.44</v>
      </c>
      <c r="K76" s="14">
        <f t="shared" si="3"/>
        <v>0</v>
      </c>
      <c r="L76" s="15">
        <f t="shared" si="17"/>
        <v>0</v>
      </c>
      <c r="M76" s="1">
        <v>0</v>
      </c>
      <c r="N76" s="1">
        <v>0</v>
      </c>
      <c r="O76" s="17">
        <f t="shared" si="18"/>
        <v>0</v>
      </c>
      <c r="P76" s="1"/>
      <c r="Q76" s="1">
        <v>0</v>
      </c>
      <c r="R76" s="1">
        <v>0</v>
      </c>
      <c r="S76" s="5">
        <v>0</v>
      </c>
      <c r="T76" s="1"/>
      <c r="U76" s="1">
        <v>0</v>
      </c>
      <c r="V76" s="1">
        <v>0</v>
      </c>
      <c r="W76" s="17">
        <f t="shared" si="16"/>
        <v>0</v>
      </c>
      <c r="X76" s="1">
        <v>0</v>
      </c>
      <c r="Y76" s="20">
        <v>0</v>
      </c>
      <c r="Z76" s="2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</row>
    <row r="77" spans="1:66" ht="12.75" hidden="1" x14ac:dyDescent="0.2">
      <c r="A77" s="1">
        <v>47013</v>
      </c>
      <c r="B77" s="1" t="s">
        <v>159</v>
      </c>
      <c r="C77" s="1"/>
      <c r="D77" s="1">
        <v>4</v>
      </c>
      <c r="E77" s="1">
        <v>677</v>
      </c>
      <c r="F77" s="1" t="s">
        <v>64</v>
      </c>
      <c r="G77" s="1">
        <v>61</v>
      </c>
      <c r="H77" s="1" t="s">
        <v>66</v>
      </c>
      <c r="I77" s="2">
        <v>92.19</v>
      </c>
      <c r="J77" s="2">
        <v>368.76</v>
      </c>
      <c r="K77" s="14">
        <f t="shared" si="3"/>
        <v>0</v>
      </c>
      <c r="L77" s="15">
        <f t="shared" si="17"/>
        <v>0</v>
      </c>
      <c r="M77" s="1">
        <v>0</v>
      </c>
      <c r="N77" s="1">
        <v>0</v>
      </c>
      <c r="O77" s="17">
        <f t="shared" si="18"/>
        <v>0</v>
      </c>
      <c r="P77" s="1"/>
      <c r="Q77" s="1">
        <v>0</v>
      </c>
      <c r="R77" s="1">
        <v>0</v>
      </c>
      <c r="S77" s="5">
        <v>0</v>
      </c>
      <c r="T77" s="1"/>
      <c r="U77" s="1">
        <v>0</v>
      </c>
      <c r="V77" s="1">
        <v>0</v>
      </c>
      <c r="W77" s="17">
        <f t="shared" si="16"/>
        <v>0</v>
      </c>
      <c r="X77" s="1">
        <v>0</v>
      </c>
      <c r="Y77" s="20">
        <v>0</v>
      </c>
      <c r="Z77" s="2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</row>
    <row r="78" spans="1:66" ht="12.75" hidden="1" x14ac:dyDescent="0.2">
      <c r="A78" s="1">
        <v>47031</v>
      </c>
      <c r="B78" s="1" t="s">
        <v>164</v>
      </c>
      <c r="C78" s="1"/>
      <c r="D78" s="1">
        <v>4</v>
      </c>
      <c r="E78" s="1">
        <v>677</v>
      </c>
      <c r="F78" s="1" t="s">
        <v>64</v>
      </c>
      <c r="G78" s="1">
        <v>61</v>
      </c>
      <c r="H78" s="1" t="s">
        <v>66</v>
      </c>
      <c r="I78" s="2">
        <v>92.19</v>
      </c>
      <c r="J78" s="2">
        <v>368.76</v>
      </c>
      <c r="K78" s="14">
        <f t="shared" si="3"/>
        <v>0</v>
      </c>
      <c r="L78" s="15">
        <f t="shared" si="17"/>
        <v>0</v>
      </c>
      <c r="M78" s="1">
        <v>0</v>
      </c>
      <c r="N78" s="1">
        <v>0</v>
      </c>
      <c r="O78" s="17">
        <f t="shared" si="18"/>
        <v>0</v>
      </c>
      <c r="P78" s="1"/>
      <c r="Q78" s="1">
        <v>0</v>
      </c>
      <c r="R78" s="1">
        <v>0</v>
      </c>
      <c r="S78" s="5">
        <v>0</v>
      </c>
      <c r="T78" s="1"/>
      <c r="U78" s="1">
        <v>0</v>
      </c>
      <c r="V78" s="1">
        <v>0</v>
      </c>
      <c r="W78" s="17">
        <f t="shared" si="16"/>
        <v>0</v>
      </c>
      <c r="X78" s="1">
        <v>0</v>
      </c>
      <c r="Y78" s="20">
        <v>0</v>
      </c>
      <c r="Z78" s="2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</row>
    <row r="79" spans="1:66" ht="12.75" hidden="1" x14ac:dyDescent="0.2">
      <c r="A79" s="1">
        <v>47049</v>
      </c>
      <c r="B79" s="1" t="s">
        <v>165</v>
      </c>
      <c r="C79" s="1"/>
      <c r="D79" s="1">
        <v>12</v>
      </c>
      <c r="E79" s="1">
        <v>677</v>
      </c>
      <c r="F79" s="1" t="s">
        <v>64</v>
      </c>
      <c r="G79" s="1">
        <v>999</v>
      </c>
      <c r="H79" s="1" t="s">
        <v>67</v>
      </c>
      <c r="I79" s="2">
        <v>34.17</v>
      </c>
      <c r="J79" s="2">
        <v>410.04</v>
      </c>
      <c r="K79" s="14">
        <f t="shared" si="3"/>
        <v>0</v>
      </c>
      <c r="L79" s="15">
        <f t="shared" si="17"/>
        <v>0</v>
      </c>
      <c r="M79" s="1">
        <v>0</v>
      </c>
      <c r="N79" s="1">
        <v>0</v>
      </c>
      <c r="O79" s="17">
        <f t="shared" si="18"/>
        <v>0</v>
      </c>
      <c r="P79" s="1"/>
      <c r="Q79" s="1">
        <v>0</v>
      </c>
      <c r="R79" s="1">
        <v>0</v>
      </c>
      <c r="S79" s="5">
        <v>0</v>
      </c>
      <c r="T79" s="1"/>
      <c r="U79" s="1">
        <v>0</v>
      </c>
      <c r="V79" s="1">
        <v>0</v>
      </c>
      <c r="W79" s="17">
        <f t="shared" si="16"/>
        <v>0</v>
      </c>
      <c r="X79" s="1">
        <v>0</v>
      </c>
      <c r="Y79" s="20">
        <v>0</v>
      </c>
      <c r="Z79" s="2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</row>
    <row r="80" spans="1:66" ht="12.75" hidden="1" x14ac:dyDescent="0.2">
      <c r="A80" s="1">
        <v>47018</v>
      </c>
      <c r="B80" s="1" t="s">
        <v>161</v>
      </c>
      <c r="C80" s="1"/>
      <c r="D80" s="1">
        <v>6</v>
      </c>
      <c r="E80" s="1">
        <v>677</v>
      </c>
      <c r="F80" s="1" t="s">
        <v>64</v>
      </c>
      <c r="G80" s="1">
        <v>61</v>
      </c>
      <c r="H80" s="1" t="s">
        <v>66</v>
      </c>
      <c r="I80" s="2">
        <v>77.28</v>
      </c>
      <c r="J80" s="2">
        <v>463.68</v>
      </c>
      <c r="K80" s="14">
        <f t="shared" si="3"/>
        <v>0</v>
      </c>
      <c r="L80" s="15">
        <f t="shared" si="17"/>
        <v>0</v>
      </c>
      <c r="M80" s="1">
        <v>0</v>
      </c>
      <c r="N80" s="1">
        <v>0</v>
      </c>
      <c r="O80" s="17">
        <f t="shared" si="18"/>
        <v>0</v>
      </c>
      <c r="P80" s="1"/>
      <c r="Q80" s="1">
        <v>0</v>
      </c>
      <c r="R80" s="1">
        <v>0</v>
      </c>
      <c r="S80" s="5">
        <v>0</v>
      </c>
      <c r="T80" s="1"/>
      <c r="U80" s="1">
        <v>0</v>
      </c>
      <c r="V80" s="1">
        <v>0</v>
      </c>
      <c r="W80" s="17">
        <f t="shared" si="16"/>
        <v>0</v>
      </c>
      <c r="X80" s="1">
        <v>0</v>
      </c>
      <c r="Y80" s="20">
        <v>0</v>
      </c>
      <c r="Z80" s="2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</row>
    <row r="81" spans="1:66" ht="12.75" hidden="1" x14ac:dyDescent="0.2">
      <c r="A81" s="1">
        <v>47007</v>
      </c>
      <c r="B81" s="1" t="s">
        <v>157</v>
      </c>
      <c r="C81" s="1"/>
      <c r="D81" s="1">
        <v>12</v>
      </c>
      <c r="E81" s="1">
        <v>677</v>
      </c>
      <c r="F81" s="1" t="s">
        <v>64</v>
      </c>
      <c r="G81" s="1">
        <v>1</v>
      </c>
      <c r="H81" s="1" t="s">
        <v>149</v>
      </c>
      <c r="I81" s="2">
        <v>7.68</v>
      </c>
      <c r="J81" s="2">
        <v>92.16</v>
      </c>
      <c r="K81" s="14">
        <f t="shared" si="3"/>
        <v>0</v>
      </c>
      <c r="L81" s="15">
        <f t="shared" si="17"/>
        <v>0</v>
      </c>
      <c r="M81" s="1">
        <v>0</v>
      </c>
      <c r="N81" s="1">
        <v>0</v>
      </c>
      <c r="O81" s="17">
        <f t="shared" si="18"/>
        <v>0</v>
      </c>
      <c r="P81" s="1"/>
      <c r="Q81" s="1">
        <v>0</v>
      </c>
      <c r="R81" s="1">
        <v>0</v>
      </c>
      <c r="S81" s="5">
        <v>0</v>
      </c>
      <c r="T81" s="1"/>
      <c r="U81" s="1">
        <v>0</v>
      </c>
      <c r="V81" s="1">
        <v>0</v>
      </c>
      <c r="W81" s="17">
        <f t="shared" si="16"/>
        <v>0</v>
      </c>
      <c r="X81" s="1">
        <v>0</v>
      </c>
      <c r="Y81" s="20">
        <v>0</v>
      </c>
      <c r="Z81" s="2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</row>
    <row r="82" spans="1:66" ht="12.75" hidden="1" x14ac:dyDescent="0.2">
      <c r="A82" s="1">
        <v>47016</v>
      </c>
      <c r="B82" s="1" t="s">
        <v>160</v>
      </c>
      <c r="C82" s="1"/>
      <c r="D82" s="1">
        <v>12</v>
      </c>
      <c r="E82" s="1">
        <v>677</v>
      </c>
      <c r="F82" s="1" t="s">
        <v>64</v>
      </c>
      <c r="G82" s="1">
        <v>1</v>
      </c>
      <c r="H82" s="1" t="s">
        <v>149</v>
      </c>
      <c r="I82" s="2">
        <v>7.68</v>
      </c>
      <c r="J82" s="2">
        <v>92.16</v>
      </c>
      <c r="K82" s="14">
        <f t="shared" si="3"/>
        <v>0</v>
      </c>
      <c r="L82" s="15">
        <f t="shared" si="17"/>
        <v>0</v>
      </c>
      <c r="M82" s="1">
        <v>0</v>
      </c>
      <c r="N82" s="1">
        <v>0</v>
      </c>
      <c r="O82" s="17">
        <f t="shared" si="18"/>
        <v>0</v>
      </c>
      <c r="P82" s="1"/>
      <c r="Q82" s="1">
        <v>0</v>
      </c>
      <c r="R82" s="1">
        <v>0</v>
      </c>
      <c r="S82" s="5">
        <v>0</v>
      </c>
      <c r="T82" s="1"/>
      <c r="U82" s="1">
        <v>0</v>
      </c>
      <c r="V82" s="1">
        <v>0</v>
      </c>
      <c r="W82" s="17">
        <f t="shared" si="16"/>
        <v>0</v>
      </c>
      <c r="X82" s="1">
        <v>0</v>
      </c>
      <c r="Y82" s="20">
        <v>0</v>
      </c>
      <c r="Z82" s="2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</row>
    <row r="83" spans="1:66" ht="12.75" hidden="1" x14ac:dyDescent="0.2">
      <c r="A83" s="1">
        <v>85</v>
      </c>
      <c r="B83" s="1" t="s">
        <v>148</v>
      </c>
      <c r="C83" s="1"/>
      <c r="D83" s="1">
        <v>192</v>
      </c>
      <c r="E83" s="1">
        <v>677</v>
      </c>
      <c r="F83" s="1" t="s">
        <v>64</v>
      </c>
      <c r="G83" s="1">
        <v>1</v>
      </c>
      <c r="H83" s="1" t="s">
        <v>149</v>
      </c>
      <c r="I83" s="2">
        <v>6</v>
      </c>
      <c r="J83" s="2">
        <v>1152</v>
      </c>
      <c r="K83" s="14">
        <f t="shared" si="3"/>
        <v>0</v>
      </c>
      <c r="L83" s="15">
        <f t="shared" si="17"/>
        <v>0</v>
      </c>
      <c r="M83" s="1">
        <v>0</v>
      </c>
      <c r="N83" s="1">
        <v>0</v>
      </c>
      <c r="O83" s="17">
        <f t="shared" si="18"/>
        <v>0</v>
      </c>
      <c r="P83" s="1"/>
      <c r="Q83" s="1">
        <v>0</v>
      </c>
      <c r="R83" s="1">
        <v>0</v>
      </c>
      <c r="S83" s="5">
        <v>0</v>
      </c>
      <c r="T83" s="1"/>
      <c r="U83" s="1">
        <v>0</v>
      </c>
      <c r="V83" s="1">
        <v>0</v>
      </c>
      <c r="W83" s="17">
        <f t="shared" si="16"/>
        <v>0</v>
      </c>
      <c r="X83" s="1">
        <v>0</v>
      </c>
      <c r="Y83" s="20">
        <v>0</v>
      </c>
      <c r="Z83" s="2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</row>
    <row r="84" spans="1:66" ht="12.75" hidden="1" x14ac:dyDescent="0.2">
      <c r="A84" s="1">
        <v>510</v>
      </c>
      <c r="B84" s="1" t="s">
        <v>146</v>
      </c>
      <c r="C84" s="1"/>
      <c r="D84" s="1">
        <v>96</v>
      </c>
      <c r="E84" s="1">
        <v>677</v>
      </c>
      <c r="F84" s="1" t="s">
        <v>64</v>
      </c>
      <c r="G84" s="1">
        <v>690</v>
      </c>
      <c r="H84" s="1" t="s">
        <v>101</v>
      </c>
      <c r="I84" s="2">
        <v>3.6968999999999999</v>
      </c>
      <c r="J84" s="2">
        <v>354.9024</v>
      </c>
      <c r="K84" s="14">
        <f t="shared" si="3"/>
        <v>0</v>
      </c>
      <c r="L84" s="15">
        <f t="shared" si="17"/>
        <v>0</v>
      </c>
      <c r="M84" s="1">
        <v>0</v>
      </c>
      <c r="N84" s="1">
        <v>0.01</v>
      </c>
      <c r="O84" s="17">
        <f t="shared" si="18"/>
        <v>0</v>
      </c>
      <c r="P84" s="1"/>
      <c r="Q84" s="1">
        <v>0</v>
      </c>
      <c r="R84" s="1">
        <v>0</v>
      </c>
      <c r="S84" s="5">
        <v>0</v>
      </c>
      <c r="T84" s="1"/>
      <c r="U84" s="1">
        <v>0</v>
      </c>
      <c r="V84" s="1">
        <v>0</v>
      </c>
      <c r="W84" s="17">
        <f t="shared" si="16"/>
        <v>0</v>
      </c>
      <c r="X84" s="1">
        <v>0</v>
      </c>
      <c r="Y84" s="20">
        <v>0</v>
      </c>
      <c r="Z84" s="2">
        <v>3.7</v>
      </c>
      <c r="AA84" s="1">
        <v>0</v>
      </c>
      <c r="AB84" s="1">
        <v>0</v>
      </c>
      <c r="AC84" s="1">
        <v>0</v>
      </c>
      <c r="AD84" s="1">
        <v>0</v>
      </c>
      <c r="AE84" s="1">
        <v>1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</row>
    <row r="85" spans="1:66" ht="12.75" hidden="1" x14ac:dyDescent="0.2">
      <c r="A85" s="1">
        <v>511</v>
      </c>
      <c r="B85" s="1" t="s">
        <v>150</v>
      </c>
      <c r="C85" s="1"/>
      <c r="D85" s="1">
        <v>96</v>
      </c>
      <c r="E85" s="1">
        <v>677</v>
      </c>
      <c r="F85" s="1" t="s">
        <v>64</v>
      </c>
      <c r="G85" s="1">
        <v>690</v>
      </c>
      <c r="H85" s="1" t="s">
        <v>101</v>
      </c>
      <c r="I85" s="2">
        <v>3.6968999999999999</v>
      </c>
      <c r="J85" s="2">
        <v>354.9024</v>
      </c>
      <c r="K85" s="14">
        <f t="shared" si="3"/>
        <v>0</v>
      </c>
      <c r="L85" s="15">
        <f t="shared" si="17"/>
        <v>0</v>
      </c>
      <c r="M85" s="1">
        <v>0</v>
      </c>
      <c r="N85" s="1">
        <v>0</v>
      </c>
      <c r="O85" s="17">
        <f t="shared" si="18"/>
        <v>0</v>
      </c>
      <c r="P85" s="1"/>
      <c r="Q85" s="1">
        <v>0</v>
      </c>
      <c r="R85" s="1">
        <v>0</v>
      </c>
      <c r="S85" s="5">
        <v>0</v>
      </c>
      <c r="T85" s="1"/>
      <c r="U85" s="1">
        <v>0</v>
      </c>
      <c r="V85" s="1">
        <v>0</v>
      </c>
      <c r="W85" s="17">
        <f t="shared" si="16"/>
        <v>0</v>
      </c>
      <c r="X85" s="1">
        <v>0</v>
      </c>
      <c r="Y85" s="20">
        <v>0</v>
      </c>
      <c r="Z85" s="2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</row>
    <row r="86" spans="1:66" ht="12.75" hidden="1" x14ac:dyDescent="0.2">
      <c r="A86" s="1">
        <v>543</v>
      </c>
      <c r="B86" s="1" t="s">
        <v>154</v>
      </c>
      <c r="C86" s="1"/>
      <c r="D86" s="1">
        <v>96</v>
      </c>
      <c r="E86" s="1">
        <v>677</v>
      </c>
      <c r="F86" s="1" t="s">
        <v>64</v>
      </c>
      <c r="G86" s="1">
        <v>690</v>
      </c>
      <c r="H86" s="1" t="s">
        <v>101</v>
      </c>
      <c r="I86" s="2">
        <v>3.6968999999999999</v>
      </c>
      <c r="J86" s="2">
        <v>354.9024</v>
      </c>
      <c r="K86" s="14">
        <f t="shared" si="3"/>
        <v>0</v>
      </c>
      <c r="L86" s="15">
        <f t="shared" si="17"/>
        <v>0</v>
      </c>
      <c r="M86" s="1">
        <v>0</v>
      </c>
      <c r="N86" s="1">
        <v>0</v>
      </c>
      <c r="O86" s="17">
        <f t="shared" si="18"/>
        <v>0</v>
      </c>
      <c r="P86" s="1"/>
      <c r="Q86" s="1">
        <v>0</v>
      </c>
      <c r="R86" s="1">
        <v>0</v>
      </c>
      <c r="S86" s="5">
        <v>0</v>
      </c>
      <c r="T86" s="1"/>
      <c r="U86" s="1">
        <v>0</v>
      </c>
      <c r="V86" s="1">
        <v>0</v>
      </c>
      <c r="W86" s="17">
        <f t="shared" si="16"/>
        <v>0</v>
      </c>
      <c r="X86" s="1">
        <v>0</v>
      </c>
      <c r="Y86" s="20">
        <v>0</v>
      </c>
      <c r="Z86" s="2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</row>
    <row r="87" spans="1:66" ht="12.75" hidden="1" x14ac:dyDescent="0.2">
      <c r="A87" s="1">
        <v>563</v>
      </c>
      <c r="B87" s="1" t="s">
        <v>155</v>
      </c>
      <c r="C87" s="1"/>
      <c r="D87" s="1">
        <v>96</v>
      </c>
      <c r="E87" s="1">
        <v>677</v>
      </c>
      <c r="F87" s="1" t="s">
        <v>64</v>
      </c>
      <c r="G87" s="1">
        <v>690</v>
      </c>
      <c r="H87" s="1" t="s">
        <v>101</v>
      </c>
      <c r="I87" s="2">
        <v>3.6968999999999999</v>
      </c>
      <c r="J87" s="2">
        <v>354.9024</v>
      </c>
      <c r="K87" s="14">
        <f t="shared" si="3"/>
        <v>0</v>
      </c>
      <c r="L87" s="15">
        <f t="shared" si="17"/>
        <v>0</v>
      </c>
      <c r="M87" s="1">
        <v>0</v>
      </c>
      <c r="N87" s="1">
        <v>0</v>
      </c>
      <c r="O87" s="17">
        <f t="shared" si="18"/>
        <v>0</v>
      </c>
      <c r="P87" s="1"/>
      <c r="Q87" s="1">
        <v>0</v>
      </c>
      <c r="R87" s="1">
        <v>0</v>
      </c>
      <c r="S87" s="5">
        <v>0</v>
      </c>
      <c r="T87" s="1"/>
      <c r="U87" s="1">
        <v>0</v>
      </c>
      <c r="V87" s="1">
        <v>0</v>
      </c>
      <c r="W87" s="17">
        <f t="shared" si="16"/>
        <v>0</v>
      </c>
      <c r="X87" s="1">
        <v>0</v>
      </c>
      <c r="Y87" s="20">
        <v>0</v>
      </c>
      <c r="Z87" s="2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</row>
    <row r="88" spans="1:66" ht="12.75" hidden="1" x14ac:dyDescent="0.2">
      <c r="A88" s="1">
        <v>512</v>
      </c>
      <c r="B88" s="1" t="s">
        <v>151</v>
      </c>
      <c r="C88" s="1"/>
      <c r="D88" s="1">
        <v>96</v>
      </c>
      <c r="E88" s="1">
        <v>677</v>
      </c>
      <c r="F88" s="1" t="s">
        <v>64</v>
      </c>
      <c r="G88" s="1">
        <v>690</v>
      </c>
      <c r="H88" s="1" t="s">
        <v>101</v>
      </c>
      <c r="I88" s="2">
        <v>3.6968999999999999</v>
      </c>
      <c r="J88" s="2">
        <v>354.9024</v>
      </c>
      <c r="K88" s="14">
        <f t="shared" si="3"/>
        <v>0</v>
      </c>
      <c r="L88" s="15">
        <f t="shared" si="17"/>
        <v>0</v>
      </c>
      <c r="M88" s="1">
        <v>0</v>
      </c>
      <c r="N88" s="1">
        <v>0</v>
      </c>
      <c r="O88" s="17">
        <f t="shared" si="18"/>
        <v>0</v>
      </c>
      <c r="P88" s="1"/>
      <c r="Q88" s="1">
        <v>0</v>
      </c>
      <c r="R88" s="1">
        <v>0</v>
      </c>
      <c r="S88" s="5">
        <v>0</v>
      </c>
      <c r="T88" s="1"/>
      <c r="U88" s="1">
        <v>0</v>
      </c>
      <c r="V88" s="1">
        <v>0</v>
      </c>
      <c r="W88" s="17">
        <f t="shared" si="16"/>
        <v>0</v>
      </c>
      <c r="X88" s="1">
        <v>0</v>
      </c>
      <c r="Y88" s="20">
        <v>0</v>
      </c>
      <c r="Z88" s="2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</row>
    <row r="89" spans="1:66" ht="12.75" hidden="1" x14ac:dyDescent="0.2">
      <c r="A89" s="1">
        <v>516</v>
      </c>
      <c r="B89" s="1" t="s">
        <v>153</v>
      </c>
      <c r="C89" s="1"/>
      <c r="D89" s="1">
        <v>96</v>
      </c>
      <c r="E89" s="1">
        <v>677</v>
      </c>
      <c r="F89" s="1" t="s">
        <v>64</v>
      </c>
      <c r="G89" s="1">
        <v>690</v>
      </c>
      <c r="H89" s="1" t="s">
        <v>101</v>
      </c>
      <c r="I89" s="2">
        <v>3.6968999999999999</v>
      </c>
      <c r="J89" s="2">
        <v>354.9024</v>
      </c>
      <c r="K89" s="14">
        <f t="shared" si="3"/>
        <v>0</v>
      </c>
      <c r="L89" s="15">
        <f t="shared" si="17"/>
        <v>0</v>
      </c>
      <c r="M89" s="1">
        <v>0</v>
      </c>
      <c r="N89" s="1">
        <v>0</v>
      </c>
      <c r="O89" s="17">
        <f t="shared" si="18"/>
        <v>0</v>
      </c>
      <c r="P89" s="1"/>
      <c r="Q89" s="1">
        <v>0</v>
      </c>
      <c r="R89" s="1">
        <v>0</v>
      </c>
      <c r="S89" s="5">
        <v>0</v>
      </c>
      <c r="T89" s="1"/>
      <c r="U89" s="1">
        <v>0</v>
      </c>
      <c r="V89" s="1">
        <v>0</v>
      </c>
      <c r="W89" s="17">
        <f t="shared" si="16"/>
        <v>0</v>
      </c>
      <c r="X89" s="1">
        <v>0</v>
      </c>
      <c r="Y89" s="20">
        <v>0</v>
      </c>
      <c r="Z89" s="2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</row>
    <row r="90" spans="1:66" ht="12.75" hidden="1" x14ac:dyDescent="0.2">
      <c r="A90" s="1">
        <v>8038</v>
      </c>
      <c r="B90" s="1" t="s">
        <v>156</v>
      </c>
      <c r="C90" s="1"/>
      <c r="D90" s="1">
        <v>6</v>
      </c>
      <c r="E90" s="1">
        <v>677</v>
      </c>
      <c r="F90" s="1" t="s">
        <v>64</v>
      </c>
      <c r="G90" s="1">
        <v>61</v>
      </c>
      <c r="H90" s="1" t="s">
        <v>66</v>
      </c>
      <c r="I90" s="2">
        <v>77</v>
      </c>
      <c r="J90" s="2">
        <v>462</v>
      </c>
      <c r="K90" s="14">
        <f t="shared" si="3"/>
        <v>0</v>
      </c>
      <c r="L90" s="15">
        <f t="shared" si="17"/>
        <v>0</v>
      </c>
      <c r="M90" s="1">
        <v>0</v>
      </c>
      <c r="N90" s="1">
        <v>0</v>
      </c>
      <c r="O90" s="17">
        <f t="shared" si="18"/>
        <v>0</v>
      </c>
      <c r="P90" s="1"/>
      <c r="Q90" s="1">
        <v>0</v>
      </c>
      <c r="R90" s="1">
        <v>0</v>
      </c>
      <c r="S90" s="5">
        <v>0</v>
      </c>
      <c r="T90" s="1"/>
      <c r="U90" s="1">
        <v>0</v>
      </c>
      <c r="V90" s="1">
        <v>0</v>
      </c>
      <c r="W90" s="17">
        <f t="shared" si="16"/>
        <v>0</v>
      </c>
      <c r="X90" s="1">
        <v>0</v>
      </c>
      <c r="Y90" s="20">
        <v>0</v>
      </c>
      <c r="Z90" s="2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</row>
    <row r="91" spans="1:66" ht="12.75" hidden="1" x14ac:dyDescent="0.2">
      <c r="A91" s="1">
        <v>47030</v>
      </c>
      <c r="B91" s="1" t="s">
        <v>163</v>
      </c>
      <c r="C91" s="1"/>
      <c r="D91" s="1">
        <v>12</v>
      </c>
      <c r="E91" s="1">
        <v>677</v>
      </c>
      <c r="F91" s="1" t="s">
        <v>64</v>
      </c>
      <c r="G91" s="1">
        <v>999</v>
      </c>
      <c r="H91" s="1" t="s">
        <v>67</v>
      </c>
      <c r="I91" s="2">
        <v>109.64</v>
      </c>
      <c r="J91" s="2">
        <v>1315.68</v>
      </c>
      <c r="K91" s="14">
        <f t="shared" si="3"/>
        <v>0</v>
      </c>
      <c r="L91" s="15">
        <f t="shared" si="17"/>
        <v>0</v>
      </c>
      <c r="M91" s="1">
        <v>0</v>
      </c>
      <c r="N91" s="1">
        <v>0</v>
      </c>
      <c r="O91" s="17">
        <f t="shared" si="18"/>
        <v>0</v>
      </c>
      <c r="P91" s="1"/>
      <c r="Q91" s="1">
        <v>0</v>
      </c>
      <c r="R91" s="1">
        <v>0</v>
      </c>
      <c r="S91" s="5">
        <v>0</v>
      </c>
      <c r="T91" s="1"/>
      <c r="U91" s="1">
        <v>0</v>
      </c>
      <c r="V91" s="1">
        <v>0</v>
      </c>
      <c r="W91" s="17">
        <f t="shared" si="16"/>
        <v>0</v>
      </c>
      <c r="X91" s="1">
        <v>0</v>
      </c>
      <c r="Y91" s="20">
        <v>0</v>
      </c>
      <c r="Z91" s="2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</row>
    <row r="92" spans="1:66" ht="12.75" x14ac:dyDescent="0.2">
      <c r="I92" s="26"/>
      <c r="J92" s="26"/>
      <c r="K92" s="26"/>
      <c r="S92" s="5">
        <v>0</v>
      </c>
      <c r="Y92" s="26"/>
      <c r="Z92" s="26"/>
    </row>
    <row r="93" spans="1:66" ht="12.75" x14ac:dyDescent="0.2">
      <c r="I93" s="26"/>
      <c r="J93" s="26"/>
      <c r="K93" s="26"/>
      <c r="S93" s="5">
        <v>0</v>
      </c>
      <c r="Y93" s="26"/>
      <c r="Z93" s="26"/>
    </row>
    <row r="94" spans="1:66" ht="12.75" x14ac:dyDescent="0.2">
      <c r="I94" s="26"/>
      <c r="J94" s="26"/>
      <c r="K94" s="26"/>
      <c r="S94" s="5">
        <v>0</v>
      </c>
      <c r="Y94" s="26"/>
      <c r="Z94" s="26"/>
    </row>
    <row r="95" spans="1:66" ht="12.75" x14ac:dyDescent="0.2">
      <c r="I95" s="26"/>
      <c r="J95" s="26"/>
      <c r="K95" s="26"/>
      <c r="S95" s="5">
        <v>0</v>
      </c>
      <c r="Y95" s="26"/>
      <c r="Z95" s="26"/>
    </row>
    <row r="96" spans="1:66" ht="12.75" x14ac:dyDescent="0.2">
      <c r="I96" s="26"/>
      <c r="J96" s="26"/>
      <c r="K96" s="26"/>
      <c r="S96" s="5">
        <v>0</v>
      </c>
      <c r="Y96" s="26"/>
      <c r="Z96" s="26"/>
    </row>
    <row r="97" spans="9:26" ht="12.75" x14ac:dyDescent="0.2">
      <c r="I97" s="26"/>
      <c r="J97" s="26"/>
      <c r="K97" s="26"/>
      <c r="S97" s="5">
        <v>0</v>
      </c>
      <c r="Y97" s="26"/>
      <c r="Z97" s="26"/>
    </row>
    <row r="98" spans="9:26" ht="12.75" x14ac:dyDescent="0.2">
      <c r="I98" s="26"/>
      <c r="J98" s="26"/>
      <c r="K98" s="26"/>
      <c r="S98" s="5">
        <v>0</v>
      </c>
      <c r="Y98" s="26"/>
      <c r="Z98" s="26"/>
    </row>
    <row r="99" spans="9:26" ht="12.75" x14ac:dyDescent="0.2">
      <c r="I99" s="26"/>
      <c r="J99" s="26"/>
      <c r="K99" s="26"/>
      <c r="S99" s="5">
        <v>0</v>
      </c>
      <c r="Y99" s="26"/>
      <c r="Z99" s="26"/>
    </row>
    <row r="100" spans="9:26" ht="12.75" x14ac:dyDescent="0.2">
      <c r="I100" s="26"/>
      <c r="J100" s="26"/>
      <c r="K100" s="26"/>
      <c r="S100" s="5">
        <v>0</v>
      </c>
      <c r="Y100" s="26"/>
      <c r="Z100" s="26"/>
    </row>
    <row r="101" spans="9:26" ht="12.75" x14ac:dyDescent="0.2">
      <c r="I101" s="26"/>
      <c r="J101" s="26"/>
      <c r="K101" s="26"/>
      <c r="S101" s="5">
        <v>0</v>
      </c>
      <c r="Y101" s="26"/>
      <c r="Z101" s="26"/>
    </row>
    <row r="102" spans="9:26" ht="12.75" x14ac:dyDescent="0.2">
      <c r="I102" s="26"/>
      <c r="J102" s="26"/>
      <c r="K102" s="26"/>
      <c r="S102" s="5">
        <v>0</v>
      </c>
      <c r="Y102" s="26"/>
      <c r="Z102" s="26"/>
    </row>
    <row r="103" spans="9:26" ht="12.75" x14ac:dyDescent="0.2">
      <c r="I103" s="26"/>
      <c r="J103" s="26"/>
      <c r="K103" s="26"/>
      <c r="S103" s="5">
        <v>0</v>
      </c>
      <c r="Y103" s="26"/>
      <c r="Z103" s="26"/>
    </row>
    <row r="104" spans="9:26" ht="12.75" x14ac:dyDescent="0.2">
      <c r="I104" s="26"/>
      <c r="J104" s="26"/>
      <c r="K104" s="26"/>
      <c r="S104" s="5">
        <v>0</v>
      </c>
      <c r="Y104" s="26"/>
      <c r="Z104" s="26"/>
    </row>
    <row r="105" spans="9:26" ht="12.75" x14ac:dyDescent="0.2">
      <c r="I105" s="26"/>
      <c r="J105" s="26"/>
      <c r="K105" s="26"/>
      <c r="S105" s="5">
        <v>0</v>
      </c>
      <c r="Y105" s="26"/>
      <c r="Z105" s="26"/>
    </row>
    <row r="106" spans="9:26" ht="12.75" x14ac:dyDescent="0.2">
      <c r="I106" s="26"/>
      <c r="J106" s="26"/>
      <c r="K106" s="26"/>
      <c r="S106" s="5">
        <v>0</v>
      </c>
      <c r="Y106" s="26"/>
      <c r="Z106" s="26"/>
    </row>
    <row r="107" spans="9:26" ht="12.75" x14ac:dyDescent="0.2">
      <c r="I107" s="26"/>
      <c r="J107" s="26"/>
      <c r="K107" s="26"/>
      <c r="S107" s="5">
        <v>0</v>
      </c>
      <c r="Y107" s="26"/>
      <c r="Z107" s="26"/>
    </row>
    <row r="108" spans="9:26" ht="12.75" x14ac:dyDescent="0.2">
      <c r="I108" s="26"/>
      <c r="J108" s="26"/>
      <c r="K108" s="26"/>
      <c r="S108" s="5">
        <v>0</v>
      </c>
      <c r="Y108" s="26"/>
      <c r="Z108" s="26"/>
    </row>
    <row r="109" spans="9:26" ht="12.75" x14ac:dyDescent="0.2">
      <c r="I109" s="26"/>
      <c r="J109" s="26"/>
      <c r="K109" s="26"/>
      <c r="S109" s="5">
        <v>0</v>
      </c>
      <c r="Y109" s="26"/>
      <c r="Z109" s="26"/>
    </row>
    <row r="110" spans="9:26" ht="12.75" x14ac:dyDescent="0.2">
      <c r="I110" s="26"/>
      <c r="J110" s="26"/>
      <c r="K110" s="26"/>
      <c r="S110" s="5">
        <v>0</v>
      </c>
      <c r="Y110" s="26"/>
      <c r="Z110" s="26"/>
    </row>
    <row r="111" spans="9:26" ht="12.75" x14ac:dyDescent="0.2">
      <c r="I111" s="26"/>
      <c r="J111" s="26"/>
      <c r="K111" s="26"/>
      <c r="S111" s="5">
        <v>0</v>
      </c>
      <c r="Y111" s="26"/>
      <c r="Z111" s="26"/>
    </row>
    <row r="112" spans="9:26" ht="12.75" x14ac:dyDescent="0.2">
      <c r="I112" s="26"/>
      <c r="J112" s="26"/>
      <c r="K112" s="26"/>
      <c r="S112" s="5">
        <v>0</v>
      </c>
      <c r="Y112" s="26"/>
      <c r="Z112" s="26"/>
    </row>
    <row r="113" spans="9:26" ht="12.75" x14ac:dyDescent="0.2">
      <c r="I113" s="26"/>
      <c r="J113" s="26"/>
      <c r="K113" s="26"/>
      <c r="S113" s="5">
        <v>0</v>
      </c>
      <c r="Y113" s="26"/>
      <c r="Z113" s="26"/>
    </row>
    <row r="114" spans="9:26" ht="12.75" x14ac:dyDescent="0.2">
      <c r="I114" s="26"/>
      <c r="J114" s="26"/>
      <c r="K114" s="26"/>
      <c r="S114" s="5">
        <v>0</v>
      </c>
      <c r="Y114" s="26"/>
      <c r="Z114" s="26"/>
    </row>
    <row r="115" spans="9:26" ht="12.75" x14ac:dyDescent="0.2">
      <c r="I115" s="26"/>
      <c r="J115" s="26"/>
      <c r="K115" s="26"/>
      <c r="S115" s="5">
        <v>0</v>
      </c>
      <c r="Y115" s="26"/>
      <c r="Z115" s="26"/>
    </row>
    <row r="116" spans="9:26" ht="12.75" x14ac:dyDescent="0.2">
      <c r="I116" s="26"/>
      <c r="J116" s="26"/>
      <c r="K116" s="26"/>
      <c r="S116" s="5">
        <v>0</v>
      </c>
      <c r="Y116" s="26"/>
      <c r="Z116" s="26"/>
    </row>
    <row r="117" spans="9:26" ht="12.75" x14ac:dyDescent="0.2">
      <c r="I117" s="26"/>
      <c r="J117" s="26"/>
      <c r="K117" s="26"/>
      <c r="S117" s="5">
        <v>0</v>
      </c>
      <c r="Y117" s="26"/>
      <c r="Z117" s="26"/>
    </row>
    <row r="118" spans="9:26" ht="12.75" x14ac:dyDescent="0.2">
      <c r="I118" s="26"/>
      <c r="J118" s="26"/>
      <c r="K118" s="26"/>
      <c r="S118" s="5">
        <v>0</v>
      </c>
      <c r="Y118" s="26"/>
      <c r="Z118" s="26"/>
    </row>
    <row r="119" spans="9:26" ht="12.75" x14ac:dyDescent="0.2">
      <c r="I119" s="26"/>
      <c r="J119" s="26"/>
      <c r="K119" s="26"/>
      <c r="S119" s="5">
        <v>0</v>
      </c>
      <c r="Y119" s="26"/>
      <c r="Z119" s="26"/>
    </row>
    <row r="120" spans="9:26" ht="12.75" x14ac:dyDescent="0.2">
      <c r="I120" s="26"/>
      <c r="J120" s="26"/>
      <c r="K120" s="26"/>
      <c r="Y120" s="26"/>
      <c r="Z120" s="26"/>
    </row>
    <row r="121" spans="9:26" ht="12.75" x14ac:dyDescent="0.2">
      <c r="I121" s="26"/>
      <c r="J121" s="26"/>
      <c r="K121" s="26"/>
      <c r="Y121" s="26"/>
      <c r="Z121" s="26"/>
    </row>
    <row r="122" spans="9:26" ht="12.75" x14ac:dyDescent="0.2">
      <c r="I122" s="26"/>
      <c r="J122" s="26"/>
      <c r="K122" s="26"/>
      <c r="Y122" s="26"/>
      <c r="Z122" s="26"/>
    </row>
    <row r="123" spans="9:26" ht="12.75" x14ac:dyDescent="0.2">
      <c r="I123" s="26"/>
      <c r="J123" s="26"/>
      <c r="K123" s="26"/>
      <c r="Y123" s="26"/>
      <c r="Z123" s="26"/>
    </row>
    <row r="124" spans="9:26" ht="12.75" x14ac:dyDescent="0.2">
      <c r="I124" s="26"/>
      <c r="J124" s="26"/>
      <c r="K124" s="26"/>
      <c r="Y124" s="26"/>
      <c r="Z124" s="26"/>
    </row>
    <row r="125" spans="9:26" ht="12.75" x14ac:dyDescent="0.2">
      <c r="I125" s="26"/>
      <c r="J125" s="26"/>
      <c r="K125" s="26"/>
      <c r="Y125" s="26"/>
      <c r="Z125" s="26"/>
    </row>
    <row r="126" spans="9:26" ht="12.75" x14ac:dyDescent="0.2">
      <c r="I126" s="26"/>
      <c r="J126" s="26"/>
      <c r="K126" s="26"/>
      <c r="Y126" s="26"/>
      <c r="Z126" s="26"/>
    </row>
    <row r="127" spans="9:26" ht="12.75" x14ac:dyDescent="0.2">
      <c r="I127" s="26"/>
      <c r="J127" s="26"/>
      <c r="K127" s="26"/>
      <c r="Y127" s="26"/>
      <c r="Z127" s="26"/>
    </row>
    <row r="128" spans="9:26" ht="12.75" x14ac:dyDescent="0.2">
      <c r="I128" s="26"/>
      <c r="J128" s="26"/>
      <c r="K128" s="26"/>
      <c r="Y128" s="26"/>
      <c r="Z128" s="26"/>
    </row>
    <row r="129" spans="9:26" ht="12.75" x14ac:dyDescent="0.2">
      <c r="I129" s="26"/>
      <c r="J129" s="26"/>
      <c r="K129" s="26"/>
      <c r="Y129" s="26"/>
      <c r="Z129" s="26"/>
    </row>
    <row r="130" spans="9:26" ht="12.75" x14ac:dyDescent="0.2">
      <c r="I130" s="26"/>
      <c r="J130" s="26"/>
      <c r="K130" s="26"/>
      <c r="Y130" s="26"/>
      <c r="Z130" s="26"/>
    </row>
    <row r="131" spans="9:26" ht="12.75" x14ac:dyDescent="0.2">
      <c r="I131" s="26"/>
      <c r="J131" s="26"/>
      <c r="K131" s="26"/>
      <c r="Y131" s="26"/>
      <c r="Z131" s="26"/>
    </row>
    <row r="132" spans="9:26" ht="12.75" x14ac:dyDescent="0.2">
      <c r="I132" s="26"/>
      <c r="J132" s="26"/>
      <c r="K132" s="26"/>
      <c r="Y132" s="26"/>
      <c r="Z132" s="26"/>
    </row>
    <row r="133" spans="9:26" ht="12.75" x14ac:dyDescent="0.2">
      <c r="I133" s="26"/>
      <c r="J133" s="26"/>
      <c r="K133" s="26"/>
      <c r="Y133" s="26"/>
      <c r="Z133" s="26"/>
    </row>
    <row r="134" spans="9:26" ht="12.75" x14ac:dyDescent="0.2">
      <c r="I134" s="26"/>
      <c r="J134" s="26"/>
      <c r="K134" s="26"/>
      <c r="Y134" s="26"/>
      <c r="Z134" s="26"/>
    </row>
    <row r="135" spans="9:26" ht="12.75" x14ac:dyDescent="0.2">
      <c r="I135" s="26"/>
      <c r="J135" s="26"/>
      <c r="K135" s="26"/>
      <c r="Y135" s="26"/>
      <c r="Z135" s="26"/>
    </row>
    <row r="136" spans="9:26" ht="12.75" x14ac:dyDescent="0.2">
      <c r="I136" s="26"/>
      <c r="J136" s="26"/>
      <c r="K136" s="26"/>
      <c r="Y136" s="26"/>
      <c r="Z136" s="26"/>
    </row>
    <row r="137" spans="9:26" ht="12.75" x14ac:dyDescent="0.2">
      <c r="I137" s="26"/>
      <c r="J137" s="26"/>
      <c r="K137" s="26"/>
      <c r="Y137" s="26"/>
      <c r="Z137" s="26"/>
    </row>
    <row r="138" spans="9:26" ht="12.75" x14ac:dyDescent="0.2">
      <c r="I138" s="26"/>
      <c r="J138" s="26"/>
      <c r="K138" s="26"/>
      <c r="Y138" s="26"/>
      <c r="Z138" s="26"/>
    </row>
    <row r="139" spans="9:26" ht="12.75" x14ac:dyDescent="0.2">
      <c r="I139" s="26"/>
      <c r="J139" s="26"/>
      <c r="K139" s="26"/>
      <c r="Y139" s="26"/>
      <c r="Z139" s="26"/>
    </row>
    <row r="140" spans="9:26" ht="12.75" x14ac:dyDescent="0.2">
      <c r="I140" s="26"/>
      <c r="J140" s="26"/>
      <c r="K140" s="26"/>
      <c r="Y140" s="26"/>
      <c r="Z140" s="26"/>
    </row>
    <row r="141" spans="9:26" ht="12.75" x14ac:dyDescent="0.2">
      <c r="I141" s="26"/>
      <c r="J141" s="26"/>
      <c r="K141" s="26"/>
      <c r="Y141" s="26"/>
      <c r="Z141" s="26"/>
    </row>
    <row r="142" spans="9:26" ht="12.75" x14ac:dyDescent="0.2">
      <c r="I142" s="26"/>
      <c r="J142" s="26"/>
      <c r="K142" s="26"/>
      <c r="Y142" s="26"/>
      <c r="Z142" s="26"/>
    </row>
    <row r="143" spans="9:26" ht="12.75" x14ac:dyDescent="0.2">
      <c r="I143" s="26"/>
      <c r="J143" s="26"/>
      <c r="K143" s="26"/>
      <c r="Y143" s="26"/>
      <c r="Z143" s="26"/>
    </row>
    <row r="144" spans="9:26" ht="12.75" x14ac:dyDescent="0.2">
      <c r="I144" s="26"/>
      <c r="J144" s="26"/>
      <c r="K144" s="26"/>
      <c r="Y144" s="26"/>
      <c r="Z144" s="26"/>
    </row>
    <row r="145" spans="9:26" ht="12.75" x14ac:dyDescent="0.2">
      <c r="I145" s="26"/>
      <c r="J145" s="26"/>
      <c r="K145" s="26"/>
      <c r="Y145" s="26"/>
      <c r="Z145" s="26"/>
    </row>
    <row r="146" spans="9:26" ht="12.75" x14ac:dyDescent="0.2">
      <c r="I146" s="26"/>
      <c r="J146" s="26"/>
      <c r="K146" s="26"/>
      <c r="Y146" s="26"/>
      <c r="Z146" s="26"/>
    </row>
    <row r="147" spans="9:26" ht="12.75" x14ac:dyDescent="0.2">
      <c r="I147" s="26"/>
      <c r="J147" s="26"/>
      <c r="K147" s="26"/>
      <c r="Y147" s="26"/>
      <c r="Z147" s="26"/>
    </row>
    <row r="148" spans="9:26" ht="12.75" x14ac:dyDescent="0.2">
      <c r="I148" s="26"/>
      <c r="J148" s="26"/>
      <c r="K148" s="26"/>
      <c r="Y148" s="26"/>
      <c r="Z148" s="26"/>
    </row>
    <row r="149" spans="9:26" ht="12.75" x14ac:dyDescent="0.2">
      <c r="I149" s="26"/>
      <c r="J149" s="26"/>
      <c r="K149" s="26"/>
      <c r="Y149" s="26"/>
      <c r="Z149" s="26"/>
    </row>
    <row r="150" spans="9:26" ht="12.75" x14ac:dyDescent="0.2">
      <c r="I150" s="26"/>
      <c r="J150" s="26"/>
      <c r="K150" s="26"/>
      <c r="Y150" s="26"/>
      <c r="Z150" s="26"/>
    </row>
    <row r="151" spans="9:26" ht="12.75" x14ac:dyDescent="0.2">
      <c r="I151" s="26"/>
      <c r="J151" s="26"/>
      <c r="K151" s="26"/>
      <c r="Y151" s="26"/>
      <c r="Z151" s="26"/>
    </row>
    <row r="152" spans="9:26" ht="12.75" x14ac:dyDescent="0.2">
      <c r="I152" s="26"/>
      <c r="J152" s="26"/>
      <c r="K152" s="26"/>
      <c r="Y152" s="26"/>
      <c r="Z152" s="26"/>
    </row>
    <row r="153" spans="9:26" ht="12.75" x14ac:dyDescent="0.2">
      <c r="I153" s="26"/>
      <c r="J153" s="26"/>
      <c r="K153" s="26"/>
      <c r="Y153" s="26"/>
      <c r="Z153" s="26"/>
    </row>
    <row r="154" spans="9:26" ht="12.75" x14ac:dyDescent="0.2">
      <c r="I154" s="26"/>
      <c r="J154" s="26"/>
      <c r="K154" s="26"/>
      <c r="Y154" s="26"/>
      <c r="Z154" s="26"/>
    </row>
    <row r="155" spans="9:26" ht="12.75" x14ac:dyDescent="0.2">
      <c r="I155" s="26"/>
      <c r="J155" s="26"/>
      <c r="K155" s="26"/>
      <c r="Y155" s="26"/>
      <c r="Z155" s="26"/>
    </row>
    <row r="156" spans="9:26" ht="12.75" x14ac:dyDescent="0.2">
      <c r="I156" s="26"/>
      <c r="J156" s="26"/>
      <c r="K156" s="26"/>
      <c r="Y156" s="26"/>
      <c r="Z156" s="26"/>
    </row>
    <row r="157" spans="9:26" ht="12.75" x14ac:dyDescent="0.2">
      <c r="I157" s="26"/>
      <c r="J157" s="26"/>
      <c r="K157" s="26"/>
      <c r="Y157" s="26"/>
      <c r="Z157" s="26"/>
    </row>
    <row r="158" spans="9:26" ht="12.75" x14ac:dyDescent="0.2">
      <c r="I158" s="26"/>
      <c r="J158" s="26"/>
      <c r="K158" s="26"/>
      <c r="Y158" s="26"/>
      <c r="Z158" s="26"/>
    </row>
    <row r="159" spans="9:26" ht="12.75" x14ac:dyDescent="0.2">
      <c r="I159" s="26"/>
      <c r="J159" s="26"/>
      <c r="K159" s="26"/>
      <c r="Y159" s="26"/>
      <c r="Z159" s="26"/>
    </row>
    <row r="160" spans="9:26" ht="12.75" x14ac:dyDescent="0.2">
      <c r="I160" s="26"/>
      <c r="J160" s="26"/>
      <c r="K160" s="26"/>
      <c r="Y160" s="26"/>
      <c r="Z160" s="26"/>
    </row>
    <row r="161" spans="9:26" ht="12.75" x14ac:dyDescent="0.2">
      <c r="I161" s="26"/>
      <c r="J161" s="26"/>
      <c r="K161" s="26"/>
      <c r="Y161" s="26"/>
      <c r="Z161" s="26"/>
    </row>
    <row r="162" spans="9:26" ht="12.75" x14ac:dyDescent="0.2">
      <c r="I162" s="26"/>
      <c r="J162" s="26"/>
      <c r="K162" s="26"/>
      <c r="Y162" s="26"/>
      <c r="Z162" s="26"/>
    </row>
    <row r="163" spans="9:26" ht="12.75" x14ac:dyDescent="0.2">
      <c r="I163" s="26"/>
      <c r="J163" s="26"/>
      <c r="K163" s="26"/>
      <c r="Y163" s="26"/>
      <c r="Z163" s="26"/>
    </row>
    <row r="164" spans="9:26" ht="12.75" x14ac:dyDescent="0.2">
      <c r="I164" s="26"/>
      <c r="J164" s="26"/>
      <c r="K164" s="26"/>
      <c r="Y164" s="26"/>
      <c r="Z164" s="26"/>
    </row>
    <row r="165" spans="9:26" ht="12.75" x14ac:dyDescent="0.2">
      <c r="I165" s="26"/>
      <c r="J165" s="26"/>
      <c r="K165" s="26"/>
      <c r="Y165" s="26"/>
      <c r="Z165" s="26"/>
    </row>
    <row r="166" spans="9:26" ht="12.75" x14ac:dyDescent="0.2">
      <c r="I166" s="26"/>
      <c r="J166" s="26"/>
      <c r="K166" s="26"/>
      <c r="Y166" s="26"/>
      <c r="Z166" s="26"/>
    </row>
    <row r="167" spans="9:26" ht="12.75" x14ac:dyDescent="0.2">
      <c r="I167" s="26"/>
      <c r="J167" s="26"/>
      <c r="K167" s="26"/>
      <c r="Y167" s="26"/>
      <c r="Z167" s="26"/>
    </row>
    <row r="168" spans="9:26" ht="12.75" x14ac:dyDescent="0.2">
      <c r="I168" s="26"/>
      <c r="J168" s="26"/>
      <c r="K168" s="26"/>
      <c r="Y168" s="26"/>
      <c r="Z168" s="26"/>
    </row>
    <row r="169" spans="9:26" ht="12.75" x14ac:dyDescent="0.2">
      <c r="I169" s="26"/>
      <c r="J169" s="26"/>
      <c r="K169" s="26"/>
      <c r="Y169" s="26"/>
      <c r="Z169" s="26"/>
    </row>
    <row r="170" spans="9:26" ht="12.75" x14ac:dyDescent="0.2">
      <c r="I170" s="26"/>
      <c r="J170" s="26"/>
      <c r="K170" s="26"/>
      <c r="Y170" s="26"/>
      <c r="Z170" s="26"/>
    </row>
    <row r="171" spans="9:26" ht="12.75" x14ac:dyDescent="0.2">
      <c r="I171" s="26"/>
      <c r="J171" s="26"/>
      <c r="K171" s="26"/>
      <c r="Y171" s="26"/>
      <c r="Z171" s="26"/>
    </row>
    <row r="172" spans="9:26" ht="12.75" x14ac:dyDescent="0.2">
      <c r="I172" s="26"/>
      <c r="J172" s="26"/>
      <c r="K172" s="26"/>
      <c r="Y172" s="26"/>
      <c r="Z172" s="26"/>
    </row>
    <row r="173" spans="9:26" ht="12.75" x14ac:dyDescent="0.2">
      <c r="I173" s="26"/>
      <c r="J173" s="26"/>
      <c r="K173" s="26"/>
      <c r="Y173" s="26"/>
      <c r="Z173" s="26"/>
    </row>
    <row r="174" spans="9:26" ht="12.75" x14ac:dyDescent="0.2">
      <c r="I174" s="26"/>
      <c r="J174" s="26"/>
      <c r="K174" s="26"/>
      <c r="Y174" s="26"/>
      <c r="Z174" s="26"/>
    </row>
    <row r="175" spans="9:26" ht="12.75" x14ac:dyDescent="0.2">
      <c r="I175" s="26"/>
      <c r="J175" s="26"/>
      <c r="K175" s="26"/>
      <c r="Y175" s="26"/>
      <c r="Z175" s="26"/>
    </row>
    <row r="176" spans="9:26" ht="12.75" x14ac:dyDescent="0.2">
      <c r="I176" s="26"/>
      <c r="J176" s="26"/>
      <c r="K176" s="26"/>
      <c r="Y176" s="26"/>
      <c r="Z176" s="26"/>
    </row>
    <row r="177" spans="9:26" ht="12.75" x14ac:dyDescent="0.2">
      <c r="I177" s="26"/>
      <c r="J177" s="26"/>
      <c r="K177" s="26"/>
      <c r="Y177" s="26"/>
      <c r="Z177" s="26"/>
    </row>
    <row r="178" spans="9:26" ht="12.75" x14ac:dyDescent="0.2">
      <c r="I178" s="26"/>
      <c r="J178" s="26"/>
      <c r="K178" s="26"/>
      <c r="Y178" s="26"/>
      <c r="Z178" s="26"/>
    </row>
    <row r="179" spans="9:26" ht="12.75" x14ac:dyDescent="0.2">
      <c r="I179" s="26"/>
      <c r="J179" s="26"/>
      <c r="K179" s="26"/>
      <c r="Y179" s="26"/>
      <c r="Z179" s="26"/>
    </row>
    <row r="180" spans="9:26" ht="12.75" x14ac:dyDescent="0.2">
      <c r="I180" s="26"/>
      <c r="J180" s="26"/>
      <c r="K180" s="26"/>
      <c r="Y180" s="26"/>
      <c r="Z180" s="26"/>
    </row>
    <row r="181" spans="9:26" ht="12.75" x14ac:dyDescent="0.2">
      <c r="I181" s="26"/>
      <c r="J181" s="26"/>
      <c r="K181" s="26"/>
      <c r="Y181" s="26"/>
      <c r="Z181" s="26"/>
    </row>
    <row r="182" spans="9:26" ht="12.75" x14ac:dyDescent="0.2">
      <c r="I182" s="26"/>
      <c r="J182" s="26"/>
      <c r="K182" s="26"/>
      <c r="Y182" s="26"/>
      <c r="Z182" s="26"/>
    </row>
    <row r="183" spans="9:26" ht="12.75" x14ac:dyDescent="0.2">
      <c r="I183" s="26"/>
      <c r="J183" s="26"/>
      <c r="K183" s="26"/>
      <c r="Y183" s="26"/>
      <c r="Z183" s="26"/>
    </row>
    <row r="184" spans="9:26" ht="12.75" x14ac:dyDescent="0.2">
      <c r="I184" s="26"/>
      <c r="J184" s="26"/>
      <c r="K184" s="26"/>
      <c r="Y184" s="26"/>
      <c r="Z184" s="26"/>
    </row>
    <row r="185" spans="9:26" ht="12.75" x14ac:dyDescent="0.2">
      <c r="I185" s="26"/>
      <c r="J185" s="26"/>
      <c r="K185" s="26"/>
      <c r="Y185" s="26"/>
      <c r="Z185" s="26"/>
    </row>
    <row r="186" spans="9:26" ht="12.75" x14ac:dyDescent="0.2">
      <c r="I186" s="26"/>
      <c r="J186" s="26"/>
      <c r="K186" s="26"/>
      <c r="Y186" s="26"/>
      <c r="Z186" s="26"/>
    </row>
    <row r="187" spans="9:26" ht="12.75" x14ac:dyDescent="0.2">
      <c r="I187" s="26"/>
      <c r="J187" s="26"/>
      <c r="K187" s="26"/>
      <c r="Y187" s="26"/>
      <c r="Z187" s="26"/>
    </row>
    <row r="188" spans="9:26" ht="12.75" x14ac:dyDescent="0.2">
      <c r="I188" s="26"/>
      <c r="J188" s="26"/>
      <c r="K188" s="26"/>
      <c r="Y188" s="26"/>
      <c r="Z188" s="26"/>
    </row>
    <row r="189" spans="9:26" ht="12.75" x14ac:dyDescent="0.2">
      <c r="I189" s="26"/>
      <c r="J189" s="26"/>
      <c r="K189" s="26"/>
      <c r="Y189" s="26"/>
      <c r="Z189" s="26"/>
    </row>
    <row r="190" spans="9:26" ht="12.75" x14ac:dyDescent="0.2">
      <c r="I190" s="26"/>
      <c r="J190" s="26"/>
      <c r="K190" s="26"/>
      <c r="Y190" s="26"/>
      <c r="Z190" s="26"/>
    </row>
    <row r="191" spans="9:26" ht="12.75" x14ac:dyDescent="0.2">
      <c r="I191" s="26"/>
      <c r="J191" s="26"/>
      <c r="K191" s="26"/>
      <c r="Y191" s="26"/>
      <c r="Z191" s="26"/>
    </row>
    <row r="192" spans="9:26" ht="12.75" x14ac:dyDescent="0.2">
      <c r="I192" s="26"/>
      <c r="J192" s="26"/>
      <c r="K192" s="26"/>
      <c r="Y192" s="26"/>
      <c r="Z192" s="26"/>
    </row>
    <row r="193" spans="9:26" ht="12.75" x14ac:dyDescent="0.2">
      <c r="I193" s="26"/>
      <c r="J193" s="26"/>
      <c r="K193" s="26"/>
      <c r="Y193" s="26"/>
      <c r="Z193" s="26"/>
    </row>
    <row r="194" spans="9:26" ht="12.75" x14ac:dyDescent="0.2">
      <c r="I194" s="26"/>
      <c r="J194" s="26"/>
      <c r="K194" s="26"/>
      <c r="Y194" s="26"/>
      <c r="Z194" s="26"/>
    </row>
    <row r="195" spans="9:26" ht="12.75" x14ac:dyDescent="0.2">
      <c r="I195" s="26"/>
      <c r="J195" s="26"/>
      <c r="K195" s="26"/>
      <c r="Y195" s="26"/>
      <c r="Z195" s="26"/>
    </row>
    <row r="196" spans="9:26" ht="12.75" x14ac:dyDescent="0.2">
      <c r="I196" s="26"/>
      <c r="J196" s="26"/>
      <c r="K196" s="26"/>
      <c r="Y196" s="26"/>
      <c r="Z196" s="26"/>
    </row>
    <row r="197" spans="9:26" ht="12.75" x14ac:dyDescent="0.2">
      <c r="I197" s="26"/>
      <c r="J197" s="26"/>
      <c r="K197" s="26"/>
      <c r="Y197" s="26"/>
      <c r="Z197" s="26"/>
    </row>
    <row r="198" spans="9:26" ht="12.75" x14ac:dyDescent="0.2">
      <c r="I198" s="26"/>
      <c r="J198" s="26"/>
      <c r="K198" s="26"/>
      <c r="Y198" s="26"/>
      <c r="Z198" s="26"/>
    </row>
    <row r="199" spans="9:26" ht="12.75" x14ac:dyDescent="0.2">
      <c r="I199" s="26"/>
      <c r="J199" s="26"/>
      <c r="K199" s="26"/>
      <c r="Y199" s="26"/>
      <c r="Z199" s="26"/>
    </row>
    <row r="200" spans="9:26" ht="12.75" x14ac:dyDescent="0.2">
      <c r="I200" s="26"/>
      <c r="J200" s="26"/>
      <c r="K200" s="26"/>
      <c r="Y200" s="26"/>
      <c r="Z200" s="26"/>
    </row>
    <row r="201" spans="9:26" ht="12.75" x14ac:dyDescent="0.2">
      <c r="I201" s="26"/>
      <c r="J201" s="26"/>
      <c r="K201" s="26"/>
      <c r="Y201" s="26"/>
      <c r="Z201" s="26"/>
    </row>
    <row r="202" spans="9:26" ht="12.75" x14ac:dyDescent="0.2">
      <c r="I202" s="26"/>
      <c r="J202" s="26"/>
      <c r="K202" s="26"/>
      <c r="Y202" s="26"/>
      <c r="Z202" s="26"/>
    </row>
    <row r="203" spans="9:26" ht="12.75" x14ac:dyDescent="0.2">
      <c r="I203" s="26"/>
      <c r="J203" s="26"/>
      <c r="K203" s="26"/>
      <c r="Y203" s="26"/>
      <c r="Z203" s="26"/>
    </row>
    <row r="204" spans="9:26" ht="12.75" x14ac:dyDescent="0.2">
      <c r="I204" s="26"/>
      <c r="J204" s="26"/>
      <c r="K204" s="26"/>
      <c r="Y204" s="26"/>
      <c r="Z204" s="26"/>
    </row>
    <row r="205" spans="9:26" ht="12.75" x14ac:dyDescent="0.2">
      <c r="I205" s="26"/>
      <c r="J205" s="26"/>
      <c r="K205" s="26"/>
      <c r="Y205" s="26"/>
      <c r="Z205" s="26"/>
    </row>
    <row r="206" spans="9:26" ht="12.75" x14ac:dyDescent="0.2">
      <c r="I206" s="26"/>
      <c r="J206" s="26"/>
      <c r="K206" s="26"/>
      <c r="Y206" s="26"/>
      <c r="Z206" s="26"/>
    </row>
    <row r="207" spans="9:26" ht="12.75" x14ac:dyDescent="0.2">
      <c r="I207" s="26"/>
      <c r="J207" s="26"/>
      <c r="K207" s="26"/>
      <c r="Y207" s="26"/>
      <c r="Z207" s="26"/>
    </row>
    <row r="208" spans="9:26" ht="12.75" x14ac:dyDescent="0.2">
      <c r="I208" s="26"/>
      <c r="J208" s="26"/>
      <c r="K208" s="26"/>
      <c r="Y208" s="26"/>
      <c r="Z208" s="26"/>
    </row>
    <row r="209" spans="9:26" ht="12.75" x14ac:dyDescent="0.2">
      <c r="I209" s="26"/>
      <c r="J209" s="26"/>
      <c r="K209" s="26"/>
      <c r="Y209" s="26"/>
      <c r="Z209" s="26"/>
    </row>
    <row r="210" spans="9:26" ht="12.75" x14ac:dyDescent="0.2">
      <c r="I210" s="26"/>
      <c r="J210" s="26"/>
      <c r="K210" s="26"/>
      <c r="Y210" s="26"/>
      <c r="Z210" s="26"/>
    </row>
    <row r="211" spans="9:26" ht="12.75" x14ac:dyDescent="0.2">
      <c r="I211" s="26"/>
      <c r="J211" s="26"/>
      <c r="K211" s="26"/>
      <c r="Y211" s="26"/>
      <c r="Z211" s="26"/>
    </row>
    <row r="212" spans="9:26" ht="12.75" x14ac:dyDescent="0.2">
      <c r="I212" s="26"/>
      <c r="J212" s="26"/>
      <c r="K212" s="26"/>
      <c r="Y212" s="26"/>
      <c r="Z212" s="26"/>
    </row>
    <row r="213" spans="9:26" ht="12.75" x14ac:dyDescent="0.2">
      <c r="I213" s="26"/>
      <c r="J213" s="26"/>
      <c r="K213" s="26"/>
      <c r="Y213" s="26"/>
      <c r="Z213" s="26"/>
    </row>
    <row r="214" spans="9:26" ht="12.75" x14ac:dyDescent="0.2">
      <c r="I214" s="26"/>
      <c r="J214" s="26"/>
      <c r="K214" s="26"/>
      <c r="Y214" s="26"/>
      <c r="Z214" s="26"/>
    </row>
    <row r="215" spans="9:26" ht="12.75" x14ac:dyDescent="0.2">
      <c r="I215" s="26"/>
      <c r="J215" s="26"/>
      <c r="K215" s="26"/>
      <c r="Y215" s="26"/>
      <c r="Z215" s="26"/>
    </row>
    <row r="216" spans="9:26" ht="12.75" x14ac:dyDescent="0.2">
      <c r="I216" s="26"/>
      <c r="J216" s="26"/>
      <c r="K216" s="26"/>
      <c r="Y216" s="26"/>
      <c r="Z216" s="26"/>
    </row>
    <row r="217" spans="9:26" ht="12.75" x14ac:dyDescent="0.2">
      <c r="I217" s="26"/>
      <c r="J217" s="26"/>
      <c r="K217" s="26"/>
      <c r="Y217" s="26"/>
      <c r="Z217" s="26"/>
    </row>
    <row r="218" spans="9:26" ht="12.75" x14ac:dyDescent="0.2">
      <c r="I218" s="26"/>
      <c r="J218" s="26"/>
      <c r="K218" s="26"/>
      <c r="Y218" s="26"/>
      <c r="Z218" s="26"/>
    </row>
    <row r="219" spans="9:26" ht="12.75" x14ac:dyDescent="0.2">
      <c r="I219" s="26"/>
      <c r="J219" s="26"/>
      <c r="K219" s="26"/>
      <c r="Y219" s="26"/>
      <c r="Z219" s="26"/>
    </row>
    <row r="220" spans="9:26" ht="12.75" x14ac:dyDescent="0.2">
      <c r="I220" s="26"/>
      <c r="J220" s="26"/>
      <c r="K220" s="26"/>
      <c r="Y220" s="26"/>
      <c r="Z220" s="26"/>
    </row>
    <row r="221" spans="9:26" ht="12.75" x14ac:dyDescent="0.2">
      <c r="I221" s="26"/>
      <c r="J221" s="26"/>
      <c r="K221" s="26"/>
      <c r="Y221" s="26"/>
      <c r="Z221" s="26"/>
    </row>
    <row r="222" spans="9:26" ht="12.75" x14ac:dyDescent="0.2">
      <c r="I222" s="26"/>
      <c r="J222" s="26"/>
      <c r="K222" s="26"/>
      <c r="Y222" s="26"/>
      <c r="Z222" s="26"/>
    </row>
    <row r="223" spans="9:26" ht="12.75" x14ac:dyDescent="0.2">
      <c r="I223" s="26"/>
      <c r="J223" s="26"/>
      <c r="K223" s="26"/>
      <c r="Y223" s="26"/>
      <c r="Z223" s="26"/>
    </row>
    <row r="224" spans="9:26" ht="12.75" x14ac:dyDescent="0.2">
      <c r="I224" s="26"/>
      <c r="J224" s="26"/>
      <c r="K224" s="26"/>
      <c r="Y224" s="26"/>
      <c r="Z224" s="26"/>
    </row>
    <row r="225" spans="9:26" ht="12.75" x14ac:dyDescent="0.2">
      <c r="I225" s="26"/>
      <c r="J225" s="26"/>
      <c r="K225" s="26"/>
      <c r="Y225" s="26"/>
      <c r="Z225" s="26"/>
    </row>
    <row r="226" spans="9:26" ht="12.75" x14ac:dyDescent="0.2">
      <c r="I226" s="26"/>
      <c r="J226" s="26"/>
      <c r="K226" s="26"/>
      <c r="Y226" s="26"/>
      <c r="Z226" s="26"/>
    </row>
    <row r="227" spans="9:26" ht="12.75" x14ac:dyDescent="0.2">
      <c r="I227" s="26"/>
      <c r="J227" s="26"/>
      <c r="K227" s="26"/>
      <c r="Y227" s="26"/>
      <c r="Z227" s="26"/>
    </row>
    <row r="228" spans="9:26" ht="12.75" x14ac:dyDescent="0.2">
      <c r="I228" s="26"/>
      <c r="J228" s="26"/>
      <c r="K228" s="26"/>
      <c r="Y228" s="26"/>
      <c r="Z228" s="26"/>
    </row>
    <row r="229" spans="9:26" ht="12.75" x14ac:dyDescent="0.2">
      <c r="I229" s="26"/>
      <c r="J229" s="26"/>
      <c r="K229" s="26"/>
      <c r="Y229" s="26"/>
      <c r="Z229" s="26"/>
    </row>
    <row r="230" spans="9:26" ht="12.75" x14ac:dyDescent="0.2">
      <c r="I230" s="26"/>
      <c r="J230" s="26"/>
      <c r="K230" s="26"/>
      <c r="Y230" s="26"/>
      <c r="Z230" s="26"/>
    </row>
    <row r="231" spans="9:26" ht="12.75" x14ac:dyDescent="0.2">
      <c r="I231" s="26"/>
      <c r="J231" s="26"/>
      <c r="K231" s="26"/>
      <c r="Y231" s="26"/>
      <c r="Z231" s="26"/>
    </row>
    <row r="232" spans="9:26" ht="12.75" x14ac:dyDescent="0.2">
      <c r="I232" s="26"/>
      <c r="J232" s="26"/>
      <c r="K232" s="26"/>
      <c r="Y232" s="26"/>
      <c r="Z232" s="26"/>
    </row>
    <row r="233" spans="9:26" ht="12.75" x14ac:dyDescent="0.2">
      <c r="I233" s="26"/>
      <c r="J233" s="26"/>
      <c r="K233" s="26"/>
      <c r="Y233" s="26"/>
      <c r="Z233" s="26"/>
    </row>
    <row r="234" spans="9:26" ht="12.75" x14ac:dyDescent="0.2">
      <c r="I234" s="26"/>
      <c r="J234" s="26"/>
      <c r="K234" s="26"/>
      <c r="Y234" s="26"/>
      <c r="Z234" s="26"/>
    </row>
    <row r="235" spans="9:26" ht="12.75" x14ac:dyDescent="0.2">
      <c r="I235" s="26"/>
      <c r="J235" s="26"/>
      <c r="K235" s="26"/>
      <c r="Y235" s="26"/>
      <c r="Z235" s="26"/>
    </row>
    <row r="236" spans="9:26" ht="12.75" x14ac:dyDescent="0.2">
      <c r="I236" s="26"/>
      <c r="J236" s="26"/>
      <c r="K236" s="26"/>
      <c r="Y236" s="26"/>
      <c r="Z236" s="26"/>
    </row>
    <row r="237" spans="9:26" ht="12.75" x14ac:dyDescent="0.2">
      <c r="I237" s="26"/>
      <c r="J237" s="26"/>
      <c r="K237" s="26"/>
      <c r="Y237" s="26"/>
      <c r="Z237" s="26"/>
    </row>
    <row r="238" spans="9:26" ht="12.75" x14ac:dyDescent="0.2">
      <c r="I238" s="26"/>
      <c r="J238" s="26"/>
      <c r="K238" s="26"/>
      <c r="Y238" s="26"/>
      <c r="Z238" s="26"/>
    </row>
    <row r="239" spans="9:26" ht="12.75" x14ac:dyDescent="0.2">
      <c r="I239" s="26"/>
      <c r="J239" s="26"/>
      <c r="K239" s="26"/>
      <c r="Y239" s="26"/>
      <c r="Z239" s="26"/>
    </row>
    <row r="240" spans="9:26" ht="12.75" x14ac:dyDescent="0.2">
      <c r="I240" s="26"/>
      <c r="J240" s="26"/>
      <c r="K240" s="26"/>
      <c r="Y240" s="26"/>
      <c r="Z240" s="26"/>
    </row>
    <row r="241" spans="9:26" ht="12.75" x14ac:dyDescent="0.2">
      <c r="I241" s="26"/>
      <c r="J241" s="26"/>
      <c r="K241" s="26"/>
      <c r="Y241" s="26"/>
      <c r="Z241" s="26"/>
    </row>
    <row r="242" spans="9:26" ht="12.75" x14ac:dyDescent="0.2">
      <c r="I242" s="26"/>
      <c r="J242" s="26"/>
      <c r="K242" s="26"/>
      <c r="Y242" s="26"/>
      <c r="Z242" s="26"/>
    </row>
    <row r="243" spans="9:26" ht="12.75" x14ac:dyDescent="0.2">
      <c r="I243" s="26"/>
      <c r="J243" s="26"/>
      <c r="K243" s="26"/>
      <c r="Y243" s="26"/>
      <c r="Z243" s="26"/>
    </row>
    <row r="244" spans="9:26" ht="12.75" x14ac:dyDescent="0.2">
      <c r="I244" s="26"/>
      <c r="J244" s="26"/>
      <c r="K244" s="26"/>
      <c r="Y244" s="26"/>
      <c r="Z244" s="26"/>
    </row>
    <row r="245" spans="9:26" ht="12.75" x14ac:dyDescent="0.2">
      <c r="I245" s="26"/>
      <c r="J245" s="26"/>
      <c r="K245" s="26"/>
      <c r="Y245" s="26"/>
      <c r="Z245" s="26"/>
    </row>
    <row r="246" spans="9:26" ht="12.75" x14ac:dyDescent="0.2">
      <c r="I246" s="26"/>
      <c r="J246" s="26"/>
      <c r="K246" s="26"/>
      <c r="Y246" s="26"/>
      <c r="Z246" s="26"/>
    </row>
    <row r="247" spans="9:26" ht="12.75" x14ac:dyDescent="0.2">
      <c r="I247" s="26"/>
      <c r="J247" s="26"/>
      <c r="K247" s="26"/>
      <c r="Y247" s="26"/>
      <c r="Z247" s="26"/>
    </row>
    <row r="248" spans="9:26" ht="12.75" x14ac:dyDescent="0.2">
      <c r="I248" s="26"/>
      <c r="J248" s="26"/>
      <c r="K248" s="26"/>
      <c r="Y248" s="26"/>
      <c r="Z248" s="26"/>
    </row>
    <row r="249" spans="9:26" ht="12.75" x14ac:dyDescent="0.2">
      <c r="I249" s="26"/>
      <c r="J249" s="26"/>
      <c r="K249" s="26"/>
      <c r="Y249" s="26"/>
      <c r="Z249" s="26"/>
    </row>
    <row r="250" spans="9:26" ht="12.75" x14ac:dyDescent="0.2">
      <c r="I250" s="26"/>
      <c r="J250" s="26"/>
      <c r="K250" s="26"/>
      <c r="Y250" s="26"/>
      <c r="Z250" s="26"/>
    </row>
    <row r="251" spans="9:26" ht="12.75" x14ac:dyDescent="0.2">
      <c r="I251" s="26"/>
      <c r="J251" s="26"/>
      <c r="K251" s="26"/>
      <c r="Y251" s="26"/>
      <c r="Z251" s="26"/>
    </row>
    <row r="252" spans="9:26" ht="12.75" x14ac:dyDescent="0.2">
      <c r="I252" s="26"/>
      <c r="J252" s="26"/>
      <c r="K252" s="26"/>
      <c r="Y252" s="26"/>
      <c r="Z252" s="26"/>
    </row>
    <row r="253" spans="9:26" ht="12.75" x14ac:dyDescent="0.2">
      <c r="I253" s="26"/>
      <c r="J253" s="26"/>
      <c r="K253" s="26"/>
      <c r="Y253" s="26"/>
      <c r="Z253" s="26"/>
    </row>
    <row r="254" spans="9:26" ht="12.75" x14ac:dyDescent="0.2">
      <c r="I254" s="26"/>
      <c r="J254" s="26"/>
      <c r="K254" s="26"/>
      <c r="Y254" s="26"/>
      <c r="Z254" s="26"/>
    </row>
    <row r="255" spans="9:26" ht="12.75" x14ac:dyDescent="0.2">
      <c r="I255" s="26"/>
      <c r="J255" s="26"/>
      <c r="K255" s="26"/>
      <c r="Y255" s="26"/>
      <c r="Z255" s="26"/>
    </row>
    <row r="256" spans="9:26" ht="12.75" x14ac:dyDescent="0.2">
      <c r="I256" s="26"/>
      <c r="J256" s="26"/>
      <c r="K256" s="26"/>
      <c r="Y256" s="26"/>
      <c r="Z256" s="26"/>
    </row>
    <row r="257" spans="9:26" ht="12.75" x14ac:dyDescent="0.2">
      <c r="I257" s="26"/>
      <c r="J257" s="26"/>
      <c r="K257" s="26"/>
      <c r="Y257" s="26"/>
      <c r="Z257" s="26"/>
    </row>
    <row r="258" spans="9:26" ht="12.75" x14ac:dyDescent="0.2">
      <c r="I258" s="26"/>
      <c r="J258" s="26"/>
      <c r="K258" s="26"/>
      <c r="Y258" s="26"/>
      <c r="Z258" s="26"/>
    </row>
    <row r="259" spans="9:26" ht="12.75" x14ac:dyDescent="0.2">
      <c r="I259" s="26"/>
      <c r="J259" s="26"/>
      <c r="K259" s="26"/>
      <c r="Y259" s="26"/>
      <c r="Z259" s="26"/>
    </row>
    <row r="260" spans="9:26" ht="12.75" x14ac:dyDescent="0.2">
      <c r="I260" s="26"/>
      <c r="J260" s="26"/>
      <c r="K260" s="26"/>
      <c r="Y260" s="26"/>
      <c r="Z260" s="26"/>
    </row>
    <row r="261" spans="9:26" ht="12.75" x14ac:dyDescent="0.2">
      <c r="I261" s="26"/>
      <c r="J261" s="26"/>
      <c r="K261" s="26"/>
      <c r="Y261" s="26"/>
      <c r="Z261" s="26"/>
    </row>
    <row r="262" spans="9:26" ht="12.75" x14ac:dyDescent="0.2">
      <c r="I262" s="26"/>
      <c r="J262" s="26"/>
      <c r="K262" s="26"/>
      <c r="Y262" s="26"/>
      <c r="Z262" s="26"/>
    </row>
    <row r="263" spans="9:26" ht="12.75" x14ac:dyDescent="0.2">
      <c r="I263" s="26"/>
      <c r="J263" s="26"/>
      <c r="K263" s="26"/>
      <c r="Y263" s="26"/>
      <c r="Z263" s="26"/>
    </row>
    <row r="264" spans="9:26" ht="12.75" x14ac:dyDescent="0.2">
      <c r="I264" s="26"/>
      <c r="J264" s="26"/>
      <c r="K264" s="26"/>
      <c r="Y264" s="26"/>
      <c r="Z264" s="26"/>
    </row>
    <row r="265" spans="9:26" ht="12.75" x14ac:dyDescent="0.2">
      <c r="I265" s="26"/>
      <c r="J265" s="26"/>
      <c r="K265" s="26"/>
      <c r="Y265" s="26"/>
      <c r="Z265" s="26"/>
    </row>
    <row r="266" spans="9:26" ht="12.75" x14ac:dyDescent="0.2">
      <c r="I266" s="26"/>
      <c r="J266" s="26"/>
      <c r="K266" s="26"/>
      <c r="Y266" s="26"/>
      <c r="Z266" s="26"/>
    </row>
    <row r="267" spans="9:26" ht="12.75" x14ac:dyDescent="0.2">
      <c r="I267" s="26"/>
      <c r="J267" s="26"/>
      <c r="K267" s="26"/>
      <c r="Y267" s="26"/>
      <c r="Z267" s="26"/>
    </row>
    <row r="268" spans="9:26" ht="12.75" x14ac:dyDescent="0.2">
      <c r="I268" s="26"/>
      <c r="J268" s="26"/>
      <c r="K268" s="26"/>
      <c r="Y268" s="26"/>
      <c r="Z268" s="26"/>
    </row>
    <row r="269" spans="9:26" ht="12.75" x14ac:dyDescent="0.2">
      <c r="I269" s="26"/>
      <c r="J269" s="26"/>
      <c r="K269" s="26"/>
      <c r="Y269" s="26"/>
      <c r="Z269" s="26"/>
    </row>
    <row r="270" spans="9:26" ht="12.75" x14ac:dyDescent="0.2">
      <c r="I270" s="26"/>
      <c r="J270" s="26"/>
      <c r="K270" s="26"/>
      <c r="Y270" s="26"/>
      <c r="Z270" s="26"/>
    </row>
    <row r="271" spans="9:26" ht="12.75" x14ac:dyDescent="0.2">
      <c r="I271" s="26"/>
      <c r="J271" s="26"/>
      <c r="K271" s="26"/>
      <c r="Y271" s="26"/>
      <c r="Z271" s="26"/>
    </row>
    <row r="272" spans="9:26" ht="12.75" x14ac:dyDescent="0.2">
      <c r="I272" s="26"/>
      <c r="J272" s="26"/>
      <c r="K272" s="26"/>
      <c r="Y272" s="26"/>
      <c r="Z272" s="26"/>
    </row>
    <row r="273" spans="9:26" ht="12.75" x14ac:dyDescent="0.2">
      <c r="I273" s="26"/>
      <c r="J273" s="26"/>
      <c r="K273" s="26"/>
      <c r="Y273" s="26"/>
      <c r="Z273" s="26"/>
    </row>
    <row r="274" spans="9:26" ht="12.75" x14ac:dyDescent="0.2">
      <c r="I274" s="26"/>
      <c r="J274" s="26"/>
      <c r="K274" s="26"/>
      <c r="Y274" s="26"/>
      <c r="Z274" s="26"/>
    </row>
    <row r="275" spans="9:26" ht="12.75" x14ac:dyDescent="0.2">
      <c r="I275" s="26"/>
      <c r="J275" s="26"/>
      <c r="K275" s="26"/>
      <c r="Y275" s="26"/>
      <c r="Z275" s="26"/>
    </row>
    <row r="276" spans="9:26" ht="12.75" x14ac:dyDescent="0.2">
      <c r="I276" s="26"/>
      <c r="J276" s="26"/>
      <c r="K276" s="26"/>
      <c r="Y276" s="26"/>
      <c r="Z276" s="26"/>
    </row>
    <row r="277" spans="9:26" ht="12.75" x14ac:dyDescent="0.2">
      <c r="I277" s="26"/>
      <c r="J277" s="26"/>
      <c r="K277" s="26"/>
      <c r="Y277" s="26"/>
      <c r="Z277" s="26"/>
    </row>
    <row r="278" spans="9:26" ht="12.75" x14ac:dyDescent="0.2">
      <c r="I278" s="26"/>
      <c r="J278" s="26"/>
      <c r="K278" s="26"/>
      <c r="Y278" s="26"/>
      <c r="Z278" s="26"/>
    </row>
    <row r="279" spans="9:26" ht="12.75" x14ac:dyDescent="0.2">
      <c r="I279" s="26"/>
      <c r="J279" s="26"/>
      <c r="K279" s="26"/>
      <c r="Y279" s="26"/>
      <c r="Z279" s="26"/>
    </row>
    <row r="280" spans="9:26" ht="12.75" x14ac:dyDescent="0.2">
      <c r="I280" s="26"/>
      <c r="J280" s="26"/>
      <c r="K280" s="26"/>
      <c r="Y280" s="26"/>
      <c r="Z280" s="26"/>
    </row>
    <row r="281" spans="9:26" ht="12.75" x14ac:dyDescent="0.2">
      <c r="I281" s="26"/>
      <c r="J281" s="26"/>
      <c r="K281" s="26"/>
      <c r="Y281" s="26"/>
      <c r="Z281" s="26"/>
    </row>
    <row r="282" spans="9:26" ht="12.75" x14ac:dyDescent="0.2">
      <c r="I282" s="26"/>
      <c r="J282" s="26"/>
      <c r="K282" s="26"/>
      <c r="Y282" s="26"/>
      <c r="Z282" s="26"/>
    </row>
    <row r="283" spans="9:26" ht="12.75" x14ac:dyDescent="0.2">
      <c r="I283" s="26"/>
      <c r="J283" s="26"/>
      <c r="K283" s="26"/>
      <c r="Y283" s="26"/>
      <c r="Z283" s="26"/>
    </row>
    <row r="284" spans="9:26" ht="12.75" x14ac:dyDescent="0.2">
      <c r="I284" s="26"/>
      <c r="J284" s="26"/>
      <c r="K284" s="26"/>
      <c r="Y284" s="26"/>
      <c r="Z284" s="26"/>
    </row>
    <row r="285" spans="9:26" ht="12.75" x14ac:dyDescent="0.2">
      <c r="I285" s="26"/>
      <c r="J285" s="26"/>
      <c r="K285" s="26"/>
      <c r="Y285" s="26"/>
      <c r="Z285" s="26"/>
    </row>
    <row r="286" spans="9:26" ht="12.75" x14ac:dyDescent="0.2">
      <c r="I286" s="26"/>
      <c r="J286" s="26"/>
      <c r="K286" s="26"/>
      <c r="Y286" s="26"/>
      <c r="Z286" s="26"/>
    </row>
    <row r="287" spans="9:26" ht="12.75" x14ac:dyDescent="0.2">
      <c r="I287" s="26"/>
      <c r="J287" s="26"/>
      <c r="K287" s="26"/>
      <c r="Y287" s="26"/>
      <c r="Z287" s="26"/>
    </row>
    <row r="288" spans="9:26" ht="12.75" x14ac:dyDescent="0.2">
      <c r="I288" s="26"/>
      <c r="J288" s="26"/>
      <c r="K288" s="26"/>
      <c r="Y288" s="26"/>
      <c r="Z288" s="26"/>
    </row>
    <row r="289" spans="9:26" ht="12.75" x14ac:dyDescent="0.2">
      <c r="I289" s="26"/>
      <c r="J289" s="26"/>
      <c r="K289" s="26"/>
      <c r="Y289" s="26"/>
      <c r="Z289" s="26"/>
    </row>
    <row r="290" spans="9:26" ht="12.75" x14ac:dyDescent="0.2">
      <c r="I290" s="26"/>
      <c r="J290" s="26"/>
      <c r="K290" s="26"/>
      <c r="Y290" s="26"/>
      <c r="Z290" s="26"/>
    </row>
    <row r="291" spans="9:26" ht="12.75" x14ac:dyDescent="0.2">
      <c r="I291" s="26"/>
      <c r="J291" s="26"/>
      <c r="K291" s="26"/>
      <c r="Y291" s="26"/>
      <c r="Z291" s="26"/>
    </row>
    <row r="292" spans="9:26" ht="12.75" x14ac:dyDescent="0.2">
      <c r="I292" s="26"/>
      <c r="J292" s="26"/>
      <c r="K292" s="26"/>
      <c r="Y292" s="26"/>
      <c r="Z292" s="26"/>
    </row>
    <row r="293" spans="9:26" ht="12.75" x14ac:dyDescent="0.2">
      <c r="I293" s="26"/>
      <c r="J293" s="26"/>
      <c r="K293" s="26"/>
      <c r="Y293" s="26"/>
      <c r="Z293" s="26"/>
    </row>
    <row r="294" spans="9:26" ht="12.75" x14ac:dyDescent="0.2">
      <c r="I294" s="26"/>
      <c r="J294" s="26"/>
      <c r="K294" s="26"/>
      <c r="Y294" s="26"/>
      <c r="Z294" s="26"/>
    </row>
    <row r="295" spans="9:26" ht="12.75" x14ac:dyDescent="0.2">
      <c r="I295" s="26"/>
      <c r="J295" s="26"/>
      <c r="K295" s="26"/>
      <c r="Y295" s="26"/>
      <c r="Z295" s="26"/>
    </row>
    <row r="296" spans="9:26" ht="12.75" x14ac:dyDescent="0.2">
      <c r="I296" s="26"/>
      <c r="J296" s="26"/>
      <c r="K296" s="26"/>
      <c r="Y296" s="26"/>
      <c r="Z296" s="26"/>
    </row>
    <row r="297" spans="9:26" ht="12.75" x14ac:dyDescent="0.2">
      <c r="I297" s="26"/>
      <c r="J297" s="26"/>
      <c r="K297" s="26"/>
      <c r="Y297" s="26"/>
      <c r="Z297" s="26"/>
    </row>
    <row r="298" spans="9:26" ht="12.75" x14ac:dyDescent="0.2">
      <c r="I298" s="26"/>
      <c r="J298" s="26"/>
      <c r="K298" s="26"/>
      <c r="Y298" s="26"/>
      <c r="Z298" s="26"/>
    </row>
    <row r="299" spans="9:26" ht="12.75" x14ac:dyDescent="0.2">
      <c r="I299" s="26"/>
      <c r="J299" s="26"/>
      <c r="K299" s="26"/>
      <c r="Y299" s="26"/>
      <c r="Z299" s="26"/>
    </row>
    <row r="300" spans="9:26" ht="12.75" x14ac:dyDescent="0.2">
      <c r="I300" s="26"/>
      <c r="J300" s="26"/>
      <c r="K300" s="26"/>
      <c r="Y300" s="26"/>
      <c r="Z300" s="26"/>
    </row>
    <row r="301" spans="9:26" ht="12.75" x14ac:dyDescent="0.2">
      <c r="I301" s="26"/>
      <c r="J301" s="26"/>
      <c r="K301" s="26"/>
      <c r="Y301" s="26"/>
      <c r="Z301" s="26"/>
    </row>
    <row r="302" spans="9:26" ht="12.75" x14ac:dyDescent="0.2">
      <c r="I302" s="26"/>
      <c r="J302" s="26"/>
      <c r="K302" s="26"/>
      <c r="Y302" s="26"/>
      <c r="Z302" s="26"/>
    </row>
    <row r="303" spans="9:26" ht="12.75" x14ac:dyDescent="0.2">
      <c r="I303" s="26"/>
      <c r="J303" s="26"/>
      <c r="K303" s="26"/>
      <c r="Y303" s="26"/>
      <c r="Z303" s="26"/>
    </row>
    <row r="304" spans="9:26" ht="12.75" x14ac:dyDescent="0.2">
      <c r="I304" s="26"/>
      <c r="J304" s="26"/>
      <c r="K304" s="26"/>
      <c r="Y304" s="26"/>
      <c r="Z304" s="26"/>
    </row>
    <row r="305" spans="9:26" ht="12.75" x14ac:dyDescent="0.2">
      <c r="I305" s="26"/>
      <c r="J305" s="26"/>
      <c r="K305" s="26"/>
      <c r="Y305" s="26"/>
      <c r="Z305" s="26"/>
    </row>
    <row r="306" spans="9:26" ht="12.75" x14ac:dyDescent="0.2">
      <c r="I306" s="26"/>
      <c r="J306" s="26"/>
      <c r="K306" s="26"/>
      <c r="Y306" s="26"/>
      <c r="Z306" s="26"/>
    </row>
    <row r="307" spans="9:26" ht="12.75" x14ac:dyDescent="0.2">
      <c r="I307" s="26"/>
      <c r="J307" s="26"/>
      <c r="K307" s="26"/>
      <c r="Y307" s="26"/>
      <c r="Z307" s="26"/>
    </row>
    <row r="308" spans="9:26" ht="12.75" x14ac:dyDescent="0.2">
      <c r="I308" s="26"/>
      <c r="J308" s="26"/>
      <c r="K308" s="26"/>
      <c r="Y308" s="26"/>
      <c r="Z308" s="26"/>
    </row>
    <row r="309" spans="9:26" ht="12.75" x14ac:dyDescent="0.2">
      <c r="I309" s="26"/>
      <c r="J309" s="26"/>
      <c r="K309" s="26"/>
      <c r="Y309" s="26"/>
      <c r="Z309" s="26"/>
    </row>
    <row r="310" spans="9:26" ht="12.75" x14ac:dyDescent="0.2">
      <c r="I310" s="26"/>
      <c r="J310" s="26"/>
      <c r="K310" s="26"/>
      <c r="Y310" s="26"/>
      <c r="Z310" s="26"/>
    </row>
    <row r="311" spans="9:26" ht="12.75" x14ac:dyDescent="0.2">
      <c r="I311" s="26"/>
      <c r="J311" s="26"/>
      <c r="K311" s="26"/>
      <c r="Y311" s="26"/>
      <c r="Z311" s="26"/>
    </row>
    <row r="312" spans="9:26" ht="12.75" x14ac:dyDescent="0.2">
      <c r="I312" s="26"/>
      <c r="J312" s="26"/>
      <c r="K312" s="26"/>
      <c r="Y312" s="26"/>
      <c r="Z312" s="26"/>
    </row>
    <row r="313" spans="9:26" ht="12.75" x14ac:dyDescent="0.2">
      <c r="I313" s="26"/>
      <c r="J313" s="26"/>
      <c r="K313" s="26"/>
      <c r="Y313" s="26"/>
      <c r="Z313" s="26"/>
    </row>
    <row r="314" spans="9:26" ht="12.75" x14ac:dyDescent="0.2">
      <c r="I314" s="26"/>
      <c r="J314" s="26"/>
      <c r="K314" s="26"/>
      <c r="Y314" s="26"/>
      <c r="Z314" s="26"/>
    </row>
    <row r="315" spans="9:26" ht="12.75" x14ac:dyDescent="0.2">
      <c r="I315" s="26"/>
      <c r="J315" s="26"/>
      <c r="K315" s="26"/>
      <c r="Y315" s="26"/>
      <c r="Z315" s="26"/>
    </row>
    <row r="316" spans="9:26" ht="12.75" x14ac:dyDescent="0.2">
      <c r="I316" s="26"/>
      <c r="J316" s="26"/>
      <c r="K316" s="26"/>
      <c r="Y316" s="26"/>
      <c r="Z316" s="26"/>
    </row>
    <row r="317" spans="9:26" ht="12.75" x14ac:dyDescent="0.2">
      <c r="I317" s="26"/>
      <c r="J317" s="26"/>
      <c r="K317" s="26"/>
      <c r="Y317" s="26"/>
      <c r="Z317" s="26"/>
    </row>
    <row r="318" spans="9:26" ht="12.75" x14ac:dyDescent="0.2">
      <c r="I318" s="26"/>
      <c r="J318" s="26"/>
      <c r="K318" s="26"/>
      <c r="Y318" s="26"/>
      <c r="Z318" s="26"/>
    </row>
    <row r="319" spans="9:26" ht="12.75" x14ac:dyDescent="0.2">
      <c r="I319" s="26"/>
      <c r="J319" s="26"/>
      <c r="K319" s="26"/>
      <c r="Y319" s="26"/>
      <c r="Z319" s="26"/>
    </row>
    <row r="320" spans="9:26" ht="12.75" x14ac:dyDescent="0.2">
      <c r="I320" s="26"/>
      <c r="J320" s="26"/>
      <c r="K320" s="26"/>
      <c r="Y320" s="26"/>
      <c r="Z320" s="26"/>
    </row>
    <row r="321" spans="9:26" ht="12.75" x14ac:dyDescent="0.2">
      <c r="I321" s="26"/>
      <c r="J321" s="26"/>
      <c r="K321" s="26"/>
      <c r="Y321" s="26"/>
      <c r="Z321" s="26"/>
    </row>
    <row r="322" spans="9:26" ht="12.75" x14ac:dyDescent="0.2">
      <c r="I322" s="26"/>
      <c r="J322" s="26"/>
      <c r="K322" s="26"/>
      <c r="Y322" s="26"/>
      <c r="Z322" s="26"/>
    </row>
    <row r="323" spans="9:26" ht="12.75" x14ac:dyDescent="0.2">
      <c r="I323" s="26"/>
      <c r="J323" s="26"/>
      <c r="K323" s="26"/>
      <c r="Y323" s="26"/>
      <c r="Z323" s="26"/>
    </row>
    <row r="324" spans="9:26" ht="12.75" x14ac:dyDescent="0.2">
      <c r="I324" s="26"/>
      <c r="J324" s="26"/>
      <c r="K324" s="26"/>
      <c r="Y324" s="26"/>
      <c r="Z324" s="26"/>
    </row>
    <row r="325" spans="9:26" ht="12.75" x14ac:dyDescent="0.2">
      <c r="I325" s="26"/>
      <c r="J325" s="26"/>
      <c r="K325" s="26"/>
      <c r="Y325" s="26"/>
      <c r="Z325" s="26"/>
    </row>
    <row r="326" spans="9:26" ht="12.75" x14ac:dyDescent="0.2">
      <c r="I326" s="26"/>
      <c r="J326" s="26"/>
      <c r="K326" s="26"/>
      <c r="Y326" s="26"/>
      <c r="Z326" s="26"/>
    </row>
    <row r="327" spans="9:26" ht="12.75" x14ac:dyDescent="0.2">
      <c r="I327" s="26"/>
      <c r="J327" s="26"/>
      <c r="K327" s="26"/>
      <c r="Y327" s="26"/>
      <c r="Z327" s="26"/>
    </row>
    <row r="328" spans="9:26" ht="12.75" x14ac:dyDescent="0.2">
      <c r="I328" s="26"/>
      <c r="J328" s="26"/>
      <c r="K328" s="26"/>
      <c r="Y328" s="26"/>
      <c r="Z328" s="26"/>
    </row>
    <row r="329" spans="9:26" ht="12.75" x14ac:dyDescent="0.2">
      <c r="I329" s="26"/>
      <c r="J329" s="26"/>
      <c r="K329" s="26"/>
      <c r="Y329" s="26"/>
      <c r="Z329" s="26"/>
    </row>
    <row r="330" spans="9:26" ht="12.75" x14ac:dyDescent="0.2">
      <c r="I330" s="26"/>
      <c r="J330" s="26"/>
      <c r="K330" s="26"/>
      <c r="Y330" s="26"/>
      <c r="Z330" s="26"/>
    </row>
    <row r="331" spans="9:26" ht="12.75" x14ac:dyDescent="0.2">
      <c r="I331" s="26"/>
      <c r="J331" s="26"/>
      <c r="K331" s="26"/>
      <c r="Y331" s="26"/>
      <c r="Z331" s="26"/>
    </row>
    <row r="332" spans="9:26" ht="12.75" x14ac:dyDescent="0.2">
      <c r="I332" s="26"/>
      <c r="J332" s="26"/>
      <c r="K332" s="26"/>
      <c r="Y332" s="26"/>
      <c r="Z332" s="26"/>
    </row>
    <row r="333" spans="9:26" ht="12.75" x14ac:dyDescent="0.2">
      <c r="I333" s="26"/>
      <c r="J333" s="26"/>
      <c r="K333" s="26"/>
      <c r="Y333" s="26"/>
      <c r="Z333" s="26"/>
    </row>
    <row r="334" spans="9:26" ht="12.75" x14ac:dyDescent="0.2">
      <c r="I334" s="26"/>
      <c r="J334" s="26"/>
      <c r="K334" s="26"/>
      <c r="Y334" s="26"/>
      <c r="Z334" s="26"/>
    </row>
    <row r="335" spans="9:26" ht="12.75" x14ac:dyDescent="0.2">
      <c r="I335" s="26"/>
      <c r="J335" s="26"/>
      <c r="K335" s="26"/>
      <c r="Y335" s="26"/>
      <c r="Z335" s="26"/>
    </row>
    <row r="336" spans="9:26" ht="12.75" x14ac:dyDescent="0.2">
      <c r="I336" s="26"/>
      <c r="J336" s="26"/>
      <c r="K336" s="26"/>
      <c r="Y336" s="26"/>
      <c r="Z336" s="26"/>
    </row>
    <row r="337" spans="9:26" ht="12.75" x14ac:dyDescent="0.2">
      <c r="I337" s="26"/>
      <c r="J337" s="26"/>
      <c r="K337" s="26"/>
      <c r="Y337" s="26"/>
      <c r="Z337" s="26"/>
    </row>
    <row r="338" spans="9:26" ht="12.75" x14ac:dyDescent="0.2">
      <c r="I338" s="26"/>
      <c r="J338" s="26"/>
      <c r="K338" s="26"/>
      <c r="Y338" s="26"/>
      <c r="Z338" s="26"/>
    </row>
    <row r="339" spans="9:26" ht="12.75" x14ac:dyDescent="0.2">
      <c r="I339" s="26"/>
      <c r="J339" s="26"/>
      <c r="K339" s="26"/>
      <c r="Y339" s="26"/>
      <c r="Z339" s="26"/>
    </row>
    <row r="340" spans="9:26" ht="12.75" x14ac:dyDescent="0.2">
      <c r="I340" s="26"/>
      <c r="J340" s="26"/>
      <c r="K340" s="26"/>
      <c r="Y340" s="26"/>
      <c r="Z340" s="26"/>
    </row>
    <row r="341" spans="9:26" ht="12.75" x14ac:dyDescent="0.2">
      <c r="I341" s="26"/>
      <c r="J341" s="26"/>
      <c r="K341" s="26"/>
      <c r="Y341" s="26"/>
      <c r="Z341" s="26"/>
    </row>
    <row r="342" spans="9:26" ht="12.75" x14ac:dyDescent="0.2">
      <c r="I342" s="26"/>
      <c r="J342" s="26"/>
      <c r="K342" s="26"/>
      <c r="Y342" s="26"/>
      <c r="Z342" s="26"/>
    </row>
    <row r="343" spans="9:26" ht="12.75" x14ac:dyDescent="0.2">
      <c r="I343" s="26"/>
      <c r="J343" s="26"/>
      <c r="K343" s="26"/>
      <c r="Y343" s="26"/>
      <c r="Z343" s="26"/>
    </row>
    <row r="344" spans="9:26" ht="12.75" x14ac:dyDescent="0.2">
      <c r="I344" s="26"/>
      <c r="J344" s="26"/>
      <c r="K344" s="26"/>
      <c r="Y344" s="26"/>
      <c r="Z344" s="26"/>
    </row>
    <row r="345" spans="9:26" ht="12.75" x14ac:dyDescent="0.2">
      <c r="I345" s="26"/>
      <c r="J345" s="26"/>
      <c r="K345" s="26"/>
      <c r="Y345" s="26"/>
      <c r="Z345" s="26"/>
    </row>
    <row r="346" spans="9:26" ht="12.75" x14ac:dyDescent="0.2">
      <c r="I346" s="26"/>
      <c r="J346" s="26"/>
      <c r="K346" s="26"/>
      <c r="Y346" s="26"/>
      <c r="Z346" s="26"/>
    </row>
    <row r="347" spans="9:26" ht="12.75" x14ac:dyDescent="0.2">
      <c r="I347" s="26"/>
      <c r="J347" s="26"/>
      <c r="K347" s="26"/>
      <c r="Y347" s="26"/>
      <c r="Z347" s="26"/>
    </row>
    <row r="348" spans="9:26" ht="12.75" x14ac:dyDescent="0.2">
      <c r="I348" s="26"/>
      <c r="J348" s="26"/>
      <c r="K348" s="26"/>
      <c r="Y348" s="26"/>
      <c r="Z348" s="26"/>
    </row>
    <row r="349" spans="9:26" ht="12.75" x14ac:dyDescent="0.2">
      <c r="I349" s="26"/>
      <c r="J349" s="26"/>
      <c r="K349" s="26"/>
      <c r="Y349" s="26"/>
      <c r="Z349" s="26"/>
    </row>
    <row r="350" spans="9:26" ht="12.75" x14ac:dyDescent="0.2">
      <c r="I350" s="26"/>
      <c r="J350" s="26"/>
      <c r="K350" s="26"/>
      <c r="Y350" s="26"/>
      <c r="Z350" s="26"/>
    </row>
    <row r="351" spans="9:26" ht="12.75" x14ac:dyDescent="0.2">
      <c r="I351" s="26"/>
      <c r="J351" s="26"/>
      <c r="K351" s="26"/>
      <c r="Y351" s="26"/>
      <c r="Z351" s="26"/>
    </row>
    <row r="352" spans="9:26" ht="12.75" x14ac:dyDescent="0.2">
      <c r="I352" s="26"/>
      <c r="J352" s="26"/>
      <c r="K352" s="26"/>
      <c r="Y352" s="26"/>
      <c r="Z352" s="26"/>
    </row>
    <row r="353" spans="9:26" ht="12.75" x14ac:dyDescent="0.2">
      <c r="I353" s="26"/>
      <c r="J353" s="26"/>
      <c r="K353" s="26"/>
      <c r="Y353" s="26"/>
      <c r="Z353" s="26"/>
    </row>
    <row r="354" spans="9:26" ht="12.75" x14ac:dyDescent="0.2">
      <c r="I354" s="26"/>
      <c r="J354" s="26"/>
      <c r="K354" s="26"/>
      <c r="Y354" s="26"/>
      <c r="Z354" s="26"/>
    </row>
    <row r="355" spans="9:26" ht="12.75" x14ac:dyDescent="0.2">
      <c r="I355" s="26"/>
      <c r="J355" s="26"/>
      <c r="K355" s="26"/>
      <c r="Y355" s="26"/>
      <c r="Z355" s="26"/>
    </row>
    <row r="356" spans="9:26" ht="12.75" x14ac:dyDescent="0.2">
      <c r="I356" s="26"/>
      <c r="J356" s="26"/>
      <c r="K356" s="26"/>
      <c r="Y356" s="26"/>
      <c r="Z356" s="26"/>
    </row>
    <row r="357" spans="9:26" ht="12.75" x14ac:dyDescent="0.2">
      <c r="I357" s="26"/>
      <c r="J357" s="26"/>
      <c r="K357" s="26"/>
      <c r="Y357" s="26"/>
      <c r="Z357" s="26"/>
    </row>
    <row r="358" spans="9:26" ht="12.75" x14ac:dyDescent="0.2">
      <c r="I358" s="26"/>
      <c r="J358" s="26"/>
      <c r="K358" s="26"/>
      <c r="Y358" s="26"/>
      <c r="Z358" s="26"/>
    </row>
    <row r="359" spans="9:26" ht="12.75" x14ac:dyDescent="0.2">
      <c r="I359" s="26"/>
      <c r="J359" s="26"/>
      <c r="K359" s="26"/>
      <c r="Y359" s="26"/>
      <c r="Z359" s="26"/>
    </row>
    <row r="360" spans="9:26" ht="12.75" x14ac:dyDescent="0.2">
      <c r="I360" s="26"/>
      <c r="J360" s="26"/>
      <c r="K360" s="26"/>
      <c r="Y360" s="26"/>
      <c r="Z360" s="26"/>
    </row>
    <row r="361" spans="9:26" ht="12.75" x14ac:dyDescent="0.2">
      <c r="I361" s="26"/>
      <c r="J361" s="26"/>
      <c r="K361" s="26"/>
      <c r="Y361" s="26"/>
      <c r="Z361" s="26"/>
    </row>
    <row r="362" spans="9:26" ht="12.75" x14ac:dyDescent="0.2">
      <c r="I362" s="26"/>
      <c r="J362" s="26"/>
      <c r="K362" s="26"/>
      <c r="Y362" s="26"/>
      <c r="Z362" s="26"/>
    </row>
    <row r="363" spans="9:26" ht="12.75" x14ac:dyDescent="0.2">
      <c r="I363" s="26"/>
      <c r="J363" s="26"/>
      <c r="K363" s="26"/>
      <c r="Y363" s="26"/>
      <c r="Z363" s="26"/>
    </row>
    <row r="364" spans="9:26" ht="12.75" x14ac:dyDescent="0.2">
      <c r="I364" s="26"/>
      <c r="J364" s="26"/>
      <c r="K364" s="26"/>
      <c r="Y364" s="26"/>
      <c r="Z364" s="26"/>
    </row>
    <row r="365" spans="9:26" ht="12.75" x14ac:dyDescent="0.2">
      <c r="I365" s="26"/>
      <c r="J365" s="26"/>
      <c r="K365" s="26"/>
      <c r="Y365" s="26"/>
      <c r="Z365" s="26"/>
    </row>
    <row r="366" spans="9:26" ht="12.75" x14ac:dyDescent="0.2">
      <c r="I366" s="26"/>
      <c r="J366" s="26"/>
      <c r="K366" s="26"/>
      <c r="Y366" s="26"/>
      <c r="Z366" s="26"/>
    </row>
    <row r="367" spans="9:26" ht="12.75" x14ac:dyDescent="0.2">
      <c r="I367" s="26"/>
      <c r="J367" s="26"/>
      <c r="K367" s="26"/>
      <c r="Y367" s="26"/>
      <c r="Z367" s="26"/>
    </row>
    <row r="368" spans="9:26" ht="12.75" x14ac:dyDescent="0.2">
      <c r="I368" s="26"/>
      <c r="J368" s="26"/>
      <c r="K368" s="26"/>
      <c r="Y368" s="26"/>
      <c r="Z368" s="26"/>
    </row>
    <row r="369" spans="9:26" ht="12.75" x14ac:dyDescent="0.2">
      <c r="I369" s="26"/>
      <c r="J369" s="26"/>
      <c r="K369" s="26"/>
      <c r="Y369" s="26"/>
      <c r="Z369" s="26"/>
    </row>
    <row r="370" spans="9:26" ht="12.75" x14ac:dyDescent="0.2">
      <c r="I370" s="26"/>
      <c r="J370" s="26"/>
      <c r="K370" s="26"/>
      <c r="Y370" s="26"/>
      <c r="Z370" s="26"/>
    </row>
    <row r="371" spans="9:26" ht="12.75" x14ac:dyDescent="0.2">
      <c r="I371" s="26"/>
      <c r="J371" s="26"/>
      <c r="K371" s="26"/>
      <c r="Y371" s="26"/>
      <c r="Z371" s="26"/>
    </row>
    <row r="372" spans="9:26" ht="12.75" x14ac:dyDescent="0.2">
      <c r="I372" s="26"/>
      <c r="J372" s="26"/>
      <c r="K372" s="26"/>
      <c r="Y372" s="26"/>
      <c r="Z372" s="26"/>
    </row>
    <row r="373" spans="9:26" ht="12.75" x14ac:dyDescent="0.2">
      <c r="I373" s="26"/>
      <c r="J373" s="26"/>
      <c r="K373" s="26"/>
      <c r="Y373" s="26"/>
      <c r="Z373" s="26"/>
    </row>
    <row r="374" spans="9:26" ht="12.75" x14ac:dyDescent="0.2">
      <c r="I374" s="26"/>
      <c r="J374" s="26"/>
      <c r="K374" s="26"/>
      <c r="Y374" s="26"/>
      <c r="Z374" s="26"/>
    </row>
    <row r="375" spans="9:26" ht="12.75" x14ac:dyDescent="0.2">
      <c r="I375" s="26"/>
      <c r="J375" s="26"/>
      <c r="K375" s="26"/>
      <c r="Y375" s="26"/>
      <c r="Z375" s="26"/>
    </row>
    <row r="376" spans="9:26" ht="12.75" x14ac:dyDescent="0.2">
      <c r="I376" s="26"/>
      <c r="J376" s="26"/>
      <c r="K376" s="26"/>
      <c r="Y376" s="26"/>
      <c r="Z376" s="26"/>
    </row>
    <row r="377" spans="9:26" ht="12.75" x14ac:dyDescent="0.2">
      <c r="I377" s="26"/>
      <c r="J377" s="26"/>
      <c r="K377" s="26"/>
      <c r="Y377" s="26"/>
      <c r="Z377" s="26"/>
    </row>
    <row r="378" spans="9:26" ht="12.75" x14ac:dyDescent="0.2">
      <c r="I378" s="26"/>
      <c r="J378" s="26"/>
      <c r="K378" s="26"/>
      <c r="Y378" s="26"/>
      <c r="Z378" s="26"/>
    </row>
    <row r="379" spans="9:26" ht="12.75" x14ac:dyDescent="0.2">
      <c r="I379" s="26"/>
      <c r="J379" s="26"/>
      <c r="K379" s="26"/>
      <c r="Y379" s="26"/>
      <c r="Z379" s="26"/>
    </row>
    <row r="380" spans="9:26" ht="12.75" x14ac:dyDescent="0.2">
      <c r="I380" s="26"/>
      <c r="J380" s="26"/>
      <c r="K380" s="26"/>
      <c r="Y380" s="26"/>
      <c r="Z380" s="26"/>
    </row>
    <row r="381" spans="9:26" ht="12.75" x14ac:dyDescent="0.2">
      <c r="I381" s="26"/>
      <c r="J381" s="26"/>
      <c r="K381" s="26"/>
      <c r="Y381" s="26"/>
      <c r="Z381" s="26"/>
    </row>
    <row r="382" spans="9:26" ht="12.75" x14ac:dyDescent="0.2">
      <c r="I382" s="26"/>
      <c r="J382" s="26"/>
      <c r="K382" s="26"/>
      <c r="Y382" s="26"/>
      <c r="Z382" s="26"/>
    </row>
    <row r="383" spans="9:26" ht="12.75" x14ac:dyDescent="0.2">
      <c r="I383" s="26"/>
      <c r="J383" s="26"/>
      <c r="K383" s="26"/>
      <c r="Y383" s="26"/>
      <c r="Z383" s="26"/>
    </row>
    <row r="384" spans="9:26" ht="12.75" x14ac:dyDescent="0.2">
      <c r="I384" s="26"/>
      <c r="J384" s="26"/>
      <c r="K384" s="26"/>
      <c r="Y384" s="26"/>
      <c r="Z384" s="26"/>
    </row>
    <row r="385" spans="9:26" ht="12.75" x14ac:dyDescent="0.2">
      <c r="I385" s="26"/>
      <c r="J385" s="26"/>
      <c r="K385" s="26"/>
      <c r="Y385" s="26"/>
      <c r="Z385" s="26"/>
    </row>
    <row r="386" spans="9:26" ht="12.75" x14ac:dyDescent="0.2">
      <c r="I386" s="26"/>
      <c r="J386" s="26"/>
      <c r="K386" s="26"/>
      <c r="Y386" s="26"/>
      <c r="Z386" s="26"/>
    </row>
    <row r="387" spans="9:26" ht="12.75" x14ac:dyDescent="0.2">
      <c r="I387" s="26"/>
      <c r="J387" s="26"/>
      <c r="K387" s="26"/>
      <c r="Y387" s="26"/>
      <c r="Z387" s="26"/>
    </row>
    <row r="388" spans="9:26" ht="12.75" x14ac:dyDescent="0.2">
      <c r="I388" s="26"/>
      <c r="J388" s="26"/>
      <c r="K388" s="26"/>
      <c r="Y388" s="26"/>
      <c r="Z388" s="26"/>
    </row>
    <row r="389" spans="9:26" ht="12.75" x14ac:dyDescent="0.2">
      <c r="I389" s="26"/>
      <c r="J389" s="26"/>
      <c r="K389" s="26"/>
      <c r="Y389" s="26"/>
      <c r="Z389" s="26"/>
    </row>
    <row r="390" spans="9:26" ht="12.75" x14ac:dyDescent="0.2">
      <c r="I390" s="26"/>
      <c r="J390" s="26"/>
      <c r="K390" s="26"/>
      <c r="Y390" s="26"/>
      <c r="Z390" s="26"/>
    </row>
    <row r="391" spans="9:26" ht="12.75" x14ac:dyDescent="0.2">
      <c r="I391" s="26"/>
      <c r="J391" s="26"/>
      <c r="K391" s="26"/>
      <c r="Y391" s="26"/>
      <c r="Z391" s="26"/>
    </row>
    <row r="392" spans="9:26" ht="12.75" x14ac:dyDescent="0.2">
      <c r="I392" s="26"/>
      <c r="J392" s="26"/>
      <c r="K392" s="26"/>
      <c r="Y392" s="26"/>
      <c r="Z392" s="26"/>
    </row>
    <row r="393" spans="9:26" ht="12.75" x14ac:dyDescent="0.2">
      <c r="I393" s="26"/>
      <c r="J393" s="26"/>
      <c r="K393" s="26"/>
      <c r="Y393" s="26"/>
      <c r="Z393" s="26"/>
    </row>
    <row r="394" spans="9:26" ht="12.75" x14ac:dyDescent="0.2">
      <c r="I394" s="26"/>
      <c r="J394" s="26"/>
      <c r="K394" s="26"/>
      <c r="Y394" s="26"/>
      <c r="Z394" s="26"/>
    </row>
    <row r="395" spans="9:26" ht="12.75" x14ac:dyDescent="0.2">
      <c r="I395" s="26"/>
      <c r="J395" s="26"/>
      <c r="K395" s="26"/>
      <c r="Y395" s="26"/>
      <c r="Z395" s="26"/>
    </row>
    <row r="396" spans="9:26" ht="12.75" x14ac:dyDescent="0.2">
      <c r="I396" s="26"/>
      <c r="J396" s="26"/>
      <c r="K396" s="26"/>
      <c r="Y396" s="26"/>
      <c r="Z396" s="26"/>
    </row>
    <row r="397" spans="9:26" ht="12.75" x14ac:dyDescent="0.2">
      <c r="I397" s="26"/>
      <c r="J397" s="26"/>
      <c r="K397" s="26"/>
      <c r="Y397" s="26"/>
      <c r="Z397" s="26"/>
    </row>
    <row r="398" spans="9:26" ht="12.75" x14ac:dyDescent="0.2">
      <c r="I398" s="26"/>
      <c r="J398" s="26"/>
      <c r="K398" s="26"/>
      <c r="Y398" s="26"/>
      <c r="Z398" s="26"/>
    </row>
    <row r="399" spans="9:26" ht="12.75" x14ac:dyDescent="0.2">
      <c r="I399" s="26"/>
      <c r="J399" s="26"/>
      <c r="K399" s="26"/>
      <c r="Y399" s="26"/>
      <c r="Z399" s="26"/>
    </row>
    <row r="400" spans="9:26" ht="12.75" x14ac:dyDescent="0.2">
      <c r="I400" s="26"/>
      <c r="J400" s="26"/>
      <c r="K400" s="26"/>
      <c r="Y400" s="26"/>
      <c r="Z400" s="26"/>
    </row>
    <row r="401" spans="9:26" ht="12.75" x14ac:dyDescent="0.2">
      <c r="I401" s="26"/>
      <c r="J401" s="26"/>
      <c r="K401" s="26"/>
      <c r="Y401" s="26"/>
      <c r="Z401" s="26"/>
    </row>
    <row r="402" spans="9:26" ht="12.75" x14ac:dyDescent="0.2">
      <c r="I402" s="26"/>
      <c r="J402" s="26"/>
      <c r="K402" s="26"/>
      <c r="Y402" s="26"/>
      <c r="Z402" s="26"/>
    </row>
    <row r="403" spans="9:26" ht="12.75" x14ac:dyDescent="0.2">
      <c r="I403" s="26"/>
      <c r="J403" s="26"/>
      <c r="K403" s="26"/>
      <c r="Y403" s="26"/>
      <c r="Z403" s="26"/>
    </row>
    <row r="404" spans="9:26" ht="12.75" x14ac:dyDescent="0.2">
      <c r="I404" s="26"/>
      <c r="J404" s="26"/>
      <c r="K404" s="26"/>
      <c r="Y404" s="26"/>
      <c r="Z404" s="26"/>
    </row>
    <row r="405" spans="9:26" ht="12.75" x14ac:dyDescent="0.2">
      <c r="I405" s="26"/>
      <c r="J405" s="26"/>
      <c r="K405" s="26"/>
      <c r="Y405" s="26"/>
      <c r="Z405" s="26"/>
    </row>
    <row r="406" spans="9:26" ht="12.75" x14ac:dyDescent="0.2">
      <c r="I406" s="26"/>
      <c r="J406" s="26"/>
      <c r="K406" s="26"/>
      <c r="Y406" s="26"/>
      <c r="Z406" s="26"/>
    </row>
    <row r="407" spans="9:26" ht="12.75" x14ac:dyDescent="0.2">
      <c r="I407" s="26"/>
      <c r="J407" s="26"/>
      <c r="K407" s="26"/>
      <c r="Y407" s="26"/>
      <c r="Z407" s="26"/>
    </row>
    <row r="408" spans="9:26" ht="12.75" x14ac:dyDescent="0.2">
      <c r="I408" s="26"/>
      <c r="J408" s="26"/>
      <c r="K408" s="26"/>
      <c r="Y408" s="26"/>
      <c r="Z408" s="26"/>
    </row>
    <row r="409" spans="9:26" ht="12.75" x14ac:dyDescent="0.2">
      <c r="I409" s="26"/>
      <c r="J409" s="26"/>
      <c r="K409" s="26"/>
      <c r="Y409" s="26"/>
      <c r="Z409" s="26"/>
    </row>
    <row r="410" spans="9:26" ht="12.75" x14ac:dyDescent="0.2">
      <c r="I410" s="26"/>
      <c r="J410" s="26"/>
      <c r="K410" s="26"/>
      <c r="Y410" s="26"/>
      <c r="Z410" s="26"/>
    </row>
    <row r="411" spans="9:26" ht="12.75" x14ac:dyDescent="0.2">
      <c r="I411" s="26"/>
      <c r="J411" s="26"/>
      <c r="K411" s="26"/>
      <c r="Y411" s="26"/>
      <c r="Z411" s="26"/>
    </row>
    <row r="412" spans="9:26" ht="12.75" x14ac:dyDescent="0.2">
      <c r="I412" s="26"/>
      <c r="J412" s="26"/>
      <c r="K412" s="26"/>
      <c r="Y412" s="26"/>
      <c r="Z412" s="26"/>
    </row>
    <row r="413" spans="9:26" ht="12.75" x14ac:dyDescent="0.2">
      <c r="I413" s="26"/>
      <c r="J413" s="26"/>
      <c r="K413" s="26"/>
      <c r="Y413" s="26"/>
      <c r="Z413" s="26"/>
    </row>
    <row r="414" spans="9:26" ht="12.75" x14ac:dyDescent="0.2">
      <c r="I414" s="26"/>
      <c r="J414" s="26"/>
      <c r="K414" s="26"/>
      <c r="Y414" s="26"/>
      <c r="Z414" s="26"/>
    </row>
    <row r="415" spans="9:26" ht="12.75" x14ac:dyDescent="0.2">
      <c r="I415" s="26"/>
      <c r="J415" s="26"/>
      <c r="K415" s="26"/>
      <c r="Y415" s="26"/>
      <c r="Z415" s="26"/>
    </row>
    <row r="416" spans="9:26" ht="12.75" x14ac:dyDescent="0.2">
      <c r="I416" s="26"/>
      <c r="J416" s="26"/>
      <c r="K416" s="26"/>
      <c r="Y416" s="26"/>
      <c r="Z416" s="26"/>
    </row>
    <row r="417" spans="9:26" ht="12.75" x14ac:dyDescent="0.2">
      <c r="I417" s="26"/>
      <c r="J417" s="26"/>
      <c r="K417" s="26"/>
      <c r="Y417" s="26"/>
      <c r="Z417" s="26"/>
    </row>
    <row r="418" spans="9:26" ht="12.75" x14ac:dyDescent="0.2">
      <c r="I418" s="26"/>
      <c r="J418" s="26"/>
      <c r="K418" s="26"/>
      <c r="Y418" s="26"/>
      <c r="Z418" s="26"/>
    </row>
    <row r="419" spans="9:26" ht="12.75" x14ac:dyDescent="0.2">
      <c r="I419" s="26"/>
      <c r="J419" s="26"/>
      <c r="K419" s="26"/>
      <c r="Y419" s="26"/>
      <c r="Z419" s="26"/>
    </row>
    <row r="420" spans="9:26" ht="12.75" x14ac:dyDescent="0.2">
      <c r="I420" s="26"/>
      <c r="J420" s="26"/>
      <c r="K420" s="26"/>
      <c r="Y420" s="26"/>
      <c r="Z420" s="26"/>
    </row>
    <row r="421" spans="9:26" ht="12.75" x14ac:dyDescent="0.2">
      <c r="I421" s="26"/>
      <c r="J421" s="26"/>
      <c r="K421" s="26"/>
      <c r="Y421" s="26"/>
      <c r="Z421" s="26"/>
    </row>
    <row r="422" spans="9:26" ht="12.75" x14ac:dyDescent="0.2">
      <c r="I422" s="26"/>
      <c r="J422" s="26"/>
      <c r="K422" s="26"/>
      <c r="Y422" s="26"/>
      <c r="Z422" s="26"/>
    </row>
    <row r="423" spans="9:26" ht="12.75" x14ac:dyDescent="0.2">
      <c r="I423" s="26"/>
      <c r="J423" s="26"/>
      <c r="K423" s="26"/>
      <c r="Y423" s="26"/>
      <c r="Z423" s="26"/>
    </row>
    <row r="424" spans="9:26" ht="12.75" x14ac:dyDescent="0.2">
      <c r="I424" s="26"/>
      <c r="J424" s="26"/>
      <c r="K424" s="26"/>
      <c r="Y424" s="26"/>
      <c r="Z424" s="26"/>
    </row>
    <row r="425" spans="9:26" ht="12.75" x14ac:dyDescent="0.2">
      <c r="I425" s="26"/>
      <c r="J425" s="26"/>
      <c r="K425" s="26"/>
      <c r="Y425" s="26"/>
      <c r="Z425" s="26"/>
    </row>
    <row r="426" spans="9:26" ht="12.75" x14ac:dyDescent="0.2">
      <c r="I426" s="26"/>
      <c r="J426" s="26"/>
      <c r="K426" s="26"/>
      <c r="Y426" s="26"/>
      <c r="Z426" s="26"/>
    </row>
    <row r="427" spans="9:26" ht="12.75" x14ac:dyDescent="0.2">
      <c r="I427" s="26"/>
      <c r="J427" s="26"/>
      <c r="K427" s="26"/>
      <c r="Y427" s="26"/>
      <c r="Z427" s="26"/>
    </row>
    <row r="428" spans="9:26" ht="12.75" x14ac:dyDescent="0.2">
      <c r="I428" s="26"/>
      <c r="J428" s="26"/>
      <c r="K428" s="26"/>
      <c r="Y428" s="26"/>
      <c r="Z428" s="26"/>
    </row>
    <row r="429" spans="9:26" ht="12.75" x14ac:dyDescent="0.2">
      <c r="I429" s="26"/>
      <c r="J429" s="26"/>
      <c r="K429" s="26"/>
      <c r="Y429" s="26"/>
      <c r="Z429" s="26"/>
    </row>
    <row r="430" spans="9:26" ht="12.75" x14ac:dyDescent="0.2">
      <c r="I430" s="26"/>
      <c r="J430" s="26"/>
      <c r="K430" s="26"/>
      <c r="Y430" s="26"/>
      <c r="Z430" s="26"/>
    </row>
    <row r="431" spans="9:26" ht="12.75" x14ac:dyDescent="0.2">
      <c r="I431" s="26"/>
      <c r="J431" s="26"/>
      <c r="K431" s="26"/>
      <c r="Y431" s="26"/>
      <c r="Z431" s="26"/>
    </row>
    <row r="432" spans="9:26" ht="12.75" x14ac:dyDescent="0.2">
      <c r="I432" s="26"/>
      <c r="J432" s="26"/>
      <c r="K432" s="26"/>
      <c r="Y432" s="26"/>
      <c r="Z432" s="26"/>
    </row>
    <row r="433" spans="9:26" ht="12.75" x14ac:dyDescent="0.2">
      <c r="I433" s="26"/>
      <c r="J433" s="26"/>
      <c r="K433" s="26"/>
      <c r="Y433" s="26"/>
      <c r="Z433" s="26"/>
    </row>
    <row r="434" spans="9:26" ht="12.75" x14ac:dyDescent="0.2">
      <c r="I434" s="26"/>
      <c r="J434" s="26"/>
      <c r="K434" s="26"/>
      <c r="Y434" s="26"/>
      <c r="Z434" s="26"/>
    </row>
    <row r="435" spans="9:26" ht="12.75" x14ac:dyDescent="0.2">
      <c r="I435" s="26"/>
      <c r="J435" s="26"/>
      <c r="K435" s="26"/>
      <c r="Y435" s="26"/>
      <c r="Z435" s="26"/>
    </row>
    <row r="436" spans="9:26" ht="12.75" x14ac:dyDescent="0.2">
      <c r="I436" s="26"/>
      <c r="J436" s="26"/>
      <c r="K436" s="26"/>
      <c r="Y436" s="26"/>
      <c r="Z436" s="26"/>
    </row>
    <row r="437" spans="9:26" ht="12.75" x14ac:dyDescent="0.2">
      <c r="I437" s="26"/>
      <c r="J437" s="26"/>
      <c r="K437" s="26"/>
      <c r="Y437" s="26"/>
      <c r="Z437" s="26"/>
    </row>
    <row r="438" spans="9:26" ht="12.75" x14ac:dyDescent="0.2">
      <c r="I438" s="26"/>
      <c r="J438" s="26"/>
      <c r="K438" s="26"/>
      <c r="Y438" s="26"/>
      <c r="Z438" s="26"/>
    </row>
    <row r="439" spans="9:26" ht="12.75" x14ac:dyDescent="0.2">
      <c r="I439" s="26"/>
      <c r="J439" s="26"/>
      <c r="K439" s="26"/>
      <c r="Y439" s="26"/>
      <c r="Z439" s="26"/>
    </row>
    <row r="440" spans="9:26" ht="12.75" x14ac:dyDescent="0.2">
      <c r="I440" s="26"/>
      <c r="J440" s="26"/>
      <c r="K440" s="26"/>
      <c r="Y440" s="26"/>
      <c r="Z440" s="26"/>
    </row>
    <row r="441" spans="9:26" ht="12.75" x14ac:dyDescent="0.2">
      <c r="I441" s="26"/>
      <c r="J441" s="26"/>
      <c r="K441" s="26"/>
      <c r="Y441" s="26"/>
      <c r="Z441" s="26"/>
    </row>
    <row r="442" spans="9:26" ht="12.75" x14ac:dyDescent="0.2">
      <c r="I442" s="26"/>
      <c r="J442" s="26"/>
      <c r="K442" s="26"/>
      <c r="Y442" s="26"/>
      <c r="Z442" s="26"/>
    </row>
    <row r="443" spans="9:26" ht="12.75" x14ac:dyDescent="0.2">
      <c r="I443" s="26"/>
      <c r="J443" s="26"/>
      <c r="K443" s="26"/>
      <c r="Y443" s="26"/>
      <c r="Z443" s="26"/>
    </row>
    <row r="444" spans="9:26" ht="12.75" x14ac:dyDescent="0.2">
      <c r="I444" s="26"/>
      <c r="J444" s="26"/>
      <c r="K444" s="26"/>
      <c r="Y444" s="26"/>
      <c r="Z444" s="26"/>
    </row>
    <row r="445" spans="9:26" ht="12.75" x14ac:dyDescent="0.2">
      <c r="I445" s="26"/>
      <c r="J445" s="26"/>
      <c r="K445" s="26"/>
      <c r="Y445" s="26"/>
      <c r="Z445" s="26"/>
    </row>
    <row r="446" spans="9:26" ht="12.75" x14ac:dyDescent="0.2">
      <c r="I446" s="26"/>
      <c r="J446" s="26"/>
      <c r="K446" s="26"/>
      <c r="Y446" s="26"/>
      <c r="Z446" s="26"/>
    </row>
    <row r="447" spans="9:26" ht="12.75" x14ac:dyDescent="0.2">
      <c r="I447" s="26"/>
      <c r="J447" s="26"/>
      <c r="K447" s="26"/>
      <c r="Y447" s="26"/>
      <c r="Z447" s="26"/>
    </row>
    <row r="448" spans="9:26" ht="12.75" x14ac:dyDescent="0.2">
      <c r="I448" s="26"/>
      <c r="J448" s="26"/>
      <c r="K448" s="26"/>
      <c r="Y448" s="26"/>
      <c r="Z448" s="26"/>
    </row>
    <row r="449" spans="9:26" ht="12.75" x14ac:dyDescent="0.2">
      <c r="I449" s="26"/>
      <c r="J449" s="26"/>
      <c r="K449" s="26"/>
      <c r="Y449" s="26"/>
      <c r="Z449" s="26"/>
    </row>
    <row r="450" spans="9:26" ht="12.75" x14ac:dyDescent="0.2">
      <c r="I450" s="26"/>
      <c r="J450" s="26"/>
      <c r="K450" s="26"/>
      <c r="Y450" s="26"/>
      <c r="Z450" s="26"/>
    </row>
    <row r="451" spans="9:26" ht="12.75" x14ac:dyDescent="0.2">
      <c r="I451" s="26"/>
      <c r="J451" s="26"/>
      <c r="K451" s="26"/>
      <c r="Y451" s="26"/>
      <c r="Z451" s="26"/>
    </row>
    <row r="452" spans="9:26" ht="12.75" x14ac:dyDescent="0.2">
      <c r="I452" s="26"/>
      <c r="J452" s="26"/>
      <c r="K452" s="26"/>
      <c r="Y452" s="26"/>
      <c r="Z452" s="26"/>
    </row>
    <row r="453" spans="9:26" ht="12.75" x14ac:dyDescent="0.2">
      <c r="I453" s="26"/>
      <c r="J453" s="26"/>
      <c r="K453" s="26"/>
      <c r="Y453" s="26"/>
      <c r="Z453" s="26"/>
    </row>
    <row r="454" spans="9:26" ht="12.75" x14ac:dyDescent="0.2">
      <c r="I454" s="26"/>
      <c r="J454" s="26"/>
      <c r="K454" s="26"/>
      <c r="Y454" s="26"/>
      <c r="Z454" s="26"/>
    </row>
    <row r="455" spans="9:26" ht="12.75" x14ac:dyDescent="0.2">
      <c r="I455" s="26"/>
      <c r="J455" s="26"/>
      <c r="K455" s="26"/>
      <c r="Y455" s="26"/>
      <c r="Z455" s="26"/>
    </row>
    <row r="456" spans="9:26" ht="12.75" x14ac:dyDescent="0.2">
      <c r="I456" s="26"/>
      <c r="J456" s="26"/>
      <c r="K456" s="26"/>
      <c r="Y456" s="26"/>
      <c r="Z456" s="26"/>
    </row>
    <row r="457" spans="9:26" ht="12.75" x14ac:dyDescent="0.2">
      <c r="I457" s="26"/>
      <c r="J457" s="26"/>
      <c r="K457" s="26"/>
      <c r="Y457" s="26"/>
      <c r="Z457" s="26"/>
    </row>
    <row r="458" spans="9:26" ht="12.75" x14ac:dyDescent="0.2">
      <c r="I458" s="26"/>
      <c r="J458" s="26"/>
      <c r="K458" s="26"/>
      <c r="Y458" s="26"/>
      <c r="Z458" s="26"/>
    </row>
    <row r="459" spans="9:26" ht="12.75" x14ac:dyDescent="0.2">
      <c r="I459" s="26"/>
      <c r="J459" s="26"/>
      <c r="K459" s="26"/>
      <c r="Y459" s="26"/>
      <c r="Z459" s="26"/>
    </row>
    <row r="460" spans="9:26" ht="12.75" x14ac:dyDescent="0.2">
      <c r="I460" s="26"/>
      <c r="J460" s="26"/>
      <c r="K460" s="26"/>
      <c r="Y460" s="26"/>
      <c r="Z460" s="26"/>
    </row>
    <row r="461" spans="9:26" ht="12.75" x14ac:dyDescent="0.2">
      <c r="I461" s="26"/>
      <c r="J461" s="26"/>
      <c r="K461" s="26"/>
      <c r="Y461" s="26"/>
      <c r="Z461" s="26"/>
    </row>
    <row r="462" spans="9:26" ht="12.75" x14ac:dyDescent="0.2">
      <c r="I462" s="26"/>
      <c r="J462" s="26"/>
      <c r="K462" s="26"/>
      <c r="Y462" s="26"/>
      <c r="Z462" s="26"/>
    </row>
    <row r="463" spans="9:26" ht="12.75" x14ac:dyDescent="0.2">
      <c r="I463" s="26"/>
      <c r="J463" s="26"/>
      <c r="K463" s="26"/>
      <c r="Y463" s="26"/>
      <c r="Z463" s="26"/>
    </row>
    <row r="464" spans="9:26" ht="12.75" x14ac:dyDescent="0.2">
      <c r="I464" s="26"/>
      <c r="J464" s="26"/>
      <c r="K464" s="26"/>
      <c r="Y464" s="26"/>
      <c r="Z464" s="26"/>
    </row>
    <row r="465" spans="9:26" ht="12.75" x14ac:dyDescent="0.2">
      <c r="I465" s="26"/>
      <c r="J465" s="26"/>
      <c r="K465" s="26"/>
      <c r="Y465" s="26"/>
      <c r="Z465" s="26"/>
    </row>
    <row r="466" spans="9:26" ht="12.75" x14ac:dyDescent="0.2">
      <c r="I466" s="26"/>
      <c r="J466" s="26"/>
      <c r="K466" s="26"/>
      <c r="Y466" s="26"/>
      <c r="Z466" s="26"/>
    </row>
    <row r="467" spans="9:26" ht="12.75" x14ac:dyDescent="0.2">
      <c r="I467" s="26"/>
      <c r="J467" s="26"/>
      <c r="K467" s="26"/>
      <c r="Y467" s="26"/>
      <c r="Z467" s="26"/>
    </row>
    <row r="468" spans="9:26" ht="12.75" x14ac:dyDescent="0.2">
      <c r="I468" s="26"/>
      <c r="J468" s="26"/>
      <c r="K468" s="26"/>
      <c r="Y468" s="26"/>
      <c r="Z468" s="26"/>
    </row>
    <row r="469" spans="9:26" ht="12.75" x14ac:dyDescent="0.2">
      <c r="I469" s="26"/>
      <c r="J469" s="26"/>
      <c r="K469" s="26"/>
      <c r="Y469" s="26"/>
      <c r="Z469" s="26"/>
    </row>
    <row r="470" spans="9:26" ht="12.75" x14ac:dyDescent="0.2">
      <c r="I470" s="26"/>
      <c r="J470" s="26"/>
      <c r="K470" s="26"/>
      <c r="Y470" s="26"/>
      <c r="Z470" s="26"/>
    </row>
    <row r="471" spans="9:26" ht="12.75" x14ac:dyDescent="0.2">
      <c r="I471" s="26"/>
      <c r="J471" s="26"/>
      <c r="K471" s="26"/>
      <c r="Y471" s="26"/>
      <c r="Z471" s="26"/>
    </row>
    <row r="472" spans="9:26" ht="12.75" x14ac:dyDescent="0.2">
      <c r="I472" s="26"/>
      <c r="J472" s="26"/>
      <c r="K472" s="26"/>
      <c r="Y472" s="26"/>
      <c r="Z472" s="26"/>
    </row>
    <row r="473" spans="9:26" ht="12.75" x14ac:dyDescent="0.2">
      <c r="I473" s="26"/>
      <c r="J473" s="26"/>
      <c r="K473" s="26"/>
      <c r="Y473" s="26"/>
      <c r="Z473" s="26"/>
    </row>
    <row r="474" spans="9:26" ht="12.75" x14ac:dyDescent="0.2">
      <c r="I474" s="26"/>
      <c r="J474" s="26"/>
      <c r="K474" s="26"/>
      <c r="Y474" s="26"/>
      <c r="Z474" s="26"/>
    </row>
    <row r="475" spans="9:26" ht="12.75" x14ac:dyDescent="0.2">
      <c r="I475" s="26"/>
      <c r="J475" s="26"/>
      <c r="K475" s="26"/>
      <c r="Y475" s="26"/>
      <c r="Z475" s="26"/>
    </row>
    <row r="476" spans="9:26" ht="12.75" x14ac:dyDescent="0.2">
      <c r="I476" s="26"/>
      <c r="J476" s="26"/>
      <c r="K476" s="26"/>
      <c r="Y476" s="26"/>
      <c r="Z476" s="26"/>
    </row>
    <row r="477" spans="9:26" ht="12.75" x14ac:dyDescent="0.2">
      <c r="I477" s="26"/>
      <c r="J477" s="26"/>
      <c r="K477" s="26"/>
      <c r="Y477" s="26"/>
      <c r="Z477" s="26"/>
    </row>
    <row r="478" spans="9:26" ht="12.75" x14ac:dyDescent="0.2">
      <c r="I478" s="26"/>
      <c r="J478" s="26"/>
      <c r="K478" s="26"/>
      <c r="Y478" s="26"/>
      <c r="Z478" s="26"/>
    </row>
    <row r="479" spans="9:26" ht="12.75" x14ac:dyDescent="0.2">
      <c r="I479" s="26"/>
      <c r="J479" s="26"/>
      <c r="K479" s="26"/>
      <c r="Y479" s="26"/>
      <c r="Z479" s="26"/>
    </row>
    <row r="480" spans="9:26" ht="12.75" x14ac:dyDescent="0.2">
      <c r="I480" s="26"/>
      <c r="J480" s="26"/>
      <c r="K480" s="26"/>
      <c r="Y480" s="26"/>
      <c r="Z480" s="26"/>
    </row>
    <row r="481" spans="9:26" ht="12.75" x14ac:dyDescent="0.2">
      <c r="I481" s="26"/>
      <c r="J481" s="26"/>
      <c r="K481" s="26"/>
      <c r="Y481" s="26"/>
      <c r="Z481" s="26"/>
    </row>
    <row r="482" spans="9:26" ht="12.75" x14ac:dyDescent="0.2">
      <c r="I482" s="26"/>
      <c r="J482" s="26"/>
      <c r="K482" s="26"/>
      <c r="Y482" s="26"/>
      <c r="Z482" s="26"/>
    </row>
    <row r="483" spans="9:26" ht="12.75" x14ac:dyDescent="0.2">
      <c r="I483" s="26"/>
      <c r="J483" s="26"/>
      <c r="K483" s="26"/>
      <c r="Y483" s="26"/>
      <c r="Z483" s="26"/>
    </row>
    <row r="484" spans="9:26" ht="12.75" x14ac:dyDescent="0.2">
      <c r="I484" s="26"/>
      <c r="J484" s="26"/>
      <c r="K484" s="26"/>
      <c r="Y484" s="26"/>
      <c r="Z484" s="26"/>
    </row>
    <row r="485" spans="9:26" ht="12.75" x14ac:dyDescent="0.2">
      <c r="I485" s="26"/>
      <c r="J485" s="26"/>
      <c r="K485" s="26"/>
      <c r="Y485" s="26"/>
      <c r="Z485" s="26"/>
    </row>
    <row r="486" spans="9:26" ht="12.75" x14ac:dyDescent="0.2">
      <c r="I486" s="26"/>
      <c r="J486" s="26"/>
      <c r="K486" s="26"/>
      <c r="Y486" s="26"/>
      <c r="Z486" s="26"/>
    </row>
    <row r="487" spans="9:26" ht="12.75" x14ac:dyDescent="0.2">
      <c r="I487" s="26"/>
      <c r="J487" s="26"/>
      <c r="K487" s="26"/>
      <c r="Y487" s="26"/>
      <c r="Z487" s="26"/>
    </row>
    <row r="488" spans="9:26" ht="12.75" x14ac:dyDescent="0.2">
      <c r="I488" s="26"/>
      <c r="J488" s="26"/>
      <c r="K488" s="26"/>
      <c r="Y488" s="26"/>
      <c r="Z488" s="26"/>
    </row>
    <row r="489" spans="9:26" ht="12.75" x14ac:dyDescent="0.2">
      <c r="I489" s="26"/>
      <c r="J489" s="26"/>
      <c r="K489" s="26"/>
      <c r="Y489" s="26"/>
      <c r="Z489" s="26"/>
    </row>
    <row r="490" spans="9:26" ht="12.75" x14ac:dyDescent="0.2">
      <c r="I490" s="26"/>
      <c r="J490" s="26"/>
      <c r="K490" s="26"/>
      <c r="Y490" s="26"/>
      <c r="Z490" s="26"/>
    </row>
    <row r="491" spans="9:26" ht="12.75" x14ac:dyDescent="0.2">
      <c r="I491" s="26"/>
      <c r="J491" s="26"/>
      <c r="K491" s="26"/>
      <c r="Y491" s="26"/>
      <c r="Z491" s="26"/>
    </row>
    <row r="492" spans="9:26" ht="12.75" x14ac:dyDescent="0.2">
      <c r="I492" s="26"/>
      <c r="J492" s="26"/>
      <c r="K492" s="26"/>
      <c r="Y492" s="26"/>
      <c r="Z492" s="26"/>
    </row>
    <row r="493" spans="9:26" ht="12.75" x14ac:dyDescent="0.2">
      <c r="I493" s="26"/>
      <c r="J493" s="26"/>
      <c r="K493" s="26"/>
      <c r="Y493" s="26"/>
      <c r="Z493" s="26"/>
    </row>
    <row r="494" spans="9:26" ht="12.75" x14ac:dyDescent="0.2">
      <c r="I494" s="26"/>
      <c r="J494" s="26"/>
      <c r="K494" s="26"/>
      <c r="Y494" s="26"/>
      <c r="Z494" s="26"/>
    </row>
    <row r="495" spans="9:26" ht="12.75" x14ac:dyDescent="0.2">
      <c r="I495" s="26"/>
      <c r="J495" s="26"/>
      <c r="K495" s="26"/>
      <c r="Y495" s="26"/>
      <c r="Z495" s="26"/>
    </row>
    <row r="496" spans="9:26" ht="12.75" x14ac:dyDescent="0.2">
      <c r="I496" s="26"/>
      <c r="J496" s="26"/>
      <c r="K496" s="26"/>
      <c r="Y496" s="26"/>
      <c r="Z496" s="26"/>
    </row>
    <row r="497" spans="9:26" ht="12.75" x14ac:dyDescent="0.2">
      <c r="I497" s="26"/>
      <c r="J497" s="26"/>
      <c r="K497" s="26"/>
      <c r="Y497" s="26"/>
      <c r="Z497" s="26"/>
    </row>
    <row r="498" spans="9:26" ht="12.75" x14ac:dyDescent="0.2">
      <c r="I498" s="26"/>
      <c r="J498" s="26"/>
      <c r="K498" s="26"/>
      <c r="Y498" s="26"/>
      <c r="Z498" s="26"/>
    </row>
    <row r="499" spans="9:26" ht="12.75" x14ac:dyDescent="0.2">
      <c r="I499" s="26"/>
      <c r="J499" s="26"/>
      <c r="K499" s="26"/>
      <c r="Y499" s="26"/>
      <c r="Z499" s="26"/>
    </row>
    <row r="500" spans="9:26" ht="12.75" x14ac:dyDescent="0.2">
      <c r="I500" s="26"/>
      <c r="J500" s="26"/>
      <c r="K500" s="26"/>
      <c r="Y500" s="26"/>
      <c r="Z500" s="26"/>
    </row>
    <row r="501" spans="9:26" ht="12.75" x14ac:dyDescent="0.2">
      <c r="I501" s="26"/>
      <c r="J501" s="26"/>
      <c r="K501" s="26"/>
      <c r="Y501" s="26"/>
      <c r="Z501" s="26"/>
    </row>
    <row r="502" spans="9:26" ht="12.75" x14ac:dyDescent="0.2">
      <c r="I502" s="26"/>
      <c r="J502" s="26"/>
      <c r="K502" s="26"/>
      <c r="Y502" s="26"/>
      <c r="Z502" s="26"/>
    </row>
    <row r="503" spans="9:26" ht="12.75" x14ac:dyDescent="0.2">
      <c r="I503" s="26"/>
      <c r="J503" s="26"/>
      <c r="K503" s="26"/>
      <c r="Y503" s="26"/>
      <c r="Z503" s="26"/>
    </row>
    <row r="504" spans="9:26" ht="12.75" x14ac:dyDescent="0.2">
      <c r="I504" s="26"/>
      <c r="J504" s="26"/>
      <c r="K504" s="26"/>
      <c r="Y504" s="26"/>
      <c r="Z504" s="26"/>
    </row>
    <row r="505" spans="9:26" ht="12.75" x14ac:dyDescent="0.2">
      <c r="I505" s="26"/>
      <c r="J505" s="26"/>
      <c r="K505" s="26"/>
      <c r="Y505" s="26"/>
      <c r="Z505" s="26"/>
    </row>
    <row r="506" spans="9:26" ht="12.75" x14ac:dyDescent="0.2">
      <c r="I506" s="26"/>
      <c r="J506" s="26"/>
      <c r="K506" s="26"/>
      <c r="Y506" s="26"/>
      <c r="Z506" s="26"/>
    </row>
    <row r="507" spans="9:26" ht="12.75" x14ac:dyDescent="0.2">
      <c r="I507" s="26"/>
      <c r="J507" s="26"/>
      <c r="K507" s="26"/>
      <c r="Y507" s="26"/>
      <c r="Z507" s="26"/>
    </row>
    <row r="508" spans="9:26" ht="12.75" x14ac:dyDescent="0.2">
      <c r="I508" s="26"/>
      <c r="J508" s="26"/>
      <c r="K508" s="26"/>
      <c r="Y508" s="26"/>
      <c r="Z508" s="26"/>
    </row>
    <row r="509" spans="9:26" ht="12.75" x14ac:dyDescent="0.2">
      <c r="I509" s="26"/>
      <c r="J509" s="26"/>
      <c r="K509" s="26"/>
      <c r="Y509" s="26"/>
      <c r="Z509" s="26"/>
    </row>
    <row r="510" spans="9:26" ht="12.75" x14ac:dyDescent="0.2">
      <c r="I510" s="26"/>
      <c r="J510" s="26"/>
      <c r="K510" s="26"/>
      <c r="Y510" s="26"/>
      <c r="Z510" s="26"/>
    </row>
    <row r="511" spans="9:26" ht="12.75" x14ac:dyDescent="0.2">
      <c r="I511" s="26"/>
      <c r="J511" s="26"/>
      <c r="K511" s="26"/>
      <c r="Y511" s="26"/>
      <c r="Z511" s="26"/>
    </row>
    <row r="512" spans="9:26" ht="12.75" x14ac:dyDescent="0.2">
      <c r="I512" s="26"/>
      <c r="J512" s="26"/>
      <c r="K512" s="26"/>
      <c r="Y512" s="26"/>
      <c r="Z512" s="26"/>
    </row>
    <row r="513" spans="9:26" ht="12.75" x14ac:dyDescent="0.2">
      <c r="I513" s="26"/>
      <c r="J513" s="26"/>
      <c r="K513" s="26"/>
      <c r="Y513" s="26"/>
      <c r="Z513" s="26"/>
    </row>
    <row r="514" spans="9:26" ht="12.75" x14ac:dyDescent="0.2">
      <c r="I514" s="26"/>
      <c r="J514" s="26"/>
      <c r="K514" s="26"/>
      <c r="Y514" s="26"/>
      <c r="Z514" s="26"/>
    </row>
    <row r="515" spans="9:26" ht="12.75" x14ac:dyDescent="0.2">
      <c r="I515" s="26"/>
      <c r="J515" s="26"/>
      <c r="K515" s="26"/>
      <c r="Y515" s="26"/>
      <c r="Z515" s="26"/>
    </row>
    <row r="516" spans="9:26" ht="12.75" x14ac:dyDescent="0.2">
      <c r="I516" s="26"/>
      <c r="J516" s="26"/>
      <c r="K516" s="26"/>
      <c r="Y516" s="26"/>
      <c r="Z516" s="26"/>
    </row>
    <row r="517" spans="9:26" ht="12.75" x14ac:dyDescent="0.2">
      <c r="I517" s="26"/>
      <c r="J517" s="26"/>
      <c r="K517" s="26"/>
      <c r="Y517" s="26"/>
      <c r="Z517" s="26"/>
    </row>
    <row r="518" spans="9:26" ht="12.75" x14ac:dyDescent="0.2">
      <c r="I518" s="26"/>
      <c r="J518" s="26"/>
      <c r="K518" s="26"/>
      <c r="Y518" s="26"/>
      <c r="Z518" s="26"/>
    </row>
    <row r="519" spans="9:26" ht="12.75" x14ac:dyDescent="0.2">
      <c r="I519" s="26"/>
      <c r="J519" s="26"/>
      <c r="K519" s="26"/>
      <c r="Y519" s="26"/>
      <c r="Z519" s="26"/>
    </row>
    <row r="520" spans="9:26" ht="12.75" x14ac:dyDescent="0.2">
      <c r="I520" s="26"/>
      <c r="J520" s="26"/>
      <c r="K520" s="26"/>
      <c r="Y520" s="26"/>
      <c r="Z520" s="26"/>
    </row>
    <row r="521" spans="9:26" ht="12.75" x14ac:dyDescent="0.2">
      <c r="I521" s="26"/>
      <c r="J521" s="26"/>
      <c r="K521" s="26"/>
      <c r="Y521" s="26"/>
      <c r="Z521" s="26"/>
    </row>
    <row r="522" spans="9:26" ht="12.75" x14ac:dyDescent="0.2">
      <c r="I522" s="26"/>
      <c r="J522" s="26"/>
      <c r="K522" s="26"/>
      <c r="Y522" s="26"/>
      <c r="Z522" s="26"/>
    </row>
    <row r="523" spans="9:26" ht="12.75" x14ac:dyDescent="0.2">
      <c r="I523" s="26"/>
      <c r="J523" s="26"/>
      <c r="K523" s="26"/>
      <c r="Y523" s="26"/>
      <c r="Z523" s="26"/>
    </row>
    <row r="524" spans="9:26" ht="12.75" x14ac:dyDescent="0.2">
      <c r="I524" s="26"/>
      <c r="J524" s="26"/>
      <c r="K524" s="26"/>
      <c r="Y524" s="26"/>
      <c r="Z524" s="26"/>
    </row>
    <row r="525" spans="9:26" ht="12.75" x14ac:dyDescent="0.2">
      <c r="I525" s="26"/>
      <c r="J525" s="26"/>
      <c r="K525" s="26"/>
      <c r="Y525" s="26"/>
      <c r="Z525" s="26"/>
    </row>
    <row r="526" spans="9:26" ht="12.75" x14ac:dyDescent="0.2">
      <c r="I526" s="26"/>
      <c r="J526" s="26"/>
      <c r="K526" s="26"/>
      <c r="Y526" s="26"/>
      <c r="Z526" s="26"/>
    </row>
    <row r="527" spans="9:26" ht="12.75" x14ac:dyDescent="0.2">
      <c r="I527" s="26"/>
      <c r="J527" s="26"/>
      <c r="K527" s="26"/>
      <c r="Y527" s="26"/>
      <c r="Z527" s="26"/>
    </row>
    <row r="528" spans="9:26" ht="12.75" x14ac:dyDescent="0.2">
      <c r="I528" s="26"/>
      <c r="J528" s="26"/>
      <c r="K528" s="26"/>
      <c r="Y528" s="26"/>
      <c r="Z528" s="26"/>
    </row>
    <row r="529" spans="9:26" ht="12.75" x14ac:dyDescent="0.2">
      <c r="I529" s="26"/>
      <c r="J529" s="26"/>
      <c r="K529" s="26"/>
      <c r="Y529" s="26"/>
      <c r="Z529" s="26"/>
    </row>
    <row r="530" spans="9:26" ht="12.75" x14ac:dyDescent="0.2">
      <c r="I530" s="26"/>
      <c r="J530" s="26"/>
      <c r="K530" s="26"/>
      <c r="Y530" s="26"/>
      <c r="Z530" s="26"/>
    </row>
    <row r="531" spans="9:26" ht="12.75" x14ac:dyDescent="0.2">
      <c r="I531" s="26"/>
      <c r="J531" s="26"/>
      <c r="K531" s="26"/>
      <c r="Y531" s="26"/>
      <c r="Z531" s="26"/>
    </row>
    <row r="532" spans="9:26" ht="12.75" x14ac:dyDescent="0.2">
      <c r="I532" s="26"/>
      <c r="J532" s="26"/>
      <c r="K532" s="26"/>
      <c r="Y532" s="26"/>
      <c r="Z532" s="26"/>
    </row>
    <row r="533" spans="9:26" ht="12.75" x14ac:dyDescent="0.2">
      <c r="I533" s="26"/>
      <c r="J533" s="26"/>
      <c r="K533" s="26"/>
      <c r="Y533" s="26"/>
      <c r="Z533" s="26"/>
    </row>
    <row r="534" spans="9:26" ht="12.75" x14ac:dyDescent="0.2">
      <c r="I534" s="26"/>
      <c r="J534" s="26"/>
      <c r="K534" s="26"/>
      <c r="Y534" s="26"/>
      <c r="Z534" s="26"/>
    </row>
    <row r="535" spans="9:26" ht="12.75" x14ac:dyDescent="0.2">
      <c r="I535" s="26"/>
      <c r="J535" s="26"/>
      <c r="K535" s="26"/>
      <c r="Y535" s="26"/>
      <c r="Z535" s="26"/>
    </row>
    <row r="536" spans="9:26" ht="12.75" x14ac:dyDescent="0.2">
      <c r="I536" s="26"/>
      <c r="J536" s="26"/>
      <c r="K536" s="26"/>
      <c r="Y536" s="26"/>
      <c r="Z536" s="26"/>
    </row>
    <row r="537" spans="9:26" ht="12.75" x14ac:dyDescent="0.2">
      <c r="I537" s="26"/>
      <c r="J537" s="26"/>
      <c r="K537" s="26"/>
      <c r="Y537" s="26"/>
      <c r="Z537" s="26"/>
    </row>
    <row r="538" spans="9:26" ht="12.75" x14ac:dyDescent="0.2">
      <c r="I538" s="26"/>
      <c r="J538" s="26"/>
      <c r="K538" s="26"/>
      <c r="Y538" s="26"/>
      <c r="Z538" s="26"/>
    </row>
    <row r="539" spans="9:26" ht="12.75" x14ac:dyDescent="0.2">
      <c r="I539" s="26"/>
      <c r="J539" s="26"/>
      <c r="K539" s="26"/>
      <c r="Y539" s="26"/>
      <c r="Z539" s="26"/>
    </row>
    <row r="540" spans="9:26" ht="12.75" x14ac:dyDescent="0.2">
      <c r="I540" s="26"/>
      <c r="J540" s="26"/>
      <c r="K540" s="26"/>
      <c r="Y540" s="26"/>
      <c r="Z540" s="26"/>
    </row>
    <row r="541" spans="9:26" ht="12.75" x14ac:dyDescent="0.2">
      <c r="I541" s="26"/>
      <c r="J541" s="26"/>
      <c r="K541" s="26"/>
      <c r="Y541" s="26"/>
      <c r="Z541" s="26"/>
    </row>
    <row r="542" spans="9:26" ht="12.75" x14ac:dyDescent="0.2">
      <c r="I542" s="26"/>
      <c r="J542" s="26"/>
      <c r="K542" s="26"/>
      <c r="Y542" s="26"/>
      <c r="Z542" s="26"/>
    </row>
    <row r="543" spans="9:26" ht="12.75" x14ac:dyDescent="0.2">
      <c r="I543" s="26"/>
      <c r="J543" s="26"/>
      <c r="K543" s="26"/>
      <c r="Y543" s="26"/>
      <c r="Z543" s="26"/>
    </row>
    <row r="544" spans="9:26" ht="12.75" x14ac:dyDescent="0.2">
      <c r="I544" s="26"/>
      <c r="J544" s="26"/>
      <c r="K544" s="26"/>
      <c r="Y544" s="26"/>
      <c r="Z544" s="26"/>
    </row>
    <row r="545" spans="9:26" ht="12.75" x14ac:dyDescent="0.2">
      <c r="I545" s="26"/>
      <c r="J545" s="26"/>
      <c r="K545" s="26"/>
      <c r="Y545" s="26"/>
      <c r="Z545" s="26"/>
    </row>
    <row r="546" spans="9:26" ht="12.75" x14ac:dyDescent="0.2">
      <c r="I546" s="26"/>
      <c r="J546" s="26"/>
      <c r="K546" s="26"/>
      <c r="Y546" s="26"/>
      <c r="Z546" s="26"/>
    </row>
    <row r="547" spans="9:26" ht="12.75" x14ac:dyDescent="0.2">
      <c r="I547" s="26"/>
      <c r="J547" s="26"/>
      <c r="K547" s="26"/>
      <c r="Y547" s="26"/>
      <c r="Z547" s="26"/>
    </row>
    <row r="548" spans="9:26" ht="12.75" x14ac:dyDescent="0.2">
      <c r="I548" s="26"/>
      <c r="J548" s="26"/>
      <c r="K548" s="26"/>
      <c r="Y548" s="26"/>
      <c r="Z548" s="26"/>
    </row>
    <row r="549" spans="9:26" ht="12.75" x14ac:dyDescent="0.2">
      <c r="I549" s="26"/>
      <c r="J549" s="26"/>
      <c r="K549" s="26"/>
      <c r="Y549" s="26"/>
      <c r="Z549" s="26"/>
    </row>
    <row r="550" spans="9:26" ht="12.75" x14ac:dyDescent="0.2">
      <c r="I550" s="26"/>
      <c r="J550" s="26"/>
      <c r="K550" s="26"/>
      <c r="Y550" s="26"/>
      <c r="Z550" s="26"/>
    </row>
    <row r="551" spans="9:26" ht="12.75" x14ac:dyDescent="0.2">
      <c r="I551" s="26"/>
      <c r="J551" s="26"/>
      <c r="K551" s="26"/>
      <c r="Y551" s="26"/>
      <c r="Z551" s="26"/>
    </row>
    <row r="552" spans="9:26" ht="12.75" x14ac:dyDescent="0.2">
      <c r="I552" s="26"/>
      <c r="J552" s="26"/>
      <c r="K552" s="26"/>
      <c r="Y552" s="26"/>
      <c r="Z552" s="26"/>
    </row>
    <row r="553" spans="9:26" ht="12.75" x14ac:dyDescent="0.2">
      <c r="I553" s="26"/>
      <c r="J553" s="26"/>
      <c r="K553" s="26"/>
      <c r="Y553" s="26"/>
      <c r="Z553" s="26"/>
    </row>
    <row r="554" spans="9:26" ht="12.75" x14ac:dyDescent="0.2">
      <c r="I554" s="26"/>
      <c r="J554" s="26"/>
      <c r="K554" s="26"/>
      <c r="Y554" s="26"/>
      <c r="Z554" s="26"/>
    </row>
    <row r="555" spans="9:26" ht="12.75" x14ac:dyDescent="0.2">
      <c r="I555" s="26"/>
      <c r="J555" s="26"/>
      <c r="K555" s="26"/>
      <c r="Y555" s="26"/>
      <c r="Z555" s="26"/>
    </row>
    <row r="556" spans="9:26" ht="12.75" x14ac:dyDescent="0.2">
      <c r="I556" s="26"/>
      <c r="J556" s="26"/>
      <c r="K556" s="26"/>
      <c r="Y556" s="26"/>
      <c r="Z556" s="26"/>
    </row>
    <row r="557" spans="9:26" ht="12.75" x14ac:dyDescent="0.2">
      <c r="I557" s="26"/>
      <c r="J557" s="26"/>
      <c r="K557" s="26"/>
      <c r="Y557" s="26"/>
      <c r="Z557" s="26"/>
    </row>
    <row r="558" spans="9:26" ht="12.75" x14ac:dyDescent="0.2">
      <c r="I558" s="26"/>
      <c r="J558" s="26"/>
      <c r="K558" s="26"/>
      <c r="Y558" s="26"/>
      <c r="Z558" s="26"/>
    </row>
    <row r="559" spans="9:26" ht="12.75" x14ac:dyDescent="0.2">
      <c r="I559" s="26"/>
      <c r="J559" s="26"/>
      <c r="K559" s="26"/>
      <c r="Y559" s="26"/>
      <c r="Z559" s="26"/>
    </row>
    <row r="560" spans="9:26" ht="12.75" x14ac:dyDescent="0.2">
      <c r="I560" s="26"/>
      <c r="J560" s="26"/>
      <c r="K560" s="26"/>
      <c r="Y560" s="26"/>
      <c r="Z560" s="26"/>
    </row>
    <row r="561" spans="9:26" ht="12.75" x14ac:dyDescent="0.2">
      <c r="I561" s="26"/>
      <c r="J561" s="26"/>
      <c r="K561" s="26"/>
      <c r="Y561" s="26"/>
      <c r="Z561" s="26"/>
    </row>
    <row r="562" spans="9:26" ht="12.75" x14ac:dyDescent="0.2">
      <c r="I562" s="26"/>
      <c r="J562" s="26"/>
      <c r="K562" s="26"/>
      <c r="Y562" s="26"/>
      <c r="Z562" s="26"/>
    </row>
    <row r="563" spans="9:26" ht="12.75" x14ac:dyDescent="0.2">
      <c r="I563" s="26"/>
      <c r="J563" s="26"/>
      <c r="K563" s="26"/>
      <c r="Y563" s="26"/>
      <c r="Z563" s="26"/>
    </row>
    <row r="564" spans="9:26" ht="12.75" x14ac:dyDescent="0.2">
      <c r="I564" s="26"/>
      <c r="J564" s="26"/>
      <c r="K564" s="26"/>
      <c r="Y564" s="26"/>
      <c r="Z564" s="26"/>
    </row>
    <row r="565" spans="9:26" ht="12.75" x14ac:dyDescent="0.2">
      <c r="I565" s="26"/>
      <c r="J565" s="26"/>
      <c r="K565" s="26"/>
      <c r="Y565" s="26"/>
      <c r="Z565" s="26"/>
    </row>
    <row r="566" spans="9:26" ht="12.75" x14ac:dyDescent="0.2">
      <c r="I566" s="26"/>
      <c r="J566" s="26"/>
      <c r="K566" s="26"/>
      <c r="Y566" s="26"/>
      <c r="Z566" s="26"/>
    </row>
    <row r="567" spans="9:26" ht="12.75" x14ac:dyDescent="0.2">
      <c r="I567" s="26"/>
      <c r="J567" s="26"/>
      <c r="K567" s="26"/>
      <c r="Y567" s="26"/>
      <c r="Z567" s="26"/>
    </row>
    <row r="568" spans="9:26" ht="12.75" x14ac:dyDescent="0.2">
      <c r="I568" s="26"/>
      <c r="J568" s="26"/>
      <c r="K568" s="26"/>
      <c r="Y568" s="26"/>
      <c r="Z568" s="26"/>
    </row>
    <row r="569" spans="9:26" ht="12.75" x14ac:dyDescent="0.2">
      <c r="I569" s="26"/>
      <c r="J569" s="26"/>
      <c r="K569" s="26"/>
      <c r="Y569" s="26"/>
      <c r="Z569" s="26"/>
    </row>
    <row r="570" spans="9:26" ht="12.75" x14ac:dyDescent="0.2">
      <c r="I570" s="26"/>
      <c r="J570" s="26"/>
      <c r="K570" s="26"/>
      <c r="Y570" s="26"/>
      <c r="Z570" s="26"/>
    </row>
    <row r="571" spans="9:26" ht="12.75" x14ac:dyDescent="0.2">
      <c r="I571" s="26"/>
      <c r="J571" s="26"/>
      <c r="K571" s="26"/>
      <c r="Y571" s="26"/>
      <c r="Z571" s="26"/>
    </row>
    <row r="572" spans="9:26" ht="12.75" x14ac:dyDescent="0.2">
      <c r="I572" s="26"/>
      <c r="J572" s="26"/>
      <c r="K572" s="26"/>
      <c r="Y572" s="26"/>
      <c r="Z572" s="26"/>
    </row>
    <row r="573" spans="9:26" ht="12.75" x14ac:dyDescent="0.2">
      <c r="I573" s="26"/>
      <c r="J573" s="26"/>
      <c r="K573" s="26"/>
      <c r="Y573" s="26"/>
      <c r="Z573" s="26"/>
    </row>
    <row r="574" spans="9:26" ht="12.75" x14ac:dyDescent="0.2">
      <c r="I574" s="26"/>
      <c r="J574" s="26"/>
      <c r="K574" s="26"/>
      <c r="Y574" s="26"/>
      <c r="Z574" s="26"/>
    </row>
    <row r="575" spans="9:26" ht="12.75" x14ac:dyDescent="0.2">
      <c r="I575" s="26"/>
      <c r="J575" s="26"/>
      <c r="K575" s="26"/>
      <c r="Y575" s="26"/>
      <c r="Z575" s="26"/>
    </row>
    <row r="576" spans="9:26" ht="12.75" x14ac:dyDescent="0.2">
      <c r="I576" s="26"/>
      <c r="J576" s="26"/>
      <c r="K576" s="26"/>
      <c r="Y576" s="26"/>
      <c r="Z576" s="26"/>
    </row>
    <row r="577" spans="9:26" ht="12.75" x14ac:dyDescent="0.2">
      <c r="I577" s="26"/>
      <c r="J577" s="26"/>
      <c r="K577" s="26"/>
      <c r="Y577" s="26"/>
      <c r="Z577" s="26"/>
    </row>
    <row r="578" spans="9:26" ht="12.75" x14ac:dyDescent="0.2">
      <c r="I578" s="26"/>
      <c r="J578" s="26"/>
      <c r="K578" s="26"/>
      <c r="Y578" s="26"/>
      <c r="Z578" s="26"/>
    </row>
    <row r="579" spans="9:26" ht="12.75" x14ac:dyDescent="0.2">
      <c r="I579" s="26"/>
      <c r="J579" s="26"/>
      <c r="K579" s="26"/>
      <c r="Y579" s="26"/>
      <c r="Z579" s="26"/>
    </row>
    <row r="580" spans="9:26" ht="12.75" x14ac:dyDescent="0.2">
      <c r="I580" s="26"/>
      <c r="J580" s="26"/>
      <c r="K580" s="26"/>
      <c r="Y580" s="26"/>
      <c r="Z580" s="26"/>
    </row>
    <row r="581" spans="9:26" ht="12.75" x14ac:dyDescent="0.2">
      <c r="I581" s="26"/>
      <c r="J581" s="26"/>
      <c r="K581" s="26"/>
      <c r="Y581" s="26"/>
      <c r="Z581" s="26"/>
    </row>
    <row r="582" spans="9:26" ht="12.75" x14ac:dyDescent="0.2">
      <c r="I582" s="26"/>
      <c r="J582" s="26"/>
      <c r="K582" s="26"/>
      <c r="Y582" s="26"/>
      <c r="Z582" s="26"/>
    </row>
    <row r="583" spans="9:26" ht="12.75" x14ac:dyDescent="0.2">
      <c r="I583" s="26"/>
      <c r="J583" s="26"/>
      <c r="K583" s="26"/>
      <c r="Y583" s="26"/>
      <c r="Z583" s="26"/>
    </row>
    <row r="584" spans="9:26" ht="12.75" x14ac:dyDescent="0.2">
      <c r="I584" s="26"/>
      <c r="J584" s="26"/>
      <c r="K584" s="26"/>
      <c r="Y584" s="26"/>
      <c r="Z584" s="26"/>
    </row>
    <row r="585" spans="9:26" ht="12.75" x14ac:dyDescent="0.2">
      <c r="I585" s="26"/>
      <c r="J585" s="26"/>
      <c r="K585" s="26"/>
      <c r="Y585" s="26"/>
      <c r="Z585" s="26"/>
    </row>
    <row r="586" spans="9:26" ht="12.75" x14ac:dyDescent="0.2">
      <c r="I586" s="26"/>
      <c r="J586" s="26"/>
      <c r="K586" s="26"/>
      <c r="Y586" s="26"/>
      <c r="Z586" s="26"/>
    </row>
    <row r="587" spans="9:26" ht="12.75" x14ac:dyDescent="0.2">
      <c r="I587" s="26"/>
      <c r="J587" s="26"/>
      <c r="K587" s="26"/>
      <c r="Y587" s="26"/>
      <c r="Z587" s="26"/>
    </row>
    <row r="588" spans="9:26" ht="12.75" x14ac:dyDescent="0.2">
      <c r="I588" s="26"/>
      <c r="J588" s="26"/>
      <c r="K588" s="26"/>
      <c r="Y588" s="26"/>
      <c r="Z588" s="26"/>
    </row>
    <row r="589" spans="9:26" ht="12.75" x14ac:dyDescent="0.2">
      <c r="I589" s="26"/>
      <c r="J589" s="26"/>
      <c r="K589" s="26"/>
      <c r="Y589" s="26"/>
      <c r="Z589" s="26"/>
    </row>
    <row r="590" spans="9:26" ht="12.75" x14ac:dyDescent="0.2">
      <c r="I590" s="26"/>
      <c r="J590" s="26"/>
      <c r="K590" s="26"/>
      <c r="Y590" s="26"/>
      <c r="Z590" s="26"/>
    </row>
    <row r="591" spans="9:26" ht="12.75" x14ac:dyDescent="0.2">
      <c r="I591" s="26"/>
      <c r="J591" s="26"/>
      <c r="K591" s="26"/>
      <c r="Y591" s="26"/>
      <c r="Z591" s="26"/>
    </row>
    <row r="592" spans="9:26" ht="12.75" x14ac:dyDescent="0.2">
      <c r="I592" s="26"/>
      <c r="J592" s="26"/>
      <c r="K592" s="26"/>
      <c r="Y592" s="26"/>
      <c r="Z592" s="26"/>
    </row>
    <row r="593" spans="9:26" ht="12.75" x14ac:dyDescent="0.2">
      <c r="I593" s="26"/>
      <c r="J593" s="26"/>
      <c r="K593" s="26"/>
      <c r="Y593" s="26"/>
      <c r="Z593" s="26"/>
    </row>
    <row r="594" spans="9:26" ht="12.75" x14ac:dyDescent="0.2">
      <c r="I594" s="26"/>
      <c r="J594" s="26"/>
      <c r="K594" s="26"/>
      <c r="Y594" s="26"/>
      <c r="Z594" s="26"/>
    </row>
    <row r="595" spans="9:26" ht="12.75" x14ac:dyDescent="0.2">
      <c r="I595" s="26"/>
      <c r="J595" s="26"/>
      <c r="K595" s="26"/>
      <c r="Y595" s="26"/>
      <c r="Z595" s="26"/>
    </row>
    <row r="596" spans="9:26" ht="12.75" x14ac:dyDescent="0.2">
      <c r="I596" s="26"/>
      <c r="J596" s="26"/>
      <c r="K596" s="26"/>
      <c r="Y596" s="26"/>
      <c r="Z596" s="26"/>
    </row>
    <row r="597" spans="9:26" ht="12.75" x14ac:dyDescent="0.2">
      <c r="I597" s="26"/>
      <c r="J597" s="26"/>
      <c r="K597" s="26"/>
      <c r="Y597" s="26"/>
      <c r="Z597" s="26"/>
    </row>
    <row r="598" spans="9:26" ht="12.75" x14ac:dyDescent="0.2">
      <c r="I598" s="26"/>
      <c r="J598" s="26"/>
      <c r="K598" s="26"/>
      <c r="Y598" s="26"/>
      <c r="Z598" s="26"/>
    </row>
    <row r="599" spans="9:26" ht="12.75" x14ac:dyDescent="0.2">
      <c r="I599" s="26"/>
      <c r="J599" s="26"/>
      <c r="K599" s="26"/>
      <c r="Y599" s="26"/>
      <c r="Z599" s="26"/>
    </row>
    <row r="600" spans="9:26" ht="12.75" x14ac:dyDescent="0.2">
      <c r="I600" s="26"/>
      <c r="J600" s="26"/>
      <c r="K600" s="26"/>
      <c r="Y600" s="26"/>
      <c r="Z600" s="26"/>
    </row>
    <row r="601" spans="9:26" ht="12.75" x14ac:dyDescent="0.2">
      <c r="I601" s="26"/>
      <c r="J601" s="26"/>
      <c r="K601" s="26"/>
      <c r="Y601" s="26"/>
      <c r="Z601" s="26"/>
    </row>
    <row r="602" spans="9:26" ht="12.75" x14ac:dyDescent="0.2">
      <c r="I602" s="26"/>
      <c r="J602" s="26"/>
      <c r="K602" s="26"/>
      <c r="Y602" s="26"/>
      <c r="Z602" s="26"/>
    </row>
    <row r="603" spans="9:26" ht="12.75" x14ac:dyDescent="0.2">
      <c r="I603" s="26"/>
      <c r="J603" s="26"/>
      <c r="K603" s="26"/>
      <c r="Y603" s="26"/>
      <c r="Z603" s="26"/>
    </row>
    <row r="604" spans="9:26" ht="12.75" x14ac:dyDescent="0.2">
      <c r="I604" s="26"/>
      <c r="J604" s="26"/>
      <c r="K604" s="26"/>
      <c r="Y604" s="26"/>
      <c r="Z604" s="26"/>
    </row>
    <row r="605" spans="9:26" ht="12.75" x14ac:dyDescent="0.2">
      <c r="I605" s="26"/>
      <c r="J605" s="26"/>
      <c r="K605" s="26"/>
      <c r="Y605" s="26"/>
      <c r="Z605" s="26"/>
    </row>
    <row r="606" spans="9:26" ht="12.75" x14ac:dyDescent="0.2">
      <c r="I606" s="26"/>
      <c r="J606" s="26"/>
      <c r="K606" s="26"/>
      <c r="Y606" s="26"/>
      <c r="Z606" s="26"/>
    </row>
    <row r="607" spans="9:26" ht="12.75" x14ac:dyDescent="0.2">
      <c r="I607" s="26"/>
      <c r="J607" s="26"/>
      <c r="K607" s="26"/>
      <c r="Y607" s="26"/>
      <c r="Z607" s="26"/>
    </row>
    <row r="608" spans="9:26" ht="12.75" x14ac:dyDescent="0.2">
      <c r="I608" s="26"/>
      <c r="J608" s="26"/>
      <c r="K608" s="26"/>
      <c r="Y608" s="26"/>
      <c r="Z608" s="26"/>
    </row>
    <row r="609" spans="9:26" ht="12.75" x14ac:dyDescent="0.2">
      <c r="I609" s="26"/>
      <c r="J609" s="26"/>
      <c r="K609" s="26"/>
      <c r="Y609" s="26"/>
      <c r="Z609" s="26"/>
    </row>
    <row r="610" spans="9:26" ht="12.75" x14ac:dyDescent="0.2">
      <c r="I610" s="26"/>
      <c r="J610" s="26"/>
      <c r="K610" s="26"/>
      <c r="Y610" s="26"/>
      <c r="Z610" s="26"/>
    </row>
    <row r="611" spans="9:26" ht="12.75" x14ac:dyDescent="0.2">
      <c r="I611" s="26"/>
      <c r="J611" s="26"/>
      <c r="K611" s="26"/>
      <c r="Y611" s="26"/>
      <c r="Z611" s="26"/>
    </row>
    <row r="612" spans="9:26" ht="12.75" x14ac:dyDescent="0.2">
      <c r="I612" s="26"/>
      <c r="J612" s="26"/>
      <c r="K612" s="26"/>
      <c r="Y612" s="26"/>
      <c r="Z612" s="26"/>
    </row>
    <row r="613" spans="9:26" ht="12.75" x14ac:dyDescent="0.2">
      <c r="I613" s="26"/>
      <c r="J613" s="26"/>
      <c r="K613" s="26"/>
      <c r="Y613" s="26"/>
      <c r="Z613" s="26"/>
    </row>
    <row r="614" spans="9:26" ht="12.75" x14ac:dyDescent="0.2">
      <c r="I614" s="26"/>
      <c r="J614" s="26"/>
      <c r="K614" s="26"/>
      <c r="Y614" s="26"/>
      <c r="Z614" s="26"/>
    </row>
    <row r="615" spans="9:26" ht="12.75" x14ac:dyDescent="0.2">
      <c r="I615" s="26"/>
      <c r="J615" s="26"/>
      <c r="K615" s="26"/>
      <c r="Y615" s="26"/>
      <c r="Z615" s="26"/>
    </row>
    <row r="616" spans="9:26" ht="12.75" x14ac:dyDescent="0.2">
      <c r="I616" s="26"/>
      <c r="J616" s="26"/>
      <c r="K616" s="26"/>
      <c r="Y616" s="26"/>
      <c r="Z616" s="26"/>
    </row>
    <row r="617" spans="9:26" ht="12.75" x14ac:dyDescent="0.2">
      <c r="I617" s="26"/>
      <c r="J617" s="26"/>
      <c r="K617" s="26"/>
      <c r="Y617" s="26"/>
      <c r="Z617" s="26"/>
    </row>
    <row r="618" spans="9:26" ht="12.75" x14ac:dyDescent="0.2">
      <c r="I618" s="26"/>
      <c r="J618" s="26"/>
      <c r="K618" s="26"/>
      <c r="Y618" s="26"/>
      <c r="Z618" s="26"/>
    </row>
    <row r="619" spans="9:26" ht="12.75" x14ac:dyDescent="0.2">
      <c r="I619" s="26"/>
      <c r="J619" s="26"/>
      <c r="K619" s="26"/>
      <c r="Y619" s="26"/>
      <c r="Z619" s="26"/>
    </row>
    <row r="620" spans="9:26" ht="12.75" x14ac:dyDescent="0.2">
      <c r="I620" s="26"/>
      <c r="J620" s="26"/>
      <c r="K620" s="26"/>
      <c r="Y620" s="26"/>
      <c r="Z620" s="26"/>
    </row>
    <row r="621" spans="9:26" ht="12.75" x14ac:dyDescent="0.2">
      <c r="I621" s="26"/>
      <c r="J621" s="26"/>
      <c r="K621" s="26"/>
      <c r="Y621" s="26"/>
      <c r="Z621" s="26"/>
    </row>
    <row r="622" spans="9:26" ht="12.75" x14ac:dyDescent="0.2">
      <c r="I622" s="26"/>
      <c r="J622" s="26"/>
      <c r="K622" s="26"/>
      <c r="Y622" s="26"/>
      <c r="Z622" s="26"/>
    </row>
    <row r="623" spans="9:26" ht="12.75" x14ac:dyDescent="0.2">
      <c r="I623" s="26"/>
      <c r="J623" s="26"/>
      <c r="K623" s="26"/>
      <c r="Y623" s="26"/>
      <c r="Z623" s="26"/>
    </row>
    <row r="624" spans="9:26" ht="12.75" x14ac:dyDescent="0.2">
      <c r="I624" s="26"/>
      <c r="J624" s="26"/>
      <c r="K624" s="26"/>
      <c r="Y624" s="26"/>
      <c r="Z624" s="26"/>
    </row>
    <row r="625" spans="9:26" ht="12.75" x14ac:dyDescent="0.2">
      <c r="I625" s="26"/>
      <c r="J625" s="26"/>
      <c r="K625" s="26"/>
      <c r="Y625" s="26"/>
      <c r="Z625" s="26"/>
    </row>
    <row r="626" spans="9:26" ht="12.75" x14ac:dyDescent="0.2">
      <c r="I626" s="26"/>
      <c r="J626" s="26"/>
      <c r="K626" s="26"/>
      <c r="Y626" s="26"/>
      <c r="Z626" s="26"/>
    </row>
    <row r="627" spans="9:26" ht="12.75" x14ac:dyDescent="0.2">
      <c r="I627" s="26"/>
      <c r="J627" s="26"/>
      <c r="K627" s="26"/>
      <c r="Y627" s="26"/>
      <c r="Z627" s="26"/>
    </row>
    <row r="628" spans="9:26" ht="12.75" x14ac:dyDescent="0.2">
      <c r="I628" s="26"/>
      <c r="J628" s="26"/>
      <c r="K628" s="26"/>
      <c r="Y628" s="26"/>
      <c r="Z628" s="26"/>
    </row>
    <row r="629" spans="9:26" ht="12.75" x14ac:dyDescent="0.2">
      <c r="I629" s="26"/>
      <c r="J629" s="26"/>
      <c r="K629" s="26"/>
      <c r="Y629" s="26"/>
      <c r="Z629" s="26"/>
    </row>
    <row r="630" spans="9:26" ht="12.75" x14ac:dyDescent="0.2">
      <c r="I630" s="26"/>
      <c r="J630" s="26"/>
      <c r="K630" s="26"/>
      <c r="Y630" s="26"/>
      <c r="Z630" s="26"/>
    </row>
    <row r="631" spans="9:26" ht="12.75" x14ac:dyDescent="0.2">
      <c r="I631" s="26"/>
      <c r="J631" s="26"/>
      <c r="K631" s="26"/>
      <c r="Y631" s="26"/>
      <c r="Z631" s="26"/>
    </row>
    <row r="632" spans="9:26" ht="12.75" x14ac:dyDescent="0.2">
      <c r="I632" s="26"/>
      <c r="J632" s="26"/>
      <c r="K632" s="26"/>
      <c r="Y632" s="26"/>
      <c r="Z632" s="26"/>
    </row>
    <row r="633" spans="9:26" ht="12.75" x14ac:dyDescent="0.2">
      <c r="I633" s="26"/>
      <c r="J633" s="26"/>
      <c r="K633" s="26"/>
      <c r="Y633" s="26"/>
      <c r="Z633" s="26"/>
    </row>
    <row r="634" spans="9:26" ht="12.75" x14ac:dyDescent="0.2">
      <c r="I634" s="26"/>
      <c r="J634" s="26"/>
      <c r="K634" s="26"/>
      <c r="Y634" s="26"/>
      <c r="Z634" s="26"/>
    </row>
    <row r="635" spans="9:26" ht="12.75" x14ac:dyDescent="0.2">
      <c r="I635" s="26"/>
      <c r="J635" s="26"/>
      <c r="K635" s="26"/>
      <c r="Y635" s="26"/>
      <c r="Z635" s="26"/>
    </row>
    <row r="636" spans="9:26" ht="12.75" x14ac:dyDescent="0.2">
      <c r="I636" s="26"/>
      <c r="J636" s="26"/>
      <c r="K636" s="26"/>
      <c r="Y636" s="26"/>
      <c r="Z636" s="26"/>
    </row>
    <row r="637" spans="9:26" ht="12.75" x14ac:dyDescent="0.2">
      <c r="I637" s="26"/>
      <c r="J637" s="26"/>
      <c r="K637" s="26"/>
      <c r="Y637" s="26"/>
      <c r="Z637" s="26"/>
    </row>
    <row r="638" spans="9:26" ht="12.75" x14ac:dyDescent="0.2">
      <c r="I638" s="26"/>
      <c r="J638" s="26"/>
      <c r="K638" s="26"/>
      <c r="Y638" s="26"/>
      <c r="Z638" s="26"/>
    </row>
    <row r="639" spans="9:26" ht="12.75" x14ac:dyDescent="0.2">
      <c r="I639" s="26"/>
      <c r="J639" s="26"/>
      <c r="K639" s="26"/>
      <c r="Y639" s="26"/>
      <c r="Z639" s="26"/>
    </row>
    <row r="640" spans="9:26" ht="12.75" x14ac:dyDescent="0.2">
      <c r="I640" s="26"/>
      <c r="J640" s="26"/>
      <c r="K640" s="26"/>
      <c r="Y640" s="26"/>
      <c r="Z640" s="26"/>
    </row>
    <row r="641" spans="9:26" ht="12.75" x14ac:dyDescent="0.2">
      <c r="I641" s="26"/>
      <c r="J641" s="26"/>
      <c r="K641" s="26"/>
      <c r="Y641" s="26"/>
      <c r="Z641" s="26"/>
    </row>
    <row r="642" spans="9:26" ht="12.75" x14ac:dyDescent="0.2">
      <c r="I642" s="26"/>
      <c r="J642" s="26"/>
      <c r="K642" s="26"/>
      <c r="Y642" s="26"/>
      <c r="Z642" s="26"/>
    </row>
    <row r="643" spans="9:26" ht="12.75" x14ac:dyDescent="0.2">
      <c r="I643" s="26"/>
      <c r="J643" s="26"/>
      <c r="K643" s="26"/>
      <c r="Y643" s="26"/>
      <c r="Z643" s="26"/>
    </row>
    <row r="644" spans="9:26" ht="12.75" x14ac:dyDescent="0.2">
      <c r="I644" s="26"/>
      <c r="J644" s="26"/>
      <c r="K644" s="26"/>
      <c r="Y644" s="26"/>
      <c r="Z644" s="26"/>
    </row>
    <row r="645" spans="9:26" ht="12.75" x14ac:dyDescent="0.2">
      <c r="I645" s="26"/>
      <c r="J645" s="26"/>
      <c r="K645" s="26"/>
      <c r="Y645" s="26"/>
      <c r="Z645" s="26"/>
    </row>
    <row r="646" spans="9:26" ht="12.75" x14ac:dyDescent="0.2">
      <c r="I646" s="26"/>
      <c r="J646" s="26"/>
      <c r="K646" s="26"/>
      <c r="Y646" s="26"/>
      <c r="Z646" s="26"/>
    </row>
    <row r="647" spans="9:26" ht="12.75" x14ac:dyDescent="0.2">
      <c r="I647" s="26"/>
      <c r="J647" s="26"/>
      <c r="K647" s="26"/>
      <c r="Y647" s="26"/>
      <c r="Z647" s="26"/>
    </row>
    <row r="648" spans="9:26" ht="12.75" x14ac:dyDescent="0.2">
      <c r="I648" s="26"/>
      <c r="J648" s="26"/>
      <c r="K648" s="26"/>
      <c r="Y648" s="26"/>
      <c r="Z648" s="26"/>
    </row>
    <row r="649" spans="9:26" ht="12.75" x14ac:dyDescent="0.2">
      <c r="I649" s="26"/>
      <c r="J649" s="26"/>
      <c r="K649" s="26"/>
      <c r="Y649" s="26"/>
      <c r="Z649" s="26"/>
    </row>
    <row r="650" spans="9:26" ht="12.75" x14ac:dyDescent="0.2">
      <c r="I650" s="26"/>
      <c r="J650" s="26"/>
      <c r="K650" s="26"/>
      <c r="Y650" s="26"/>
      <c r="Z650" s="26"/>
    </row>
    <row r="651" spans="9:26" ht="12.75" x14ac:dyDescent="0.2">
      <c r="I651" s="26"/>
      <c r="J651" s="26"/>
      <c r="K651" s="26"/>
      <c r="Y651" s="26"/>
      <c r="Z651" s="26"/>
    </row>
    <row r="652" spans="9:26" ht="12.75" x14ac:dyDescent="0.2">
      <c r="I652" s="26"/>
      <c r="J652" s="26"/>
      <c r="K652" s="26"/>
      <c r="Y652" s="26"/>
      <c r="Z652" s="26"/>
    </row>
    <row r="653" spans="9:26" ht="12.75" x14ac:dyDescent="0.2">
      <c r="I653" s="26"/>
      <c r="J653" s="26"/>
      <c r="K653" s="26"/>
      <c r="Y653" s="26"/>
      <c r="Z653" s="26"/>
    </row>
    <row r="654" spans="9:26" ht="12.75" x14ac:dyDescent="0.2">
      <c r="I654" s="26"/>
      <c r="J654" s="26"/>
      <c r="K654" s="26"/>
      <c r="Y654" s="26"/>
      <c r="Z654" s="26"/>
    </row>
    <row r="655" spans="9:26" ht="12.75" x14ac:dyDescent="0.2">
      <c r="I655" s="26"/>
      <c r="J655" s="26"/>
      <c r="K655" s="26"/>
      <c r="Y655" s="26"/>
      <c r="Z655" s="26"/>
    </row>
    <row r="656" spans="9:26" ht="12.75" x14ac:dyDescent="0.2">
      <c r="I656" s="26"/>
      <c r="J656" s="26"/>
      <c r="K656" s="26"/>
      <c r="Y656" s="26"/>
      <c r="Z656" s="26"/>
    </row>
    <row r="657" spans="9:26" ht="12.75" x14ac:dyDescent="0.2">
      <c r="I657" s="26"/>
      <c r="J657" s="26"/>
      <c r="K657" s="26"/>
      <c r="Y657" s="26"/>
      <c r="Z657" s="26"/>
    </row>
    <row r="658" spans="9:26" ht="12.75" x14ac:dyDescent="0.2">
      <c r="I658" s="26"/>
      <c r="J658" s="26"/>
      <c r="K658" s="26"/>
      <c r="Y658" s="26"/>
      <c r="Z658" s="26"/>
    </row>
    <row r="659" spans="9:26" ht="12.75" x14ac:dyDescent="0.2">
      <c r="I659" s="26"/>
      <c r="J659" s="26"/>
      <c r="K659" s="26"/>
      <c r="Y659" s="26"/>
      <c r="Z659" s="26"/>
    </row>
    <row r="660" spans="9:26" ht="12.75" x14ac:dyDescent="0.2">
      <c r="I660" s="26"/>
      <c r="J660" s="26"/>
      <c r="K660" s="26"/>
      <c r="Y660" s="26"/>
      <c r="Z660" s="26"/>
    </row>
    <row r="661" spans="9:26" ht="12.75" x14ac:dyDescent="0.2">
      <c r="I661" s="26"/>
      <c r="J661" s="26"/>
      <c r="K661" s="26"/>
      <c r="Y661" s="26"/>
      <c r="Z661" s="26"/>
    </row>
    <row r="662" spans="9:26" ht="12.75" x14ac:dyDescent="0.2">
      <c r="I662" s="26"/>
      <c r="J662" s="26"/>
      <c r="K662" s="26"/>
      <c r="Y662" s="26"/>
      <c r="Z662" s="26"/>
    </row>
    <row r="663" spans="9:26" ht="12.75" x14ac:dyDescent="0.2">
      <c r="I663" s="26"/>
      <c r="J663" s="26"/>
      <c r="K663" s="26"/>
      <c r="Y663" s="26"/>
      <c r="Z663" s="26"/>
    </row>
    <row r="664" spans="9:26" ht="12.75" x14ac:dyDescent="0.2">
      <c r="I664" s="26"/>
      <c r="J664" s="26"/>
      <c r="K664" s="26"/>
      <c r="Y664" s="26"/>
      <c r="Z664" s="26"/>
    </row>
    <row r="665" spans="9:26" ht="12.75" x14ac:dyDescent="0.2">
      <c r="I665" s="26"/>
      <c r="J665" s="26"/>
      <c r="K665" s="26"/>
      <c r="Y665" s="26"/>
      <c r="Z665" s="26"/>
    </row>
    <row r="666" spans="9:26" ht="12.75" x14ac:dyDescent="0.2">
      <c r="I666" s="26"/>
      <c r="J666" s="26"/>
      <c r="K666" s="26"/>
      <c r="Y666" s="26"/>
      <c r="Z666" s="26"/>
    </row>
    <row r="667" spans="9:26" ht="12.75" x14ac:dyDescent="0.2">
      <c r="I667" s="26"/>
      <c r="J667" s="26"/>
      <c r="K667" s="26"/>
      <c r="Y667" s="26"/>
      <c r="Z667" s="26"/>
    </row>
    <row r="668" spans="9:26" ht="12.75" x14ac:dyDescent="0.2">
      <c r="I668" s="26"/>
      <c r="J668" s="26"/>
      <c r="K668" s="26"/>
      <c r="Y668" s="26"/>
      <c r="Z668" s="26"/>
    </row>
    <row r="669" spans="9:26" ht="12.75" x14ac:dyDescent="0.2">
      <c r="I669" s="26"/>
      <c r="J669" s="26"/>
      <c r="K669" s="26"/>
      <c r="Y669" s="26"/>
      <c r="Z669" s="26"/>
    </row>
    <row r="670" spans="9:26" ht="12.75" x14ac:dyDescent="0.2">
      <c r="I670" s="26"/>
      <c r="J670" s="26"/>
      <c r="K670" s="26"/>
      <c r="Y670" s="26"/>
      <c r="Z670" s="26"/>
    </row>
    <row r="671" spans="9:26" ht="12.75" x14ac:dyDescent="0.2">
      <c r="I671" s="26"/>
      <c r="J671" s="26"/>
      <c r="K671" s="26"/>
      <c r="Y671" s="26"/>
      <c r="Z671" s="26"/>
    </row>
    <row r="672" spans="9:26" ht="12.75" x14ac:dyDescent="0.2">
      <c r="I672" s="26"/>
      <c r="J672" s="26"/>
      <c r="K672" s="26"/>
      <c r="Y672" s="26"/>
      <c r="Z672" s="26"/>
    </row>
    <row r="673" spans="9:26" ht="12.75" x14ac:dyDescent="0.2">
      <c r="I673" s="26"/>
      <c r="J673" s="26"/>
      <c r="K673" s="26"/>
      <c r="Y673" s="26"/>
      <c r="Z673" s="26"/>
    </row>
    <row r="674" spans="9:26" ht="12.75" x14ac:dyDescent="0.2">
      <c r="I674" s="26"/>
      <c r="J674" s="26"/>
      <c r="K674" s="26"/>
      <c r="Y674" s="26"/>
      <c r="Z674" s="26"/>
    </row>
    <row r="675" spans="9:26" ht="12.75" x14ac:dyDescent="0.2">
      <c r="I675" s="26"/>
      <c r="J675" s="26"/>
      <c r="K675" s="26"/>
      <c r="Y675" s="26"/>
      <c r="Z675" s="26"/>
    </row>
    <row r="676" spans="9:26" ht="12.75" x14ac:dyDescent="0.2">
      <c r="I676" s="26"/>
      <c r="J676" s="26"/>
      <c r="K676" s="26"/>
      <c r="Y676" s="26"/>
      <c r="Z676" s="26"/>
    </row>
    <row r="677" spans="9:26" ht="12.75" x14ac:dyDescent="0.2">
      <c r="I677" s="26"/>
      <c r="J677" s="26"/>
      <c r="K677" s="26"/>
      <c r="Y677" s="26"/>
      <c r="Z677" s="26"/>
    </row>
    <row r="678" spans="9:26" ht="12.75" x14ac:dyDescent="0.2">
      <c r="I678" s="26"/>
      <c r="J678" s="26"/>
      <c r="K678" s="26"/>
      <c r="Y678" s="26"/>
      <c r="Z678" s="26"/>
    </row>
    <row r="679" spans="9:26" ht="12.75" x14ac:dyDescent="0.2">
      <c r="I679" s="26"/>
      <c r="J679" s="26"/>
      <c r="K679" s="26"/>
      <c r="Y679" s="26"/>
      <c r="Z679" s="26"/>
    </row>
    <row r="680" spans="9:26" ht="12.75" x14ac:dyDescent="0.2">
      <c r="I680" s="26"/>
      <c r="J680" s="26"/>
      <c r="K680" s="26"/>
      <c r="Y680" s="26"/>
      <c r="Z680" s="26"/>
    </row>
    <row r="681" spans="9:26" ht="12.75" x14ac:dyDescent="0.2">
      <c r="I681" s="26"/>
      <c r="J681" s="26"/>
      <c r="K681" s="26"/>
      <c r="Y681" s="26"/>
      <c r="Z681" s="26"/>
    </row>
    <row r="682" spans="9:26" ht="12.75" x14ac:dyDescent="0.2">
      <c r="I682" s="26"/>
      <c r="J682" s="26"/>
      <c r="K682" s="26"/>
      <c r="Y682" s="26"/>
      <c r="Z682" s="26"/>
    </row>
    <row r="683" spans="9:26" ht="12.75" x14ac:dyDescent="0.2">
      <c r="I683" s="26"/>
      <c r="J683" s="26"/>
      <c r="K683" s="26"/>
      <c r="Y683" s="26"/>
      <c r="Z683" s="26"/>
    </row>
    <row r="684" spans="9:26" ht="12.75" x14ac:dyDescent="0.2">
      <c r="I684" s="26"/>
      <c r="J684" s="26"/>
      <c r="K684" s="26"/>
      <c r="Y684" s="26"/>
      <c r="Z684" s="26"/>
    </row>
    <row r="685" spans="9:26" ht="12.75" x14ac:dyDescent="0.2">
      <c r="I685" s="26"/>
      <c r="J685" s="26"/>
      <c r="K685" s="26"/>
      <c r="Y685" s="26"/>
      <c r="Z685" s="26"/>
    </row>
    <row r="686" spans="9:26" ht="12.75" x14ac:dyDescent="0.2">
      <c r="I686" s="26"/>
      <c r="J686" s="26"/>
      <c r="K686" s="26"/>
      <c r="Y686" s="26"/>
      <c r="Z686" s="26"/>
    </row>
    <row r="687" spans="9:26" ht="12.75" x14ac:dyDescent="0.2">
      <c r="I687" s="26"/>
      <c r="J687" s="26"/>
      <c r="K687" s="26"/>
      <c r="Y687" s="26"/>
      <c r="Z687" s="26"/>
    </row>
    <row r="688" spans="9:26" ht="12.75" x14ac:dyDescent="0.2">
      <c r="I688" s="26"/>
      <c r="J688" s="26"/>
      <c r="K688" s="26"/>
      <c r="Y688" s="26"/>
      <c r="Z688" s="26"/>
    </row>
    <row r="689" spans="9:26" ht="12.75" x14ac:dyDescent="0.2">
      <c r="I689" s="26"/>
      <c r="J689" s="26"/>
      <c r="K689" s="26"/>
      <c r="Y689" s="26"/>
      <c r="Z689" s="26"/>
    </row>
    <row r="690" spans="9:26" ht="12.75" x14ac:dyDescent="0.2">
      <c r="I690" s="26"/>
      <c r="J690" s="26"/>
      <c r="K690" s="26"/>
      <c r="Y690" s="26"/>
      <c r="Z690" s="26"/>
    </row>
    <row r="691" spans="9:26" ht="12.75" x14ac:dyDescent="0.2">
      <c r="I691" s="26"/>
      <c r="J691" s="26"/>
      <c r="K691" s="26"/>
      <c r="Y691" s="26"/>
      <c r="Z691" s="26"/>
    </row>
    <row r="692" spans="9:26" ht="12.75" x14ac:dyDescent="0.2">
      <c r="I692" s="26"/>
      <c r="J692" s="26"/>
      <c r="K692" s="26"/>
      <c r="Y692" s="26"/>
      <c r="Z692" s="26"/>
    </row>
    <row r="693" spans="9:26" ht="12.75" x14ac:dyDescent="0.2">
      <c r="I693" s="26"/>
      <c r="J693" s="26"/>
      <c r="K693" s="26"/>
      <c r="Y693" s="26"/>
      <c r="Z693" s="26"/>
    </row>
    <row r="694" spans="9:26" ht="12.75" x14ac:dyDescent="0.2">
      <c r="I694" s="26"/>
      <c r="J694" s="26"/>
      <c r="K694" s="26"/>
      <c r="Y694" s="26"/>
      <c r="Z694" s="26"/>
    </row>
    <row r="695" spans="9:26" ht="12.75" x14ac:dyDescent="0.2">
      <c r="I695" s="26"/>
      <c r="J695" s="26"/>
      <c r="K695" s="26"/>
      <c r="Y695" s="26"/>
      <c r="Z695" s="26"/>
    </row>
    <row r="696" spans="9:26" ht="12.75" x14ac:dyDescent="0.2">
      <c r="I696" s="26"/>
      <c r="J696" s="26"/>
      <c r="K696" s="26"/>
      <c r="Y696" s="26"/>
      <c r="Z696" s="26"/>
    </row>
    <row r="697" spans="9:26" ht="12.75" x14ac:dyDescent="0.2">
      <c r="I697" s="26"/>
      <c r="J697" s="26"/>
      <c r="K697" s="26"/>
      <c r="Y697" s="26"/>
      <c r="Z697" s="26"/>
    </row>
    <row r="698" spans="9:26" ht="12.75" x14ac:dyDescent="0.2">
      <c r="I698" s="26"/>
      <c r="J698" s="26"/>
      <c r="K698" s="26"/>
      <c r="Y698" s="26"/>
      <c r="Z698" s="26"/>
    </row>
    <row r="699" spans="9:26" ht="12.75" x14ac:dyDescent="0.2">
      <c r="I699" s="26"/>
      <c r="J699" s="26"/>
      <c r="K699" s="26"/>
      <c r="Y699" s="26"/>
      <c r="Z699" s="26"/>
    </row>
    <row r="700" spans="9:26" ht="12.75" x14ac:dyDescent="0.2">
      <c r="I700" s="26"/>
      <c r="J700" s="26"/>
      <c r="K700" s="26"/>
      <c r="Y700" s="26"/>
      <c r="Z700" s="26"/>
    </row>
    <row r="701" spans="9:26" ht="12.75" x14ac:dyDescent="0.2">
      <c r="I701" s="26"/>
      <c r="J701" s="26"/>
      <c r="K701" s="26"/>
      <c r="Y701" s="26"/>
      <c r="Z701" s="26"/>
    </row>
    <row r="702" spans="9:26" ht="12.75" x14ac:dyDescent="0.2">
      <c r="I702" s="26"/>
      <c r="J702" s="26"/>
      <c r="K702" s="26"/>
      <c r="Y702" s="26"/>
      <c r="Z702" s="26"/>
    </row>
    <row r="703" spans="9:26" ht="12.75" x14ac:dyDescent="0.2">
      <c r="I703" s="26"/>
      <c r="J703" s="26"/>
      <c r="K703" s="26"/>
      <c r="Y703" s="26"/>
      <c r="Z703" s="26"/>
    </row>
    <row r="704" spans="9:26" ht="12.75" x14ac:dyDescent="0.2">
      <c r="I704" s="26"/>
      <c r="J704" s="26"/>
      <c r="K704" s="26"/>
      <c r="Y704" s="26"/>
      <c r="Z704" s="26"/>
    </row>
    <row r="705" spans="9:26" ht="12.75" x14ac:dyDescent="0.2">
      <c r="I705" s="26"/>
      <c r="J705" s="26"/>
      <c r="K705" s="26"/>
      <c r="Y705" s="26"/>
      <c r="Z705" s="26"/>
    </row>
    <row r="706" spans="9:26" ht="12.75" x14ac:dyDescent="0.2">
      <c r="I706" s="26"/>
      <c r="J706" s="26"/>
      <c r="K706" s="26"/>
      <c r="Y706" s="26"/>
      <c r="Z706" s="26"/>
    </row>
    <row r="707" spans="9:26" ht="12.75" x14ac:dyDescent="0.2">
      <c r="I707" s="26"/>
      <c r="J707" s="26"/>
      <c r="K707" s="26"/>
      <c r="Y707" s="26"/>
      <c r="Z707" s="26"/>
    </row>
    <row r="708" spans="9:26" ht="12.75" x14ac:dyDescent="0.2">
      <c r="I708" s="26"/>
      <c r="J708" s="26"/>
      <c r="K708" s="26"/>
      <c r="Y708" s="26"/>
      <c r="Z708" s="26"/>
    </row>
    <row r="709" spans="9:26" ht="12.75" x14ac:dyDescent="0.2">
      <c r="I709" s="26"/>
      <c r="J709" s="26"/>
      <c r="K709" s="26"/>
      <c r="Y709" s="26"/>
      <c r="Z709" s="26"/>
    </row>
    <row r="710" spans="9:26" ht="12.75" x14ac:dyDescent="0.2">
      <c r="I710" s="26"/>
      <c r="J710" s="26"/>
      <c r="K710" s="26"/>
      <c r="Y710" s="26"/>
      <c r="Z710" s="26"/>
    </row>
    <row r="711" spans="9:26" ht="12.75" x14ac:dyDescent="0.2">
      <c r="I711" s="26"/>
      <c r="J711" s="26"/>
      <c r="K711" s="26"/>
      <c r="Y711" s="26"/>
      <c r="Z711" s="26"/>
    </row>
    <row r="712" spans="9:26" ht="12.75" x14ac:dyDescent="0.2">
      <c r="I712" s="26"/>
      <c r="J712" s="26"/>
      <c r="K712" s="26"/>
      <c r="Y712" s="26"/>
      <c r="Z712" s="26"/>
    </row>
    <row r="713" spans="9:26" ht="12.75" x14ac:dyDescent="0.2">
      <c r="I713" s="26"/>
      <c r="J713" s="26"/>
      <c r="K713" s="26"/>
      <c r="Y713" s="26"/>
      <c r="Z713" s="26"/>
    </row>
    <row r="714" spans="9:26" ht="12.75" x14ac:dyDescent="0.2">
      <c r="I714" s="26"/>
      <c r="J714" s="26"/>
      <c r="K714" s="26"/>
      <c r="Y714" s="26"/>
      <c r="Z714" s="26"/>
    </row>
    <row r="715" spans="9:26" ht="12.75" x14ac:dyDescent="0.2">
      <c r="I715" s="26"/>
      <c r="J715" s="26"/>
      <c r="K715" s="26"/>
      <c r="Y715" s="26"/>
      <c r="Z715" s="26"/>
    </row>
    <row r="716" spans="9:26" ht="12.75" x14ac:dyDescent="0.2">
      <c r="I716" s="26"/>
      <c r="J716" s="26"/>
      <c r="K716" s="26"/>
      <c r="Y716" s="26"/>
      <c r="Z716" s="26"/>
    </row>
    <row r="717" spans="9:26" ht="12.75" x14ac:dyDescent="0.2">
      <c r="I717" s="26"/>
      <c r="J717" s="26"/>
      <c r="K717" s="26"/>
      <c r="Y717" s="26"/>
      <c r="Z717" s="26"/>
    </row>
    <row r="718" spans="9:26" ht="12.75" x14ac:dyDescent="0.2">
      <c r="I718" s="26"/>
      <c r="J718" s="26"/>
      <c r="K718" s="26"/>
      <c r="Y718" s="26"/>
      <c r="Z718" s="26"/>
    </row>
    <row r="719" spans="9:26" ht="12.75" x14ac:dyDescent="0.2">
      <c r="I719" s="26"/>
      <c r="J719" s="26"/>
      <c r="K719" s="26"/>
      <c r="Y719" s="26"/>
      <c r="Z719" s="26"/>
    </row>
    <row r="720" spans="9:26" ht="12.75" x14ac:dyDescent="0.2">
      <c r="I720" s="26"/>
      <c r="J720" s="26"/>
      <c r="K720" s="26"/>
      <c r="Y720" s="26"/>
      <c r="Z720" s="26"/>
    </row>
    <row r="721" spans="9:26" ht="12.75" x14ac:dyDescent="0.2">
      <c r="I721" s="26"/>
      <c r="J721" s="26"/>
      <c r="K721" s="26"/>
      <c r="Y721" s="26"/>
      <c r="Z721" s="26"/>
    </row>
    <row r="722" spans="9:26" ht="12.75" x14ac:dyDescent="0.2">
      <c r="I722" s="26"/>
      <c r="J722" s="26"/>
      <c r="K722" s="26"/>
      <c r="Y722" s="26"/>
      <c r="Z722" s="26"/>
    </row>
    <row r="723" spans="9:26" ht="12.75" x14ac:dyDescent="0.2">
      <c r="I723" s="26"/>
      <c r="J723" s="26"/>
      <c r="K723" s="26"/>
      <c r="Y723" s="26"/>
      <c r="Z723" s="26"/>
    </row>
    <row r="724" spans="9:26" ht="12.75" x14ac:dyDescent="0.2">
      <c r="I724" s="26"/>
      <c r="J724" s="26"/>
      <c r="K724" s="26"/>
      <c r="Y724" s="26"/>
      <c r="Z724" s="26"/>
    </row>
    <row r="725" spans="9:26" ht="12.75" x14ac:dyDescent="0.2">
      <c r="I725" s="26"/>
      <c r="J725" s="26"/>
      <c r="K725" s="26"/>
      <c r="Y725" s="26"/>
      <c r="Z725" s="26"/>
    </row>
    <row r="726" spans="9:26" ht="12.75" x14ac:dyDescent="0.2">
      <c r="I726" s="26"/>
      <c r="J726" s="26"/>
      <c r="K726" s="26"/>
      <c r="Y726" s="26"/>
      <c r="Z726" s="26"/>
    </row>
    <row r="727" spans="9:26" ht="12.75" x14ac:dyDescent="0.2">
      <c r="I727" s="26"/>
      <c r="J727" s="26"/>
      <c r="K727" s="26"/>
      <c r="Y727" s="26"/>
      <c r="Z727" s="26"/>
    </row>
    <row r="728" spans="9:26" ht="12.75" x14ac:dyDescent="0.2">
      <c r="I728" s="26"/>
      <c r="J728" s="26"/>
      <c r="K728" s="26"/>
      <c r="Y728" s="26"/>
      <c r="Z728" s="26"/>
    </row>
    <row r="729" spans="9:26" ht="12.75" x14ac:dyDescent="0.2">
      <c r="I729" s="26"/>
      <c r="J729" s="26"/>
      <c r="K729" s="26"/>
      <c r="Y729" s="26"/>
      <c r="Z729" s="26"/>
    </row>
    <row r="730" spans="9:26" ht="12.75" x14ac:dyDescent="0.2">
      <c r="I730" s="26"/>
      <c r="J730" s="26"/>
      <c r="K730" s="26"/>
      <c r="Y730" s="26"/>
      <c r="Z730" s="26"/>
    </row>
    <row r="731" spans="9:26" ht="12.75" x14ac:dyDescent="0.2">
      <c r="I731" s="26"/>
      <c r="J731" s="26"/>
      <c r="K731" s="26"/>
      <c r="Y731" s="26"/>
      <c r="Z731" s="26"/>
    </row>
    <row r="732" spans="9:26" ht="12.75" x14ac:dyDescent="0.2">
      <c r="I732" s="26"/>
      <c r="J732" s="26"/>
      <c r="K732" s="26"/>
      <c r="Y732" s="26"/>
      <c r="Z732" s="26"/>
    </row>
    <row r="733" spans="9:26" ht="12.75" x14ac:dyDescent="0.2">
      <c r="I733" s="26"/>
      <c r="J733" s="26"/>
      <c r="K733" s="26"/>
      <c r="Y733" s="26"/>
      <c r="Z733" s="26"/>
    </row>
    <row r="734" spans="9:26" ht="12.75" x14ac:dyDescent="0.2">
      <c r="I734" s="26"/>
      <c r="J734" s="26"/>
      <c r="K734" s="26"/>
      <c r="Y734" s="26"/>
      <c r="Z734" s="26"/>
    </row>
    <row r="735" spans="9:26" ht="12.75" x14ac:dyDescent="0.2">
      <c r="I735" s="26"/>
      <c r="J735" s="26"/>
      <c r="K735" s="26"/>
      <c r="Y735" s="26"/>
      <c r="Z735" s="26"/>
    </row>
    <row r="736" spans="9:26" ht="12.75" x14ac:dyDescent="0.2">
      <c r="I736" s="26"/>
      <c r="J736" s="26"/>
      <c r="K736" s="26"/>
      <c r="Y736" s="26"/>
      <c r="Z736" s="26"/>
    </row>
    <row r="737" spans="9:26" ht="12.75" x14ac:dyDescent="0.2">
      <c r="I737" s="26"/>
      <c r="J737" s="26"/>
      <c r="K737" s="26"/>
      <c r="Y737" s="26"/>
      <c r="Z737" s="26"/>
    </row>
    <row r="738" spans="9:26" ht="12.75" x14ac:dyDescent="0.2">
      <c r="I738" s="26"/>
      <c r="J738" s="26"/>
      <c r="K738" s="26"/>
      <c r="Y738" s="26"/>
      <c r="Z738" s="26"/>
    </row>
    <row r="739" spans="9:26" ht="12.75" x14ac:dyDescent="0.2">
      <c r="I739" s="26"/>
      <c r="J739" s="26"/>
      <c r="K739" s="26"/>
      <c r="Y739" s="26"/>
      <c r="Z739" s="26"/>
    </row>
    <row r="740" spans="9:26" ht="12.75" x14ac:dyDescent="0.2">
      <c r="I740" s="26"/>
      <c r="J740" s="26"/>
      <c r="K740" s="26"/>
      <c r="Y740" s="26"/>
      <c r="Z740" s="26"/>
    </row>
    <row r="741" spans="9:26" ht="12.75" x14ac:dyDescent="0.2">
      <c r="I741" s="26"/>
      <c r="J741" s="26"/>
      <c r="K741" s="26"/>
      <c r="Y741" s="26"/>
      <c r="Z741" s="26"/>
    </row>
    <row r="742" spans="9:26" ht="12.75" x14ac:dyDescent="0.2">
      <c r="I742" s="26"/>
      <c r="J742" s="26"/>
      <c r="K742" s="26"/>
      <c r="Y742" s="26"/>
      <c r="Z742" s="26"/>
    </row>
    <row r="743" spans="9:26" ht="12.75" x14ac:dyDescent="0.2">
      <c r="I743" s="26"/>
      <c r="J743" s="26"/>
      <c r="K743" s="26"/>
      <c r="Y743" s="26"/>
      <c r="Z743" s="26"/>
    </row>
    <row r="744" spans="9:26" ht="12.75" x14ac:dyDescent="0.2">
      <c r="I744" s="26"/>
      <c r="J744" s="26"/>
      <c r="K744" s="26"/>
      <c r="Y744" s="26"/>
      <c r="Z744" s="26"/>
    </row>
    <row r="745" spans="9:26" ht="12.75" x14ac:dyDescent="0.2">
      <c r="I745" s="26"/>
      <c r="J745" s="26"/>
      <c r="K745" s="26"/>
      <c r="Y745" s="26"/>
      <c r="Z745" s="26"/>
    </row>
    <row r="746" spans="9:26" ht="12.75" x14ac:dyDescent="0.2">
      <c r="I746" s="26"/>
      <c r="J746" s="26"/>
      <c r="K746" s="26"/>
      <c r="Y746" s="26"/>
      <c r="Z746" s="26"/>
    </row>
    <row r="747" spans="9:26" ht="12.75" x14ac:dyDescent="0.2">
      <c r="I747" s="26"/>
      <c r="J747" s="26"/>
      <c r="K747" s="26"/>
      <c r="Y747" s="26"/>
      <c r="Z747" s="26"/>
    </row>
    <row r="748" spans="9:26" ht="12.75" x14ac:dyDescent="0.2">
      <c r="I748" s="26"/>
      <c r="J748" s="26"/>
      <c r="K748" s="26"/>
      <c r="Y748" s="26"/>
      <c r="Z748" s="26"/>
    </row>
    <row r="749" spans="9:26" ht="12.75" x14ac:dyDescent="0.2">
      <c r="I749" s="26"/>
      <c r="J749" s="26"/>
      <c r="K749" s="26"/>
      <c r="Y749" s="26"/>
      <c r="Z749" s="26"/>
    </row>
    <row r="750" spans="9:26" ht="12.75" x14ac:dyDescent="0.2">
      <c r="I750" s="26"/>
      <c r="J750" s="26"/>
      <c r="K750" s="26"/>
      <c r="Y750" s="26"/>
      <c r="Z750" s="26"/>
    </row>
    <row r="751" spans="9:26" ht="12.75" x14ac:dyDescent="0.2">
      <c r="I751" s="26"/>
      <c r="J751" s="26"/>
      <c r="K751" s="26"/>
      <c r="Y751" s="26"/>
      <c r="Z751" s="26"/>
    </row>
    <row r="752" spans="9:26" ht="12.75" x14ac:dyDescent="0.2">
      <c r="I752" s="26"/>
      <c r="J752" s="26"/>
      <c r="K752" s="26"/>
      <c r="Y752" s="26"/>
      <c r="Z752" s="26"/>
    </row>
    <row r="753" spans="9:26" ht="12.75" x14ac:dyDescent="0.2">
      <c r="I753" s="26"/>
      <c r="J753" s="26"/>
      <c r="K753" s="26"/>
      <c r="Y753" s="26"/>
      <c r="Z753" s="26"/>
    </row>
    <row r="754" spans="9:26" ht="12.75" x14ac:dyDescent="0.2">
      <c r="I754" s="26"/>
      <c r="J754" s="26"/>
      <c r="K754" s="26"/>
      <c r="Y754" s="26"/>
      <c r="Z754" s="26"/>
    </row>
    <row r="755" spans="9:26" ht="12.75" x14ac:dyDescent="0.2">
      <c r="I755" s="26"/>
      <c r="J755" s="26"/>
      <c r="K755" s="26"/>
      <c r="Y755" s="26"/>
      <c r="Z755" s="26"/>
    </row>
    <row r="756" spans="9:26" ht="12.75" x14ac:dyDescent="0.2">
      <c r="I756" s="26"/>
      <c r="J756" s="26"/>
      <c r="K756" s="26"/>
      <c r="Y756" s="26"/>
      <c r="Z756" s="26"/>
    </row>
    <row r="757" spans="9:26" ht="12.75" x14ac:dyDescent="0.2">
      <c r="I757" s="26"/>
      <c r="J757" s="26"/>
      <c r="K757" s="26"/>
      <c r="Y757" s="26"/>
      <c r="Z757" s="26"/>
    </row>
    <row r="758" spans="9:26" ht="12.75" x14ac:dyDescent="0.2">
      <c r="I758" s="26"/>
      <c r="J758" s="26"/>
      <c r="K758" s="26"/>
      <c r="Y758" s="26"/>
      <c r="Z758" s="26"/>
    </row>
    <row r="759" spans="9:26" ht="12.75" x14ac:dyDescent="0.2">
      <c r="I759" s="26"/>
      <c r="J759" s="26"/>
      <c r="K759" s="26"/>
      <c r="Y759" s="26"/>
      <c r="Z759" s="26"/>
    </row>
    <row r="760" spans="9:26" ht="12.75" x14ac:dyDescent="0.2">
      <c r="I760" s="26"/>
      <c r="J760" s="26"/>
      <c r="K760" s="26"/>
      <c r="Y760" s="26"/>
      <c r="Z760" s="26"/>
    </row>
    <row r="761" spans="9:26" ht="12.75" x14ac:dyDescent="0.2">
      <c r="I761" s="26"/>
      <c r="J761" s="26"/>
      <c r="K761" s="26"/>
      <c r="Y761" s="26"/>
      <c r="Z761" s="26"/>
    </row>
    <row r="762" spans="9:26" ht="12.75" x14ac:dyDescent="0.2">
      <c r="I762" s="26"/>
      <c r="J762" s="26"/>
      <c r="K762" s="26"/>
      <c r="Y762" s="26"/>
      <c r="Z762" s="26"/>
    </row>
    <row r="763" spans="9:26" ht="12.75" x14ac:dyDescent="0.2">
      <c r="I763" s="26"/>
      <c r="J763" s="26"/>
      <c r="K763" s="26"/>
      <c r="Y763" s="26"/>
      <c r="Z763" s="26"/>
    </row>
    <row r="764" spans="9:26" ht="12.75" x14ac:dyDescent="0.2">
      <c r="I764" s="26"/>
      <c r="J764" s="26"/>
      <c r="K764" s="26"/>
      <c r="Y764" s="26"/>
      <c r="Z764" s="26"/>
    </row>
    <row r="765" spans="9:26" ht="12.75" x14ac:dyDescent="0.2">
      <c r="I765" s="26"/>
      <c r="J765" s="26"/>
      <c r="K765" s="26"/>
      <c r="Y765" s="26"/>
      <c r="Z765" s="26"/>
    </row>
    <row r="766" spans="9:26" ht="12.75" x14ac:dyDescent="0.2">
      <c r="I766" s="26"/>
      <c r="J766" s="26"/>
      <c r="K766" s="26"/>
      <c r="Y766" s="26"/>
      <c r="Z766" s="26"/>
    </row>
    <row r="767" spans="9:26" ht="12.75" x14ac:dyDescent="0.2">
      <c r="I767" s="26"/>
      <c r="J767" s="26"/>
      <c r="K767" s="26"/>
      <c r="Y767" s="26"/>
      <c r="Z767" s="26"/>
    </row>
    <row r="768" spans="9:26" ht="12.75" x14ac:dyDescent="0.2">
      <c r="I768" s="26"/>
      <c r="J768" s="26"/>
      <c r="K768" s="26"/>
      <c r="Y768" s="26"/>
      <c r="Z768" s="26"/>
    </row>
    <row r="769" spans="9:26" ht="12.75" x14ac:dyDescent="0.2">
      <c r="I769" s="26"/>
      <c r="J769" s="26"/>
      <c r="K769" s="26"/>
      <c r="Y769" s="26"/>
      <c r="Z769" s="26"/>
    </row>
    <row r="770" spans="9:26" ht="12.75" x14ac:dyDescent="0.2">
      <c r="I770" s="26"/>
      <c r="J770" s="26"/>
      <c r="K770" s="26"/>
      <c r="Y770" s="26"/>
      <c r="Z770" s="26"/>
    </row>
    <row r="771" spans="9:26" ht="12.75" x14ac:dyDescent="0.2">
      <c r="I771" s="26"/>
      <c r="J771" s="26"/>
      <c r="K771" s="26"/>
      <c r="Y771" s="26"/>
      <c r="Z771" s="26"/>
    </row>
    <row r="772" spans="9:26" ht="12.75" x14ac:dyDescent="0.2">
      <c r="I772" s="26"/>
      <c r="J772" s="26"/>
      <c r="K772" s="26"/>
      <c r="Y772" s="26"/>
      <c r="Z772" s="26"/>
    </row>
    <row r="773" spans="9:26" ht="12.75" x14ac:dyDescent="0.2">
      <c r="I773" s="26"/>
      <c r="J773" s="26"/>
      <c r="K773" s="26"/>
      <c r="Y773" s="26"/>
      <c r="Z773" s="26"/>
    </row>
    <row r="774" spans="9:26" ht="12.75" x14ac:dyDescent="0.2">
      <c r="I774" s="26"/>
      <c r="J774" s="26"/>
      <c r="K774" s="26"/>
      <c r="Y774" s="26"/>
      <c r="Z774" s="26"/>
    </row>
    <row r="775" spans="9:26" ht="12.75" x14ac:dyDescent="0.2">
      <c r="I775" s="26"/>
      <c r="J775" s="26"/>
      <c r="K775" s="26"/>
      <c r="Y775" s="26"/>
      <c r="Z775" s="26"/>
    </row>
    <row r="776" spans="9:26" ht="12.75" x14ac:dyDescent="0.2">
      <c r="I776" s="26"/>
      <c r="J776" s="26"/>
      <c r="K776" s="26"/>
      <c r="Y776" s="26"/>
      <c r="Z776" s="26"/>
    </row>
    <row r="777" spans="9:26" ht="12.75" x14ac:dyDescent="0.2">
      <c r="I777" s="26"/>
      <c r="J777" s="26"/>
      <c r="K777" s="26"/>
      <c r="Y777" s="26"/>
      <c r="Z777" s="26"/>
    </row>
    <row r="778" spans="9:26" ht="12.75" x14ac:dyDescent="0.2">
      <c r="I778" s="26"/>
      <c r="J778" s="26"/>
      <c r="K778" s="26"/>
      <c r="Y778" s="26"/>
      <c r="Z778" s="26"/>
    </row>
    <row r="779" spans="9:26" ht="12.75" x14ac:dyDescent="0.2">
      <c r="I779" s="26"/>
      <c r="J779" s="26"/>
      <c r="K779" s="26"/>
      <c r="Y779" s="26"/>
      <c r="Z779" s="26"/>
    </row>
    <row r="780" spans="9:26" ht="12.75" x14ac:dyDescent="0.2">
      <c r="I780" s="26"/>
      <c r="J780" s="26"/>
      <c r="K780" s="26"/>
      <c r="Y780" s="26"/>
      <c r="Z780" s="26"/>
    </row>
    <row r="781" spans="9:26" ht="12.75" x14ac:dyDescent="0.2">
      <c r="I781" s="26"/>
      <c r="J781" s="26"/>
      <c r="K781" s="26"/>
      <c r="Y781" s="26"/>
      <c r="Z781" s="26"/>
    </row>
    <row r="782" spans="9:26" ht="12.75" x14ac:dyDescent="0.2">
      <c r="I782" s="26"/>
      <c r="J782" s="26"/>
      <c r="K782" s="26"/>
      <c r="Y782" s="26"/>
      <c r="Z782" s="26"/>
    </row>
    <row r="783" spans="9:26" ht="12.75" x14ac:dyDescent="0.2">
      <c r="I783" s="26"/>
      <c r="J783" s="26"/>
      <c r="K783" s="26"/>
      <c r="Y783" s="26"/>
      <c r="Z783" s="26"/>
    </row>
    <row r="784" spans="9:26" ht="12.75" x14ac:dyDescent="0.2">
      <c r="I784" s="26"/>
      <c r="J784" s="26"/>
      <c r="K784" s="26"/>
      <c r="Y784" s="26"/>
      <c r="Z784" s="26"/>
    </row>
    <row r="785" spans="9:26" ht="12.75" x14ac:dyDescent="0.2">
      <c r="I785" s="26"/>
      <c r="J785" s="26"/>
      <c r="K785" s="26"/>
      <c r="Y785" s="26"/>
      <c r="Z785" s="26"/>
    </row>
    <row r="786" spans="9:26" ht="12.75" x14ac:dyDescent="0.2">
      <c r="I786" s="26"/>
      <c r="J786" s="26"/>
      <c r="K786" s="26"/>
      <c r="Y786" s="26"/>
      <c r="Z786" s="26"/>
    </row>
    <row r="787" spans="9:26" ht="12.75" x14ac:dyDescent="0.2">
      <c r="I787" s="26"/>
      <c r="J787" s="26"/>
      <c r="K787" s="26"/>
      <c r="Y787" s="26"/>
      <c r="Z787" s="26"/>
    </row>
    <row r="788" spans="9:26" ht="12.75" x14ac:dyDescent="0.2">
      <c r="I788" s="26"/>
      <c r="J788" s="26"/>
      <c r="K788" s="26"/>
      <c r="Y788" s="26"/>
      <c r="Z788" s="26"/>
    </row>
    <row r="789" spans="9:26" ht="12.75" x14ac:dyDescent="0.2">
      <c r="I789" s="26"/>
      <c r="J789" s="26"/>
      <c r="K789" s="26"/>
      <c r="Y789" s="26"/>
      <c r="Z789" s="26"/>
    </row>
    <row r="790" spans="9:26" ht="12.75" x14ac:dyDescent="0.2">
      <c r="I790" s="26"/>
      <c r="J790" s="26"/>
      <c r="K790" s="26"/>
      <c r="Y790" s="26"/>
      <c r="Z790" s="26"/>
    </row>
    <row r="791" spans="9:26" ht="12.75" x14ac:dyDescent="0.2">
      <c r="I791" s="26"/>
      <c r="J791" s="26"/>
      <c r="K791" s="26"/>
      <c r="Y791" s="26"/>
      <c r="Z791" s="26"/>
    </row>
    <row r="792" spans="9:26" ht="12.75" x14ac:dyDescent="0.2">
      <c r="I792" s="26"/>
      <c r="J792" s="26"/>
      <c r="K792" s="26"/>
      <c r="Y792" s="26"/>
      <c r="Z792" s="26"/>
    </row>
    <row r="793" spans="9:26" ht="12.75" x14ac:dyDescent="0.2">
      <c r="I793" s="26"/>
      <c r="J793" s="26"/>
      <c r="K793" s="26"/>
      <c r="Y793" s="26"/>
      <c r="Z793" s="26"/>
    </row>
    <row r="794" spans="9:26" ht="12.75" x14ac:dyDescent="0.2">
      <c r="I794" s="26"/>
      <c r="J794" s="26"/>
      <c r="K794" s="26"/>
      <c r="Y794" s="26"/>
      <c r="Z794" s="26"/>
    </row>
    <row r="795" spans="9:26" ht="12.75" x14ac:dyDescent="0.2">
      <c r="I795" s="26"/>
      <c r="J795" s="26"/>
      <c r="K795" s="26"/>
      <c r="Y795" s="26"/>
      <c r="Z795" s="26"/>
    </row>
    <row r="796" spans="9:26" ht="12.75" x14ac:dyDescent="0.2">
      <c r="I796" s="26"/>
      <c r="J796" s="26"/>
      <c r="K796" s="26"/>
      <c r="Y796" s="26"/>
      <c r="Z796" s="26"/>
    </row>
    <row r="797" spans="9:26" ht="12.75" x14ac:dyDescent="0.2">
      <c r="I797" s="26"/>
      <c r="J797" s="26"/>
      <c r="K797" s="26"/>
      <c r="Y797" s="26"/>
      <c r="Z797" s="26"/>
    </row>
    <row r="798" spans="9:26" ht="12.75" x14ac:dyDescent="0.2">
      <c r="I798" s="26"/>
      <c r="J798" s="26"/>
      <c r="K798" s="26"/>
      <c r="Y798" s="26"/>
      <c r="Z798" s="26"/>
    </row>
    <row r="799" spans="9:26" ht="12.75" x14ac:dyDescent="0.2">
      <c r="I799" s="26"/>
      <c r="J799" s="26"/>
      <c r="K799" s="26"/>
      <c r="Y799" s="26"/>
      <c r="Z799" s="26"/>
    </row>
    <row r="800" spans="9:26" ht="12.75" x14ac:dyDescent="0.2">
      <c r="I800" s="26"/>
      <c r="J800" s="26"/>
      <c r="K800" s="26"/>
      <c r="Y800" s="26"/>
      <c r="Z800" s="26"/>
    </row>
    <row r="801" spans="9:26" ht="12.75" x14ac:dyDescent="0.2">
      <c r="I801" s="26"/>
      <c r="J801" s="26"/>
      <c r="K801" s="26"/>
      <c r="Y801" s="26"/>
      <c r="Z801" s="26"/>
    </row>
    <row r="802" spans="9:26" ht="12.75" x14ac:dyDescent="0.2">
      <c r="I802" s="26"/>
      <c r="J802" s="26"/>
      <c r="K802" s="26"/>
      <c r="Y802" s="26"/>
      <c r="Z802" s="26"/>
    </row>
    <row r="803" spans="9:26" ht="12.75" x14ac:dyDescent="0.2">
      <c r="I803" s="26"/>
      <c r="J803" s="26"/>
      <c r="K803" s="26"/>
      <c r="Y803" s="26"/>
      <c r="Z803" s="26"/>
    </row>
    <row r="804" spans="9:26" ht="12.75" x14ac:dyDescent="0.2">
      <c r="I804" s="26"/>
      <c r="J804" s="26"/>
      <c r="K804" s="26"/>
      <c r="Y804" s="26"/>
      <c r="Z804" s="26"/>
    </row>
    <row r="805" spans="9:26" ht="12.75" x14ac:dyDescent="0.2">
      <c r="I805" s="26"/>
      <c r="J805" s="26"/>
      <c r="K805" s="26"/>
      <c r="Y805" s="26"/>
      <c r="Z805" s="26"/>
    </row>
    <row r="806" spans="9:26" ht="12.75" x14ac:dyDescent="0.2">
      <c r="I806" s="26"/>
      <c r="J806" s="26"/>
      <c r="K806" s="26"/>
      <c r="Y806" s="26"/>
      <c r="Z806" s="26"/>
    </row>
    <row r="807" spans="9:26" ht="12.75" x14ac:dyDescent="0.2">
      <c r="I807" s="26"/>
      <c r="J807" s="26"/>
      <c r="K807" s="26"/>
      <c r="Y807" s="26"/>
      <c r="Z807" s="26"/>
    </row>
    <row r="808" spans="9:26" ht="12.75" x14ac:dyDescent="0.2">
      <c r="I808" s="26"/>
      <c r="J808" s="26"/>
      <c r="K808" s="26"/>
      <c r="Y808" s="26"/>
      <c r="Z808" s="26"/>
    </row>
    <row r="809" spans="9:26" ht="12.75" x14ac:dyDescent="0.2">
      <c r="I809" s="26"/>
      <c r="J809" s="26"/>
      <c r="K809" s="26"/>
      <c r="Y809" s="26"/>
      <c r="Z809" s="26"/>
    </row>
    <row r="810" spans="9:26" ht="12.75" x14ac:dyDescent="0.2">
      <c r="I810" s="26"/>
      <c r="J810" s="26"/>
      <c r="K810" s="26"/>
      <c r="Y810" s="26"/>
      <c r="Z810" s="26"/>
    </row>
    <row r="811" spans="9:26" ht="12.75" x14ac:dyDescent="0.2">
      <c r="I811" s="26"/>
      <c r="J811" s="26"/>
      <c r="K811" s="26"/>
      <c r="Y811" s="26"/>
      <c r="Z811" s="26"/>
    </row>
    <row r="812" spans="9:26" ht="12.75" x14ac:dyDescent="0.2">
      <c r="I812" s="26"/>
      <c r="J812" s="26"/>
      <c r="K812" s="26"/>
      <c r="Y812" s="26"/>
      <c r="Z812" s="26"/>
    </row>
    <row r="813" spans="9:26" ht="12.75" x14ac:dyDescent="0.2">
      <c r="I813" s="26"/>
      <c r="J813" s="26"/>
      <c r="K813" s="26"/>
      <c r="Y813" s="26"/>
      <c r="Z813" s="26"/>
    </row>
    <row r="814" spans="9:26" ht="12.75" x14ac:dyDescent="0.2">
      <c r="I814" s="26"/>
      <c r="J814" s="26"/>
      <c r="K814" s="26"/>
      <c r="Y814" s="26"/>
      <c r="Z814" s="26"/>
    </row>
    <row r="815" spans="9:26" ht="12.75" x14ac:dyDescent="0.2">
      <c r="I815" s="26"/>
      <c r="J815" s="26"/>
      <c r="K815" s="26"/>
      <c r="Y815" s="26"/>
      <c r="Z815" s="26"/>
    </row>
    <row r="816" spans="9:26" ht="12.75" x14ac:dyDescent="0.2">
      <c r="I816" s="26"/>
      <c r="J816" s="26"/>
      <c r="K816" s="26"/>
      <c r="Y816" s="26"/>
      <c r="Z816" s="26"/>
    </row>
    <row r="817" spans="9:26" ht="12.75" x14ac:dyDescent="0.2">
      <c r="I817" s="26"/>
      <c r="J817" s="26"/>
      <c r="K817" s="26"/>
      <c r="Y817" s="26"/>
      <c r="Z817" s="26"/>
    </row>
    <row r="818" spans="9:26" ht="12.75" x14ac:dyDescent="0.2">
      <c r="I818" s="26"/>
      <c r="J818" s="26"/>
      <c r="K818" s="26"/>
      <c r="Y818" s="26"/>
      <c r="Z818" s="26"/>
    </row>
    <row r="819" spans="9:26" ht="12.75" x14ac:dyDescent="0.2">
      <c r="I819" s="26"/>
      <c r="J819" s="26"/>
      <c r="K819" s="26"/>
      <c r="Y819" s="26"/>
      <c r="Z819" s="26"/>
    </row>
    <row r="820" spans="9:26" ht="12.75" x14ac:dyDescent="0.2">
      <c r="I820" s="26"/>
      <c r="J820" s="26"/>
      <c r="K820" s="26"/>
      <c r="Y820" s="26"/>
      <c r="Z820" s="26"/>
    </row>
    <row r="821" spans="9:26" ht="12.75" x14ac:dyDescent="0.2">
      <c r="I821" s="26"/>
      <c r="J821" s="26"/>
      <c r="K821" s="26"/>
      <c r="Y821" s="26"/>
      <c r="Z821" s="26"/>
    </row>
    <row r="822" spans="9:26" ht="12.75" x14ac:dyDescent="0.2">
      <c r="I822" s="26"/>
      <c r="J822" s="26"/>
      <c r="K822" s="26"/>
      <c r="Y822" s="26"/>
      <c r="Z822" s="26"/>
    </row>
    <row r="823" spans="9:26" ht="12.75" x14ac:dyDescent="0.2">
      <c r="I823" s="26"/>
      <c r="J823" s="26"/>
      <c r="K823" s="26"/>
      <c r="Y823" s="26"/>
      <c r="Z823" s="26"/>
    </row>
    <row r="824" spans="9:26" ht="12.75" x14ac:dyDescent="0.2">
      <c r="I824" s="26"/>
      <c r="J824" s="26"/>
      <c r="K824" s="26"/>
      <c r="Y824" s="26"/>
      <c r="Z824" s="26"/>
    </row>
    <row r="825" spans="9:26" ht="12.75" x14ac:dyDescent="0.2">
      <c r="I825" s="26"/>
      <c r="J825" s="26"/>
      <c r="K825" s="26"/>
      <c r="Y825" s="26"/>
      <c r="Z825" s="26"/>
    </row>
    <row r="826" spans="9:26" ht="12.75" x14ac:dyDescent="0.2">
      <c r="I826" s="26"/>
      <c r="J826" s="26"/>
      <c r="K826" s="26"/>
      <c r="Y826" s="26"/>
      <c r="Z826" s="26"/>
    </row>
    <row r="827" spans="9:26" ht="12.75" x14ac:dyDescent="0.2">
      <c r="I827" s="26"/>
      <c r="J827" s="26"/>
      <c r="K827" s="26"/>
      <c r="Y827" s="26"/>
      <c r="Z827" s="26"/>
    </row>
    <row r="828" spans="9:26" ht="12.75" x14ac:dyDescent="0.2">
      <c r="I828" s="26"/>
      <c r="J828" s="26"/>
      <c r="K828" s="26"/>
      <c r="Y828" s="26"/>
      <c r="Z828" s="26"/>
    </row>
    <row r="829" spans="9:26" ht="12.75" x14ac:dyDescent="0.2">
      <c r="I829" s="26"/>
      <c r="J829" s="26"/>
      <c r="K829" s="26"/>
      <c r="Y829" s="26"/>
      <c r="Z829" s="26"/>
    </row>
    <row r="830" spans="9:26" ht="12.75" x14ac:dyDescent="0.2">
      <c r="I830" s="26"/>
      <c r="J830" s="26"/>
      <c r="K830" s="26"/>
      <c r="Y830" s="26"/>
      <c r="Z830" s="26"/>
    </row>
    <row r="831" spans="9:26" ht="12.75" x14ac:dyDescent="0.2">
      <c r="I831" s="26"/>
      <c r="J831" s="26"/>
      <c r="K831" s="26"/>
      <c r="Y831" s="26"/>
      <c r="Z831" s="26"/>
    </row>
    <row r="832" spans="9:26" ht="12.75" x14ac:dyDescent="0.2">
      <c r="I832" s="26"/>
      <c r="J832" s="26"/>
      <c r="K832" s="26"/>
      <c r="Y832" s="26"/>
      <c r="Z832" s="26"/>
    </row>
    <row r="833" spans="9:26" ht="12.75" x14ac:dyDescent="0.2">
      <c r="I833" s="26"/>
      <c r="J833" s="26"/>
      <c r="K833" s="26"/>
      <c r="Y833" s="26"/>
      <c r="Z833" s="26"/>
    </row>
    <row r="834" spans="9:26" ht="12.75" x14ac:dyDescent="0.2">
      <c r="I834" s="26"/>
      <c r="J834" s="26"/>
      <c r="K834" s="26"/>
      <c r="Y834" s="26"/>
      <c r="Z834" s="26"/>
    </row>
    <row r="835" spans="9:26" ht="12.75" x14ac:dyDescent="0.2">
      <c r="I835" s="26"/>
      <c r="J835" s="26"/>
      <c r="K835" s="26"/>
      <c r="Y835" s="26"/>
      <c r="Z835" s="26"/>
    </row>
    <row r="836" spans="9:26" ht="12.75" x14ac:dyDescent="0.2">
      <c r="I836" s="26"/>
      <c r="J836" s="26"/>
      <c r="K836" s="26"/>
      <c r="Y836" s="26"/>
      <c r="Z836" s="26"/>
    </row>
    <row r="837" spans="9:26" ht="12.75" x14ac:dyDescent="0.2">
      <c r="I837" s="26"/>
      <c r="J837" s="26"/>
      <c r="K837" s="26"/>
      <c r="Y837" s="26"/>
      <c r="Z837" s="26"/>
    </row>
    <row r="838" spans="9:26" ht="12.75" x14ac:dyDescent="0.2">
      <c r="I838" s="26"/>
      <c r="J838" s="26"/>
      <c r="K838" s="26"/>
      <c r="Y838" s="26"/>
      <c r="Z838" s="26"/>
    </row>
    <row r="839" spans="9:26" ht="12.75" x14ac:dyDescent="0.2">
      <c r="I839" s="26"/>
      <c r="J839" s="26"/>
      <c r="K839" s="26"/>
      <c r="Y839" s="26"/>
      <c r="Z839" s="26"/>
    </row>
    <row r="840" spans="9:26" ht="12.75" x14ac:dyDescent="0.2">
      <c r="I840" s="26"/>
      <c r="J840" s="26"/>
      <c r="K840" s="26"/>
      <c r="Y840" s="26"/>
      <c r="Z840" s="26"/>
    </row>
    <row r="841" spans="9:26" ht="12.75" x14ac:dyDescent="0.2">
      <c r="I841" s="26"/>
      <c r="J841" s="26"/>
      <c r="K841" s="26"/>
      <c r="Y841" s="26"/>
      <c r="Z841" s="26"/>
    </row>
    <row r="842" spans="9:26" ht="12.75" x14ac:dyDescent="0.2">
      <c r="I842" s="26"/>
      <c r="J842" s="26"/>
      <c r="K842" s="26"/>
      <c r="Y842" s="26"/>
      <c r="Z842" s="26"/>
    </row>
    <row r="843" spans="9:26" ht="12.75" x14ac:dyDescent="0.2">
      <c r="I843" s="26"/>
      <c r="J843" s="26"/>
      <c r="K843" s="26"/>
      <c r="Y843" s="26"/>
      <c r="Z843" s="26"/>
    </row>
    <row r="844" spans="9:26" ht="12.75" x14ac:dyDescent="0.2">
      <c r="I844" s="26"/>
      <c r="J844" s="26"/>
      <c r="K844" s="26"/>
      <c r="Y844" s="26"/>
      <c r="Z844" s="26"/>
    </row>
    <row r="845" spans="9:26" ht="12.75" x14ac:dyDescent="0.2">
      <c r="I845" s="26"/>
      <c r="J845" s="26"/>
      <c r="K845" s="26"/>
      <c r="Y845" s="26"/>
      <c r="Z845" s="26"/>
    </row>
    <row r="846" spans="9:26" ht="12.75" x14ac:dyDescent="0.2">
      <c r="I846" s="26"/>
      <c r="J846" s="26"/>
      <c r="K846" s="26"/>
      <c r="Y846" s="26"/>
      <c r="Z846" s="26"/>
    </row>
    <row r="847" spans="9:26" ht="12.75" x14ac:dyDescent="0.2">
      <c r="I847" s="26"/>
      <c r="J847" s="26"/>
      <c r="K847" s="26"/>
      <c r="Y847" s="26"/>
      <c r="Z847" s="26"/>
    </row>
    <row r="848" spans="9:26" ht="12.75" x14ac:dyDescent="0.2">
      <c r="I848" s="26"/>
      <c r="J848" s="26"/>
      <c r="K848" s="26"/>
      <c r="Y848" s="26"/>
      <c r="Z848" s="26"/>
    </row>
    <row r="849" spans="9:26" ht="12.75" x14ac:dyDescent="0.2">
      <c r="I849" s="26"/>
      <c r="J849" s="26"/>
      <c r="K849" s="26"/>
      <c r="Y849" s="26"/>
      <c r="Z849" s="26"/>
    </row>
    <row r="850" spans="9:26" ht="12.75" x14ac:dyDescent="0.2">
      <c r="I850" s="26"/>
      <c r="J850" s="26"/>
      <c r="K850" s="26"/>
      <c r="Y850" s="26"/>
      <c r="Z850" s="26"/>
    </row>
    <row r="851" spans="9:26" ht="12.75" x14ac:dyDescent="0.2">
      <c r="I851" s="26"/>
      <c r="J851" s="26"/>
      <c r="K851" s="26"/>
      <c r="Y851" s="26"/>
      <c r="Z851" s="26"/>
    </row>
    <row r="852" spans="9:26" ht="12.75" x14ac:dyDescent="0.2">
      <c r="I852" s="26"/>
      <c r="J852" s="26"/>
      <c r="K852" s="26"/>
      <c r="Y852" s="26"/>
      <c r="Z852" s="26"/>
    </row>
    <row r="853" spans="9:26" ht="12.75" x14ac:dyDescent="0.2">
      <c r="I853" s="26"/>
      <c r="J853" s="26"/>
      <c r="K853" s="26"/>
      <c r="Y853" s="26"/>
      <c r="Z853" s="26"/>
    </row>
    <row r="854" spans="9:26" ht="12.75" x14ac:dyDescent="0.2">
      <c r="I854" s="26"/>
      <c r="J854" s="26"/>
      <c r="K854" s="26"/>
      <c r="Y854" s="26"/>
      <c r="Z854" s="26"/>
    </row>
    <row r="855" spans="9:26" ht="12.75" x14ac:dyDescent="0.2">
      <c r="I855" s="26"/>
      <c r="J855" s="26"/>
      <c r="K855" s="26"/>
      <c r="Y855" s="26"/>
      <c r="Z855" s="26"/>
    </row>
    <row r="856" spans="9:26" ht="12.75" x14ac:dyDescent="0.2">
      <c r="I856" s="26"/>
      <c r="J856" s="26"/>
      <c r="K856" s="26"/>
      <c r="Y856" s="26"/>
      <c r="Z856" s="26"/>
    </row>
    <row r="857" spans="9:26" ht="12.75" x14ac:dyDescent="0.2">
      <c r="I857" s="26"/>
      <c r="J857" s="26"/>
      <c r="K857" s="26"/>
      <c r="Y857" s="26"/>
      <c r="Z857" s="26"/>
    </row>
    <row r="858" spans="9:26" ht="12.75" x14ac:dyDescent="0.2">
      <c r="I858" s="26"/>
      <c r="J858" s="26"/>
      <c r="K858" s="26"/>
      <c r="Y858" s="26"/>
      <c r="Z858" s="26"/>
    </row>
    <row r="859" spans="9:26" ht="12.75" x14ac:dyDescent="0.2">
      <c r="I859" s="26"/>
      <c r="J859" s="26"/>
      <c r="K859" s="26"/>
      <c r="Y859" s="26"/>
      <c r="Z859" s="26"/>
    </row>
    <row r="860" spans="9:26" ht="12.75" x14ac:dyDescent="0.2">
      <c r="I860" s="26"/>
      <c r="J860" s="26"/>
      <c r="K860" s="26"/>
      <c r="Y860" s="26"/>
      <c r="Z860" s="26"/>
    </row>
    <row r="861" spans="9:26" ht="12.75" x14ac:dyDescent="0.2">
      <c r="I861" s="26"/>
      <c r="J861" s="26"/>
      <c r="K861" s="26"/>
      <c r="Y861" s="26"/>
      <c r="Z861" s="26"/>
    </row>
    <row r="862" spans="9:26" ht="12.75" x14ac:dyDescent="0.2">
      <c r="I862" s="26"/>
      <c r="J862" s="26"/>
      <c r="K862" s="26"/>
      <c r="Y862" s="26"/>
      <c r="Z862" s="26"/>
    </row>
    <row r="863" spans="9:26" ht="12.75" x14ac:dyDescent="0.2">
      <c r="I863" s="26"/>
      <c r="J863" s="26"/>
      <c r="K863" s="26"/>
      <c r="Y863" s="26"/>
      <c r="Z863" s="26"/>
    </row>
    <row r="864" spans="9:26" ht="12.75" x14ac:dyDescent="0.2">
      <c r="I864" s="26"/>
      <c r="J864" s="26"/>
      <c r="K864" s="26"/>
      <c r="Y864" s="26"/>
      <c r="Z864" s="26"/>
    </row>
    <row r="865" spans="9:26" ht="12.75" x14ac:dyDescent="0.2">
      <c r="I865" s="26"/>
      <c r="J865" s="26"/>
      <c r="K865" s="26"/>
      <c r="Y865" s="26"/>
      <c r="Z865" s="26"/>
    </row>
    <row r="866" spans="9:26" ht="12.75" x14ac:dyDescent="0.2">
      <c r="I866" s="26"/>
      <c r="J866" s="26"/>
      <c r="K866" s="26"/>
      <c r="Y866" s="26"/>
      <c r="Z866" s="26"/>
    </row>
    <row r="867" spans="9:26" ht="12.75" x14ac:dyDescent="0.2">
      <c r="I867" s="26"/>
      <c r="J867" s="26"/>
      <c r="K867" s="26"/>
      <c r="Y867" s="26"/>
      <c r="Z867" s="26"/>
    </row>
    <row r="868" spans="9:26" ht="12.75" x14ac:dyDescent="0.2">
      <c r="I868" s="26"/>
      <c r="J868" s="26"/>
      <c r="K868" s="26"/>
      <c r="Y868" s="26"/>
      <c r="Z868" s="26"/>
    </row>
    <row r="869" spans="9:26" ht="12.75" x14ac:dyDescent="0.2">
      <c r="I869" s="26"/>
      <c r="J869" s="26"/>
      <c r="K869" s="26"/>
      <c r="Y869" s="26"/>
      <c r="Z869" s="26"/>
    </row>
    <row r="870" spans="9:26" ht="12.75" x14ac:dyDescent="0.2">
      <c r="I870" s="26"/>
      <c r="J870" s="26"/>
      <c r="K870" s="26"/>
      <c r="Y870" s="26"/>
      <c r="Z870" s="26"/>
    </row>
    <row r="871" spans="9:26" ht="12.75" x14ac:dyDescent="0.2">
      <c r="I871" s="26"/>
      <c r="J871" s="26"/>
      <c r="K871" s="26"/>
      <c r="Y871" s="26"/>
      <c r="Z871" s="26"/>
    </row>
    <row r="872" spans="9:26" ht="12.75" x14ac:dyDescent="0.2">
      <c r="I872" s="26"/>
      <c r="J872" s="26"/>
      <c r="K872" s="26"/>
      <c r="Y872" s="26"/>
      <c r="Z872" s="26"/>
    </row>
    <row r="873" spans="9:26" ht="12.75" x14ac:dyDescent="0.2">
      <c r="I873" s="26"/>
      <c r="J873" s="26"/>
      <c r="K873" s="26"/>
      <c r="Y873" s="26"/>
      <c r="Z873" s="26"/>
    </row>
    <row r="874" spans="9:26" ht="12.75" x14ac:dyDescent="0.2">
      <c r="I874" s="26"/>
      <c r="J874" s="26"/>
      <c r="K874" s="26"/>
      <c r="Y874" s="26"/>
      <c r="Z874" s="26"/>
    </row>
    <row r="875" spans="9:26" ht="12.75" x14ac:dyDescent="0.2">
      <c r="I875" s="26"/>
      <c r="J875" s="26"/>
      <c r="K875" s="26"/>
      <c r="Y875" s="26"/>
      <c r="Z875" s="26"/>
    </row>
    <row r="876" spans="9:26" ht="12.75" x14ac:dyDescent="0.2">
      <c r="I876" s="26"/>
      <c r="J876" s="26"/>
      <c r="K876" s="26"/>
      <c r="Y876" s="26"/>
      <c r="Z876" s="26"/>
    </row>
    <row r="877" spans="9:26" ht="12.75" x14ac:dyDescent="0.2">
      <c r="I877" s="26"/>
      <c r="J877" s="26"/>
      <c r="K877" s="26"/>
      <c r="Y877" s="26"/>
      <c r="Z877" s="26"/>
    </row>
    <row r="878" spans="9:26" ht="12.75" x14ac:dyDescent="0.2">
      <c r="I878" s="26"/>
      <c r="J878" s="26"/>
      <c r="K878" s="26"/>
      <c r="Y878" s="26"/>
      <c r="Z878" s="26"/>
    </row>
    <row r="879" spans="9:26" ht="12.75" x14ac:dyDescent="0.2">
      <c r="I879" s="26"/>
      <c r="J879" s="26"/>
      <c r="K879" s="26"/>
      <c r="Y879" s="26"/>
      <c r="Z879" s="26"/>
    </row>
    <row r="880" spans="9:26" ht="12.75" x14ac:dyDescent="0.2">
      <c r="I880" s="26"/>
      <c r="J880" s="26"/>
      <c r="K880" s="26"/>
      <c r="Y880" s="26"/>
      <c r="Z880" s="26"/>
    </row>
    <row r="881" spans="9:26" ht="12.75" x14ac:dyDescent="0.2">
      <c r="I881" s="26"/>
      <c r="J881" s="26"/>
      <c r="K881" s="26"/>
      <c r="Y881" s="26"/>
      <c r="Z881" s="26"/>
    </row>
    <row r="882" spans="9:26" ht="12.75" x14ac:dyDescent="0.2">
      <c r="I882" s="26"/>
      <c r="J882" s="26"/>
      <c r="K882" s="26"/>
      <c r="Y882" s="26"/>
      <c r="Z882" s="26"/>
    </row>
    <row r="883" spans="9:26" ht="12.75" x14ac:dyDescent="0.2">
      <c r="I883" s="26"/>
      <c r="J883" s="26"/>
      <c r="K883" s="26"/>
      <c r="Y883" s="26"/>
      <c r="Z883" s="26"/>
    </row>
    <row r="884" spans="9:26" ht="12.75" x14ac:dyDescent="0.2">
      <c r="I884" s="26"/>
      <c r="J884" s="26"/>
      <c r="K884" s="26"/>
      <c r="Y884" s="26"/>
      <c r="Z884" s="26"/>
    </row>
    <row r="885" spans="9:26" ht="12.75" x14ac:dyDescent="0.2">
      <c r="I885" s="26"/>
      <c r="J885" s="26"/>
      <c r="K885" s="26"/>
      <c r="Y885" s="26"/>
      <c r="Z885" s="26"/>
    </row>
    <row r="886" spans="9:26" ht="12.75" x14ac:dyDescent="0.2">
      <c r="I886" s="26"/>
      <c r="J886" s="26"/>
      <c r="K886" s="26"/>
      <c r="Y886" s="26"/>
      <c r="Z886" s="26"/>
    </row>
    <row r="887" spans="9:26" ht="12.75" x14ac:dyDescent="0.2">
      <c r="I887" s="26"/>
      <c r="J887" s="26"/>
      <c r="K887" s="26"/>
      <c r="Y887" s="26"/>
      <c r="Z887" s="26"/>
    </row>
    <row r="888" spans="9:26" ht="12.75" x14ac:dyDescent="0.2">
      <c r="I888" s="26"/>
      <c r="J888" s="26"/>
      <c r="K888" s="26"/>
      <c r="Y888" s="26"/>
      <c r="Z888" s="26"/>
    </row>
    <row r="889" spans="9:26" ht="12.75" x14ac:dyDescent="0.2">
      <c r="I889" s="26"/>
      <c r="J889" s="26"/>
      <c r="K889" s="26"/>
      <c r="Y889" s="26"/>
      <c r="Z889" s="26"/>
    </row>
    <row r="890" spans="9:26" ht="12.75" x14ac:dyDescent="0.2">
      <c r="I890" s="26"/>
      <c r="J890" s="26"/>
      <c r="K890" s="26"/>
      <c r="Y890" s="26"/>
      <c r="Z890" s="26"/>
    </row>
    <row r="891" spans="9:26" ht="12.75" x14ac:dyDescent="0.2">
      <c r="I891" s="26"/>
      <c r="J891" s="26"/>
      <c r="K891" s="26"/>
      <c r="Y891" s="26"/>
      <c r="Z891" s="26"/>
    </row>
    <row r="892" spans="9:26" ht="12.75" x14ac:dyDescent="0.2">
      <c r="I892" s="26"/>
      <c r="J892" s="26"/>
      <c r="K892" s="26"/>
      <c r="Y892" s="26"/>
      <c r="Z892" s="26"/>
    </row>
    <row r="893" spans="9:26" ht="12.75" x14ac:dyDescent="0.2">
      <c r="I893" s="26"/>
      <c r="J893" s="26"/>
      <c r="K893" s="26"/>
      <c r="Y893" s="26"/>
      <c r="Z893" s="26"/>
    </row>
    <row r="894" spans="9:26" ht="12.75" x14ac:dyDescent="0.2">
      <c r="I894" s="26"/>
      <c r="J894" s="26"/>
      <c r="K894" s="26"/>
      <c r="Y894" s="26"/>
      <c r="Z894" s="26"/>
    </row>
    <row r="895" spans="9:26" ht="12.75" x14ac:dyDescent="0.2">
      <c r="I895" s="26"/>
      <c r="J895" s="26"/>
      <c r="K895" s="26"/>
      <c r="Y895" s="26"/>
      <c r="Z895" s="26"/>
    </row>
    <row r="896" spans="9:26" ht="12.75" x14ac:dyDescent="0.2">
      <c r="I896" s="26"/>
      <c r="J896" s="26"/>
      <c r="K896" s="26"/>
      <c r="Y896" s="26"/>
      <c r="Z896" s="26"/>
    </row>
    <row r="897" spans="9:26" ht="12.75" x14ac:dyDescent="0.2">
      <c r="I897" s="26"/>
      <c r="J897" s="26"/>
      <c r="K897" s="26"/>
      <c r="Y897" s="26"/>
      <c r="Z897" s="26"/>
    </row>
    <row r="898" spans="9:26" ht="12.75" x14ac:dyDescent="0.2">
      <c r="I898" s="26"/>
      <c r="J898" s="26"/>
      <c r="K898" s="26"/>
      <c r="Y898" s="26"/>
      <c r="Z898" s="26"/>
    </row>
    <row r="899" spans="9:26" ht="12.75" x14ac:dyDescent="0.2">
      <c r="I899" s="26"/>
      <c r="J899" s="26"/>
      <c r="K899" s="26"/>
      <c r="Y899" s="26"/>
      <c r="Z899" s="26"/>
    </row>
    <row r="900" spans="9:26" ht="12.75" x14ac:dyDescent="0.2">
      <c r="I900" s="26"/>
      <c r="J900" s="26"/>
      <c r="K900" s="26"/>
      <c r="Y900" s="26"/>
      <c r="Z900" s="26"/>
    </row>
    <row r="901" spans="9:26" ht="12.75" x14ac:dyDescent="0.2">
      <c r="I901" s="26"/>
      <c r="J901" s="26"/>
      <c r="K901" s="26"/>
      <c r="Y901" s="26"/>
      <c r="Z901" s="26"/>
    </row>
    <row r="902" spans="9:26" ht="12.75" x14ac:dyDescent="0.2">
      <c r="I902" s="26"/>
      <c r="J902" s="26"/>
      <c r="K902" s="26"/>
      <c r="Y902" s="26"/>
      <c r="Z902" s="26"/>
    </row>
    <row r="903" spans="9:26" ht="12.75" x14ac:dyDescent="0.2">
      <c r="I903" s="26"/>
      <c r="J903" s="26"/>
      <c r="K903" s="26"/>
      <c r="Y903" s="26"/>
      <c r="Z903" s="26"/>
    </row>
    <row r="904" spans="9:26" ht="12.75" x14ac:dyDescent="0.2">
      <c r="I904" s="26"/>
      <c r="J904" s="26"/>
      <c r="K904" s="26"/>
      <c r="Y904" s="26"/>
      <c r="Z904" s="26"/>
    </row>
    <row r="905" spans="9:26" ht="12.75" x14ac:dyDescent="0.2">
      <c r="I905" s="26"/>
      <c r="J905" s="26"/>
      <c r="K905" s="26"/>
      <c r="Y905" s="26"/>
      <c r="Z905" s="26"/>
    </row>
    <row r="906" spans="9:26" ht="12.75" x14ac:dyDescent="0.2">
      <c r="I906" s="26"/>
      <c r="J906" s="26"/>
      <c r="K906" s="26"/>
      <c r="Y906" s="26"/>
      <c r="Z906" s="26"/>
    </row>
    <row r="907" spans="9:26" ht="12.75" x14ac:dyDescent="0.2">
      <c r="I907" s="26"/>
      <c r="J907" s="26"/>
      <c r="K907" s="26"/>
      <c r="Y907" s="26"/>
      <c r="Z907" s="26"/>
    </row>
    <row r="908" spans="9:26" ht="12.75" x14ac:dyDescent="0.2">
      <c r="I908" s="26"/>
      <c r="J908" s="26"/>
      <c r="K908" s="26"/>
      <c r="Y908" s="26"/>
      <c r="Z908" s="26"/>
    </row>
    <row r="909" spans="9:26" ht="12.75" x14ac:dyDescent="0.2">
      <c r="I909" s="26"/>
      <c r="J909" s="26"/>
      <c r="K909" s="26"/>
      <c r="Y909" s="26"/>
      <c r="Z909" s="26"/>
    </row>
    <row r="910" spans="9:26" ht="12.75" x14ac:dyDescent="0.2">
      <c r="I910" s="26"/>
      <c r="J910" s="26"/>
      <c r="K910" s="26"/>
      <c r="Y910" s="26"/>
      <c r="Z910" s="26"/>
    </row>
    <row r="911" spans="9:26" ht="12.75" x14ac:dyDescent="0.2">
      <c r="I911" s="26"/>
      <c r="J911" s="26"/>
      <c r="K911" s="26"/>
      <c r="Y911" s="26"/>
      <c r="Z911" s="26"/>
    </row>
    <row r="912" spans="9:26" ht="12.75" x14ac:dyDescent="0.2">
      <c r="I912" s="26"/>
      <c r="J912" s="26"/>
      <c r="K912" s="26"/>
      <c r="Y912" s="26"/>
      <c r="Z912" s="26"/>
    </row>
    <row r="913" spans="9:26" ht="12.75" x14ac:dyDescent="0.2">
      <c r="I913" s="26"/>
      <c r="J913" s="26"/>
      <c r="K913" s="26"/>
      <c r="Y913" s="26"/>
      <c r="Z913" s="26"/>
    </row>
    <row r="914" spans="9:26" ht="12.75" x14ac:dyDescent="0.2">
      <c r="I914" s="26"/>
      <c r="J914" s="26"/>
      <c r="K914" s="26"/>
      <c r="Y914" s="26"/>
      <c r="Z914" s="26"/>
    </row>
    <row r="915" spans="9:26" ht="12.75" x14ac:dyDescent="0.2">
      <c r="I915" s="26"/>
      <c r="J915" s="26"/>
      <c r="K915" s="26"/>
      <c r="Y915" s="26"/>
      <c r="Z915" s="26"/>
    </row>
    <row r="916" spans="9:26" ht="12.75" x14ac:dyDescent="0.2">
      <c r="I916" s="26"/>
      <c r="J916" s="26"/>
      <c r="K916" s="26"/>
      <c r="Y916" s="26"/>
      <c r="Z916" s="26"/>
    </row>
    <row r="917" spans="9:26" ht="12.75" x14ac:dyDescent="0.2">
      <c r="I917" s="26"/>
      <c r="J917" s="26"/>
      <c r="K917" s="26"/>
      <c r="Y917" s="26"/>
      <c r="Z917" s="26"/>
    </row>
    <row r="918" spans="9:26" ht="12.75" x14ac:dyDescent="0.2">
      <c r="I918" s="26"/>
      <c r="J918" s="26"/>
      <c r="K918" s="26"/>
      <c r="Y918" s="26"/>
      <c r="Z918" s="26"/>
    </row>
    <row r="919" spans="9:26" ht="12.75" x14ac:dyDescent="0.2">
      <c r="I919" s="26"/>
      <c r="J919" s="26"/>
      <c r="K919" s="26"/>
      <c r="Y919" s="26"/>
      <c r="Z919" s="26"/>
    </row>
    <row r="920" spans="9:26" ht="12.75" x14ac:dyDescent="0.2">
      <c r="I920" s="26"/>
      <c r="J920" s="26"/>
      <c r="K920" s="26"/>
      <c r="Y920" s="26"/>
      <c r="Z920" s="26"/>
    </row>
    <row r="921" spans="9:26" ht="12.75" x14ac:dyDescent="0.2">
      <c r="I921" s="26"/>
      <c r="J921" s="26"/>
      <c r="K921" s="26"/>
      <c r="Y921" s="26"/>
      <c r="Z921" s="26"/>
    </row>
    <row r="922" spans="9:26" ht="12.75" x14ac:dyDescent="0.2">
      <c r="I922" s="26"/>
      <c r="J922" s="26"/>
      <c r="K922" s="26"/>
      <c r="Y922" s="26"/>
      <c r="Z922" s="26"/>
    </row>
    <row r="923" spans="9:26" ht="12.75" x14ac:dyDescent="0.2">
      <c r="I923" s="26"/>
      <c r="J923" s="26"/>
      <c r="K923" s="26"/>
      <c r="Y923" s="26"/>
      <c r="Z923" s="26"/>
    </row>
    <row r="924" spans="9:26" ht="12.75" x14ac:dyDescent="0.2">
      <c r="I924" s="26"/>
      <c r="J924" s="26"/>
      <c r="K924" s="26"/>
      <c r="Y924" s="26"/>
      <c r="Z924" s="26"/>
    </row>
    <row r="925" spans="9:26" ht="12.75" x14ac:dyDescent="0.2">
      <c r="I925" s="26"/>
      <c r="J925" s="26"/>
      <c r="K925" s="26"/>
      <c r="Y925" s="26"/>
      <c r="Z925" s="26"/>
    </row>
    <row r="926" spans="9:26" ht="12.75" x14ac:dyDescent="0.2">
      <c r="I926" s="26"/>
      <c r="J926" s="26"/>
      <c r="K926" s="26"/>
      <c r="Y926" s="26"/>
      <c r="Z926" s="26"/>
    </row>
    <row r="927" spans="9:26" ht="12.75" x14ac:dyDescent="0.2">
      <c r="I927" s="26"/>
      <c r="J927" s="26"/>
      <c r="K927" s="26"/>
      <c r="Y927" s="26"/>
      <c r="Z927" s="26"/>
    </row>
    <row r="928" spans="9:26" ht="12.75" x14ac:dyDescent="0.2">
      <c r="I928" s="26"/>
      <c r="J928" s="26"/>
      <c r="K928" s="26"/>
      <c r="Y928" s="26"/>
      <c r="Z928" s="26"/>
    </row>
    <row r="929" spans="9:26" ht="12.75" x14ac:dyDescent="0.2">
      <c r="I929" s="26"/>
      <c r="J929" s="26"/>
      <c r="K929" s="26"/>
      <c r="Y929" s="26"/>
      <c r="Z929" s="26"/>
    </row>
    <row r="930" spans="9:26" ht="12.75" x14ac:dyDescent="0.2">
      <c r="I930" s="26"/>
      <c r="J930" s="26"/>
      <c r="K930" s="26"/>
      <c r="Y930" s="26"/>
      <c r="Z930" s="26"/>
    </row>
    <row r="931" spans="9:26" ht="12.75" x14ac:dyDescent="0.2">
      <c r="I931" s="26"/>
      <c r="J931" s="26"/>
      <c r="K931" s="26"/>
      <c r="Y931" s="26"/>
      <c r="Z931" s="26"/>
    </row>
    <row r="932" spans="9:26" ht="12.75" x14ac:dyDescent="0.2">
      <c r="I932" s="26"/>
      <c r="J932" s="26"/>
      <c r="K932" s="26"/>
      <c r="Y932" s="26"/>
      <c r="Z932" s="26"/>
    </row>
    <row r="933" spans="9:26" ht="12.75" x14ac:dyDescent="0.2">
      <c r="I933" s="26"/>
      <c r="J933" s="26"/>
      <c r="K933" s="26"/>
      <c r="Y933" s="26"/>
      <c r="Z933" s="26"/>
    </row>
    <row r="934" spans="9:26" ht="12.75" x14ac:dyDescent="0.2">
      <c r="I934" s="26"/>
      <c r="J934" s="26"/>
      <c r="K934" s="26"/>
      <c r="Y934" s="26"/>
      <c r="Z934" s="26"/>
    </row>
    <row r="935" spans="9:26" ht="12.75" x14ac:dyDescent="0.2">
      <c r="I935" s="26"/>
      <c r="J935" s="26"/>
      <c r="K935" s="26"/>
      <c r="Y935" s="26"/>
      <c r="Z935" s="26"/>
    </row>
    <row r="936" spans="9:26" ht="12.75" x14ac:dyDescent="0.2">
      <c r="I936" s="26"/>
      <c r="J936" s="26"/>
      <c r="K936" s="26"/>
      <c r="Y936" s="26"/>
      <c r="Z936" s="26"/>
    </row>
    <row r="937" spans="9:26" ht="12.75" x14ac:dyDescent="0.2">
      <c r="I937" s="26"/>
      <c r="J937" s="26"/>
      <c r="K937" s="26"/>
      <c r="Y937" s="26"/>
      <c r="Z937" s="26"/>
    </row>
    <row r="938" spans="9:26" ht="12.75" x14ac:dyDescent="0.2">
      <c r="I938" s="26"/>
      <c r="J938" s="26"/>
      <c r="K938" s="26"/>
      <c r="Y938" s="26"/>
      <c r="Z938" s="26"/>
    </row>
    <row r="939" spans="9:26" ht="12.75" x14ac:dyDescent="0.2">
      <c r="I939" s="26"/>
      <c r="J939" s="26"/>
      <c r="K939" s="26"/>
      <c r="Y939" s="26"/>
      <c r="Z939" s="26"/>
    </row>
    <row r="940" spans="9:26" ht="12.75" x14ac:dyDescent="0.2">
      <c r="I940" s="26"/>
      <c r="J940" s="26"/>
      <c r="K940" s="26"/>
      <c r="Y940" s="26"/>
      <c r="Z940" s="26"/>
    </row>
    <row r="941" spans="9:26" ht="12.75" x14ac:dyDescent="0.2">
      <c r="I941" s="26"/>
      <c r="J941" s="26"/>
      <c r="K941" s="26"/>
      <c r="Y941" s="26"/>
      <c r="Z941" s="26"/>
    </row>
    <row r="942" spans="9:26" ht="12.75" x14ac:dyDescent="0.2">
      <c r="I942" s="26"/>
      <c r="J942" s="26"/>
      <c r="K942" s="26"/>
      <c r="Y942" s="26"/>
      <c r="Z942" s="26"/>
    </row>
    <row r="943" spans="9:26" ht="12.75" x14ac:dyDescent="0.2">
      <c r="I943" s="26"/>
      <c r="J943" s="26"/>
      <c r="K943" s="26"/>
      <c r="Y943" s="26"/>
      <c r="Z943" s="26"/>
    </row>
    <row r="944" spans="9:26" ht="12.75" x14ac:dyDescent="0.2">
      <c r="I944" s="26"/>
      <c r="J944" s="26"/>
      <c r="K944" s="26"/>
      <c r="Y944" s="26"/>
      <c r="Z944" s="26"/>
    </row>
    <row r="945" spans="9:26" ht="12.75" x14ac:dyDescent="0.2">
      <c r="I945" s="26"/>
      <c r="J945" s="26"/>
      <c r="K945" s="26"/>
      <c r="Y945" s="26"/>
      <c r="Z945" s="26"/>
    </row>
    <row r="946" spans="9:26" ht="12.75" x14ac:dyDescent="0.2">
      <c r="I946" s="26"/>
      <c r="J946" s="26"/>
      <c r="K946" s="26"/>
      <c r="Y946" s="26"/>
      <c r="Z946" s="26"/>
    </row>
    <row r="947" spans="9:26" ht="12.75" x14ac:dyDescent="0.2">
      <c r="I947" s="26"/>
      <c r="J947" s="26"/>
      <c r="K947" s="26"/>
      <c r="Y947" s="26"/>
      <c r="Z947" s="26"/>
    </row>
    <row r="948" spans="9:26" ht="12.75" x14ac:dyDescent="0.2">
      <c r="I948" s="26"/>
      <c r="J948" s="26"/>
      <c r="K948" s="26"/>
      <c r="Y948" s="26"/>
      <c r="Z948" s="26"/>
    </row>
    <row r="949" spans="9:26" ht="12.75" x14ac:dyDescent="0.2">
      <c r="I949" s="26"/>
      <c r="J949" s="26"/>
      <c r="K949" s="26"/>
      <c r="Y949" s="26"/>
      <c r="Z949" s="26"/>
    </row>
    <row r="950" spans="9:26" ht="12.75" x14ac:dyDescent="0.2">
      <c r="I950" s="26"/>
      <c r="J950" s="26"/>
      <c r="K950" s="26"/>
      <c r="Y950" s="26"/>
      <c r="Z950" s="26"/>
    </row>
    <row r="951" spans="9:26" ht="12.75" x14ac:dyDescent="0.2">
      <c r="I951" s="26"/>
      <c r="J951" s="26"/>
      <c r="K951" s="26"/>
      <c r="Y951" s="26"/>
      <c r="Z951" s="26"/>
    </row>
    <row r="952" spans="9:26" ht="12.75" x14ac:dyDescent="0.2">
      <c r="I952" s="26"/>
      <c r="J952" s="26"/>
      <c r="K952" s="26"/>
      <c r="Y952" s="26"/>
      <c r="Z952" s="26"/>
    </row>
    <row r="953" spans="9:26" ht="12.75" x14ac:dyDescent="0.2">
      <c r="I953" s="26"/>
      <c r="J953" s="26"/>
      <c r="K953" s="26"/>
      <c r="Y953" s="26"/>
      <c r="Z953" s="26"/>
    </row>
    <row r="954" spans="9:26" ht="12.75" x14ac:dyDescent="0.2">
      <c r="I954" s="26"/>
      <c r="J954" s="26"/>
      <c r="K954" s="26"/>
      <c r="Y954" s="26"/>
      <c r="Z954" s="26"/>
    </row>
    <row r="955" spans="9:26" ht="12.75" x14ac:dyDescent="0.2">
      <c r="I955" s="26"/>
      <c r="J955" s="26"/>
      <c r="K955" s="26"/>
      <c r="Y955" s="26"/>
      <c r="Z955" s="26"/>
    </row>
    <row r="956" spans="9:26" ht="12.75" x14ac:dyDescent="0.2">
      <c r="I956" s="26"/>
      <c r="J956" s="26"/>
      <c r="K956" s="26"/>
      <c r="Y956" s="26"/>
      <c r="Z956" s="26"/>
    </row>
    <row r="957" spans="9:26" ht="12.75" x14ac:dyDescent="0.2">
      <c r="I957" s="26"/>
      <c r="J957" s="26"/>
      <c r="K957" s="26"/>
      <c r="Y957" s="26"/>
      <c r="Z957" s="26"/>
    </row>
    <row r="958" spans="9:26" ht="12.75" x14ac:dyDescent="0.2">
      <c r="I958" s="26"/>
      <c r="J958" s="26"/>
      <c r="K958" s="26"/>
      <c r="Y958" s="26"/>
      <c r="Z958" s="26"/>
    </row>
    <row r="959" spans="9:26" ht="12.75" x14ac:dyDescent="0.2">
      <c r="I959" s="26"/>
      <c r="J959" s="26"/>
      <c r="K959" s="26"/>
      <c r="Y959" s="26"/>
      <c r="Z959" s="26"/>
    </row>
    <row r="960" spans="9:26" ht="12.75" x14ac:dyDescent="0.2">
      <c r="I960" s="26"/>
      <c r="J960" s="26"/>
      <c r="K960" s="26"/>
      <c r="Y960" s="26"/>
      <c r="Z960" s="26"/>
    </row>
    <row r="961" spans="9:26" ht="12.75" x14ac:dyDescent="0.2">
      <c r="I961" s="26"/>
      <c r="J961" s="26"/>
      <c r="K961" s="26"/>
      <c r="Y961" s="26"/>
      <c r="Z961" s="26"/>
    </row>
    <row r="962" spans="9:26" ht="12.75" x14ac:dyDescent="0.2">
      <c r="I962" s="26"/>
      <c r="J962" s="26"/>
      <c r="K962" s="26"/>
      <c r="Y962" s="26"/>
      <c r="Z962" s="26"/>
    </row>
    <row r="963" spans="9:26" ht="12.75" x14ac:dyDescent="0.2">
      <c r="I963" s="26"/>
      <c r="J963" s="26"/>
      <c r="K963" s="26"/>
      <c r="Y963" s="26"/>
      <c r="Z963" s="26"/>
    </row>
    <row r="964" spans="9:26" ht="12.75" x14ac:dyDescent="0.2">
      <c r="I964" s="26"/>
      <c r="J964" s="26"/>
      <c r="K964" s="26"/>
      <c r="Y964" s="26"/>
      <c r="Z964" s="26"/>
    </row>
    <row r="965" spans="9:26" ht="12.75" x14ac:dyDescent="0.2">
      <c r="I965" s="26"/>
      <c r="J965" s="26"/>
      <c r="K965" s="26"/>
      <c r="Y965" s="26"/>
      <c r="Z965" s="26"/>
    </row>
    <row r="966" spans="9:26" ht="12.75" x14ac:dyDescent="0.2">
      <c r="I966" s="26"/>
      <c r="J966" s="26"/>
      <c r="K966" s="26"/>
      <c r="Y966" s="26"/>
      <c r="Z966" s="26"/>
    </row>
    <row r="967" spans="9:26" ht="12.75" x14ac:dyDescent="0.2">
      <c r="I967" s="26"/>
      <c r="J967" s="26"/>
      <c r="K967" s="26"/>
      <c r="Y967" s="26"/>
      <c r="Z967" s="26"/>
    </row>
    <row r="968" spans="9:26" ht="12.75" x14ac:dyDescent="0.2">
      <c r="I968" s="26"/>
      <c r="J968" s="26"/>
      <c r="K968" s="26"/>
      <c r="Y968" s="26"/>
      <c r="Z968" s="26"/>
    </row>
    <row r="969" spans="9:26" ht="12.75" x14ac:dyDescent="0.2">
      <c r="I969" s="26"/>
      <c r="J969" s="26"/>
      <c r="K969" s="26"/>
      <c r="Y969" s="26"/>
      <c r="Z969" s="26"/>
    </row>
    <row r="970" spans="9:26" ht="12.75" x14ac:dyDescent="0.2">
      <c r="I970" s="26"/>
      <c r="J970" s="26"/>
      <c r="K970" s="26"/>
      <c r="Y970" s="26"/>
      <c r="Z970" s="26"/>
    </row>
    <row r="971" spans="9:26" ht="12.75" x14ac:dyDescent="0.2">
      <c r="I971" s="26"/>
      <c r="J971" s="26"/>
      <c r="K971" s="26"/>
      <c r="Y971" s="26"/>
      <c r="Z971" s="26"/>
    </row>
    <row r="972" spans="9:26" ht="12.75" x14ac:dyDescent="0.2">
      <c r="I972" s="26"/>
      <c r="J972" s="26"/>
      <c r="K972" s="26"/>
      <c r="Y972" s="26"/>
      <c r="Z972" s="26"/>
    </row>
    <row r="973" spans="9:26" ht="12.75" x14ac:dyDescent="0.2">
      <c r="I973" s="26"/>
      <c r="J973" s="26"/>
      <c r="K973" s="26"/>
      <c r="Y973" s="26"/>
      <c r="Z973" s="26"/>
    </row>
    <row r="974" spans="9:26" ht="12.75" x14ac:dyDescent="0.2">
      <c r="I974" s="26"/>
      <c r="J974" s="26"/>
      <c r="K974" s="26"/>
      <c r="Y974" s="26"/>
      <c r="Z974" s="26"/>
    </row>
    <row r="975" spans="9:26" ht="12.75" x14ac:dyDescent="0.2">
      <c r="I975" s="26"/>
      <c r="J975" s="26"/>
      <c r="K975" s="26"/>
      <c r="Y975" s="26"/>
      <c r="Z975" s="26"/>
    </row>
    <row r="976" spans="9:26" ht="12.75" x14ac:dyDescent="0.2">
      <c r="I976" s="26"/>
      <c r="J976" s="26"/>
      <c r="K976" s="26"/>
      <c r="Y976" s="26"/>
      <c r="Z976" s="26"/>
    </row>
    <row r="977" spans="9:26" ht="12.75" x14ac:dyDescent="0.2">
      <c r="I977" s="26"/>
      <c r="J977" s="26"/>
      <c r="K977" s="26"/>
      <c r="Y977" s="26"/>
      <c r="Z977" s="26"/>
    </row>
    <row r="978" spans="9:26" ht="12.75" x14ac:dyDescent="0.2">
      <c r="I978" s="26"/>
      <c r="J978" s="26"/>
      <c r="K978" s="26"/>
      <c r="Y978" s="26"/>
      <c r="Z978" s="26"/>
    </row>
    <row r="979" spans="9:26" ht="12.75" x14ac:dyDescent="0.2">
      <c r="I979" s="26"/>
      <c r="J979" s="26"/>
      <c r="K979" s="26"/>
      <c r="Y979" s="26"/>
      <c r="Z979" s="26"/>
    </row>
    <row r="980" spans="9:26" ht="12.75" x14ac:dyDescent="0.2">
      <c r="I980" s="26"/>
      <c r="J980" s="26"/>
      <c r="K980" s="26"/>
      <c r="Y980" s="26"/>
      <c r="Z980" s="26"/>
    </row>
    <row r="981" spans="9:26" ht="12.75" x14ac:dyDescent="0.2">
      <c r="I981" s="26"/>
      <c r="J981" s="26"/>
      <c r="K981" s="26"/>
      <c r="Y981" s="26"/>
      <c r="Z981" s="26"/>
    </row>
    <row r="982" spans="9:26" ht="12.75" x14ac:dyDescent="0.2">
      <c r="I982" s="26"/>
      <c r="J982" s="26"/>
      <c r="K982" s="26"/>
      <c r="Y982" s="26"/>
      <c r="Z982" s="26"/>
    </row>
    <row r="983" spans="9:26" ht="12.75" x14ac:dyDescent="0.2">
      <c r="I983" s="26"/>
      <c r="J983" s="26"/>
      <c r="K983" s="26"/>
      <c r="Y983" s="26"/>
      <c r="Z983" s="26"/>
    </row>
    <row r="984" spans="9:26" ht="12.75" x14ac:dyDescent="0.2">
      <c r="I984" s="26"/>
      <c r="J984" s="26"/>
      <c r="K984" s="26"/>
      <c r="Y984" s="26"/>
      <c r="Z984" s="26"/>
    </row>
    <row r="985" spans="9:26" ht="12.75" x14ac:dyDescent="0.2">
      <c r="I985" s="26"/>
      <c r="J985" s="26"/>
      <c r="K985" s="26"/>
      <c r="Y985" s="26"/>
      <c r="Z985" s="26"/>
    </row>
    <row r="986" spans="9:26" ht="12.75" x14ac:dyDescent="0.2">
      <c r="I986" s="26"/>
      <c r="J986" s="26"/>
      <c r="K986" s="26"/>
      <c r="Y986" s="26"/>
      <c r="Z986" s="26"/>
    </row>
    <row r="987" spans="9:26" ht="12.75" x14ac:dyDescent="0.2">
      <c r="I987" s="26"/>
      <c r="J987" s="26"/>
      <c r="K987" s="26"/>
      <c r="Y987" s="26"/>
      <c r="Z987" s="26"/>
    </row>
    <row r="988" spans="9:26" ht="12.75" x14ac:dyDescent="0.2">
      <c r="I988" s="26"/>
      <c r="J988" s="26"/>
      <c r="K988" s="26"/>
      <c r="Y988" s="26"/>
      <c r="Z988" s="26"/>
    </row>
    <row r="989" spans="9:26" ht="12.75" x14ac:dyDescent="0.2">
      <c r="I989" s="26"/>
      <c r="J989" s="26"/>
      <c r="K989" s="26"/>
      <c r="Y989" s="26"/>
      <c r="Z989" s="26"/>
    </row>
    <row r="990" spans="9:26" ht="12.75" x14ac:dyDescent="0.2">
      <c r="I990" s="26"/>
      <c r="J990" s="26"/>
      <c r="K990" s="26"/>
      <c r="Y990" s="26"/>
      <c r="Z990" s="26"/>
    </row>
    <row r="991" spans="9:26" ht="12.75" x14ac:dyDescent="0.2">
      <c r="I991" s="26"/>
      <c r="J991" s="26"/>
      <c r="K991" s="26"/>
      <c r="Y991" s="26"/>
      <c r="Z991" s="26"/>
    </row>
    <row r="992" spans="9:26" ht="12.75" x14ac:dyDescent="0.2">
      <c r="I992" s="26"/>
      <c r="J992" s="26"/>
      <c r="K992" s="26"/>
      <c r="Y992" s="26"/>
      <c r="Z992" s="26"/>
    </row>
    <row r="993" spans="9:26" ht="12.75" x14ac:dyDescent="0.2">
      <c r="I993" s="26"/>
      <c r="J993" s="26"/>
      <c r="K993" s="26"/>
      <c r="Y993" s="26"/>
      <c r="Z993" s="26"/>
    </row>
    <row r="994" spans="9:26" ht="12.75" x14ac:dyDescent="0.2">
      <c r="I994" s="26"/>
      <c r="J994" s="26"/>
      <c r="K994" s="26"/>
      <c r="Y994" s="26"/>
      <c r="Z994" s="26"/>
    </row>
    <row r="995" spans="9:26" ht="12.75" x14ac:dyDescent="0.2">
      <c r="I995" s="26"/>
      <c r="J995" s="26"/>
      <c r="K995" s="26"/>
      <c r="Y995" s="26"/>
      <c r="Z995" s="26"/>
    </row>
    <row r="996" spans="9:26" ht="12.75" x14ac:dyDescent="0.2">
      <c r="I996" s="26"/>
      <c r="J996" s="26"/>
      <c r="K996" s="26"/>
      <c r="Y996" s="26"/>
      <c r="Z996" s="26"/>
    </row>
    <row r="997" spans="9:26" ht="12.75" x14ac:dyDescent="0.2">
      <c r="I997" s="26"/>
      <c r="J997" s="26"/>
      <c r="K997" s="26"/>
      <c r="Y997" s="26"/>
      <c r="Z997" s="26"/>
    </row>
    <row r="998" spans="9:26" ht="12.75" x14ac:dyDescent="0.2">
      <c r="I998" s="26"/>
      <c r="J998" s="26"/>
      <c r="K998" s="26"/>
      <c r="Y998" s="26"/>
      <c r="Z998" s="26"/>
    </row>
    <row r="999" spans="9:26" ht="12.75" x14ac:dyDescent="0.2">
      <c r="I999" s="26"/>
      <c r="J999" s="26"/>
      <c r="K999" s="26"/>
      <c r="Y999" s="26"/>
      <c r="Z999" s="26"/>
    </row>
    <row r="1000" spans="9:26" ht="12.75" x14ac:dyDescent="0.2">
      <c r="I1000" s="26"/>
      <c r="J1000" s="26"/>
      <c r="K1000" s="26"/>
      <c r="Y1000" s="26"/>
      <c r="Z1000" s="26"/>
    </row>
    <row r="1001" spans="9:26" ht="12.75" x14ac:dyDescent="0.2">
      <c r="I1001" s="26"/>
      <c r="J1001" s="26"/>
      <c r="K1001" s="26"/>
      <c r="Y1001" s="26"/>
      <c r="Z1001" s="26"/>
    </row>
  </sheetData>
  <autoFilter ref="A2:BN91" xr:uid="{00000000-0009-0000-0000-000000000000}">
    <filterColumn colId="18">
      <filters>
        <filter val="#REF!"/>
        <filter val="10"/>
        <filter val="15"/>
        <filter val="20"/>
        <filter val="5"/>
        <filter val="50"/>
        <filter val="60"/>
      </filters>
    </filterColumn>
  </autoFilter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BL1001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.75" customHeight="1" x14ac:dyDescent="0.2"/>
  <cols>
    <col min="1" max="1" width="6.42578125" customWidth="1"/>
    <col min="2" max="2" width="47.42578125" customWidth="1"/>
    <col min="3" max="3" width="4.42578125" customWidth="1"/>
    <col min="4" max="4" width="8.7109375" hidden="1" customWidth="1"/>
    <col min="5" max="5" width="30.7109375" hidden="1" customWidth="1"/>
    <col min="6" max="6" width="8.28515625" hidden="1" customWidth="1"/>
    <col min="7" max="7" width="29.42578125" hidden="1" customWidth="1"/>
    <col min="8" max="8" width="9.140625" hidden="1" customWidth="1"/>
    <col min="9" max="9" width="9.85546875" hidden="1" customWidth="1"/>
    <col min="10" max="10" width="7.140625" customWidth="1"/>
    <col min="11" max="11" width="10.42578125" customWidth="1"/>
    <col min="12" max="12" width="9.28515625" hidden="1" customWidth="1"/>
    <col min="13" max="13" width="11.7109375" hidden="1" customWidth="1"/>
    <col min="14" max="14" width="9.42578125" customWidth="1"/>
    <col min="15" max="16" width="9.28515625" hidden="1" customWidth="1"/>
    <col min="17" max="17" width="12.5703125" hidden="1" customWidth="1"/>
    <col min="18" max="18" width="9.42578125" customWidth="1"/>
    <col min="19" max="19" width="9.28515625" customWidth="1"/>
    <col min="20" max="20" width="11.7109375" customWidth="1"/>
    <col min="21" max="21" width="9.42578125" customWidth="1"/>
    <col min="22" max="22" width="8" customWidth="1"/>
    <col min="23" max="23" width="10.42578125" customWidth="1"/>
    <col min="24" max="24" width="13.5703125" customWidth="1"/>
    <col min="25" max="25" width="9.42578125" customWidth="1"/>
    <col min="26" max="27" width="10.42578125" customWidth="1"/>
    <col min="28" max="28" width="11.7109375" customWidth="1"/>
    <col min="29" max="29" width="13.28515625" customWidth="1"/>
    <col min="30" max="30" width="9.42578125" customWidth="1"/>
    <col min="31" max="32" width="10.42578125" customWidth="1"/>
    <col min="33" max="33" width="11.7109375" customWidth="1"/>
    <col min="34" max="34" width="13.28515625" customWidth="1"/>
    <col min="35" max="35" width="9.42578125" customWidth="1"/>
    <col min="36" max="37" width="10.42578125" customWidth="1"/>
    <col min="38" max="38" width="11.7109375" customWidth="1"/>
    <col min="39" max="39" width="13.28515625" customWidth="1"/>
    <col min="40" max="40" width="9.42578125" customWidth="1"/>
    <col min="41" max="42" width="10.42578125" customWidth="1"/>
    <col min="43" max="43" width="11.7109375" customWidth="1"/>
    <col min="44" max="44" width="13.28515625" customWidth="1"/>
    <col min="45" max="45" width="9.42578125" customWidth="1"/>
    <col min="46" max="47" width="10.42578125" customWidth="1"/>
    <col min="48" max="48" width="11.7109375" customWidth="1"/>
    <col min="49" max="49" width="13.28515625" customWidth="1"/>
    <col min="50" max="50" width="9.42578125" customWidth="1"/>
    <col min="51" max="52" width="10.42578125" customWidth="1"/>
    <col min="53" max="53" width="11.7109375" customWidth="1"/>
    <col min="54" max="54" width="13.28515625" customWidth="1"/>
    <col min="55" max="55" width="9.42578125" customWidth="1"/>
    <col min="56" max="57" width="10.42578125" customWidth="1"/>
    <col min="58" max="58" width="11.7109375" customWidth="1"/>
    <col min="59" max="59" width="13.28515625" customWidth="1"/>
    <col min="60" max="60" width="9.42578125" customWidth="1"/>
    <col min="61" max="62" width="10.42578125" customWidth="1"/>
    <col min="63" max="63" width="11.7109375" customWidth="1"/>
    <col min="64" max="64" width="13.28515625" customWidth="1"/>
  </cols>
  <sheetData>
    <row r="1" spans="1:64" x14ac:dyDescent="0.2">
      <c r="A1" s="1"/>
      <c r="B1" s="1"/>
      <c r="C1" s="1"/>
      <c r="D1" s="1"/>
      <c r="E1" s="1"/>
      <c r="F1" s="1"/>
      <c r="G1" s="1"/>
      <c r="H1" s="2"/>
      <c r="I1" s="2"/>
      <c r="J1" s="3">
        <f t="shared" ref="J1:K1" si="0">SUM(J3:J91)</f>
        <v>860364.98560000013</v>
      </c>
      <c r="K1" s="4">
        <f t="shared" si="0"/>
        <v>992</v>
      </c>
      <c r="L1" s="1"/>
      <c r="M1" s="1"/>
      <c r="N1" s="5">
        <f>SUM(N3:N91)</f>
        <v>326</v>
      </c>
      <c r="O1" s="1"/>
      <c r="P1" s="1"/>
      <c r="Q1" s="1"/>
      <c r="R1" s="5">
        <f>SUM(R3:R91)</f>
        <v>420</v>
      </c>
      <c r="S1" s="1"/>
      <c r="T1" s="1"/>
      <c r="U1" s="5">
        <f>SUM(U3:U91)</f>
        <v>285</v>
      </c>
      <c r="V1" s="8">
        <f>X1/W1</f>
        <v>0.41499017340716798</v>
      </c>
      <c r="W1" s="9">
        <f t="shared" ref="W1:X1" si="1">SUM(W3:W91)</f>
        <v>914416.64000000025</v>
      </c>
      <c r="X1" s="9">
        <f t="shared" si="1"/>
        <v>379473.91999999998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</row>
    <row r="2" spans="1:64" x14ac:dyDescent="0.2">
      <c r="A2" s="12" t="s">
        <v>0</v>
      </c>
      <c r="B2" s="12" t="s">
        <v>1</v>
      </c>
      <c r="C2" s="12" t="s">
        <v>2</v>
      </c>
      <c r="D2" s="12" t="s">
        <v>4</v>
      </c>
      <c r="E2" s="12" t="s">
        <v>5</v>
      </c>
      <c r="F2" s="12" t="s">
        <v>6</v>
      </c>
      <c r="G2" s="12" t="s">
        <v>7</v>
      </c>
      <c r="H2" s="13" t="s">
        <v>8</v>
      </c>
      <c r="I2" s="13" t="s">
        <v>9</v>
      </c>
      <c r="J2" s="3" t="s">
        <v>10</v>
      </c>
      <c r="K2" s="4" t="s">
        <v>11</v>
      </c>
      <c r="L2" s="12" t="s">
        <v>12</v>
      </c>
      <c r="M2" s="12" t="s">
        <v>13</v>
      </c>
      <c r="N2" s="5" t="s">
        <v>14</v>
      </c>
      <c r="O2" s="12"/>
      <c r="P2" s="12" t="s">
        <v>15</v>
      </c>
      <c r="Q2" s="12" t="s">
        <v>16</v>
      </c>
      <c r="R2" s="5" t="s">
        <v>17</v>
      </c>
      <c r="S2" s="12" t="s">
        <v>18</v>
      </c>
      <c r="T2" s="12" t="s">
        <v>19</v>
      </c>
      <c r="U2" s="5" t="s">
        <v>20</v>
      </c>
      <c r="V2" s="12" t="s">
        <v>21</v>
      </c>
      <c r="W2" s="13" t="s">
        <v>22</v>
      </c>
      <c r="X2" s="13" t="s">
        <v>23</v>
      </c>
      <c r="Y2" s="12" t="s">
        <v>24</v>
      </c>
      <c r="Z2" s="12" t="s">
        <v>25</v>
      </c>
      <c r="AA2" s="12" t="s">
        <v>26</v>
      </c>
      <c r="AB2" s="12" t="s">
        <v>27</v>
      </c>
      <c r="AC2" s="12" t="s">
        <v>28</v>
      </c>
      <c r="AD2" s="12" t="s">
        <v>29</v>
      </c>
      <c r="AE2" s="12" t="s">
        <v>30</v>
      </c>
      <c r="AF2" s="12" t="s">
        <v>31</v>
      </c>
      <c r="AG2" s="12" t="s">
        <v>32</v>
      </c>
      <c r="AH2" s="12" t="s">
        <v>33</v>
      </c>
      <c r="AI2" s="12" t="s">
        <v>34</v>
      </c>
      <c r="AJ2" s="12" t="s">
        <v>35</v>
      </c>
      <c r="AK2" s="12" t="s">
        <v>36</v>
      </c>
      <c r="AL2" s="12" t="s">
        <v>37</v>
      </c>
      <c r="AM2" s="12" t="s">
        <v>38</v>
      </c>
      <c r="AN2" s="12" t="s">
        <v>39</v>
      </c>
      <c r="AO2" s="12" t="s">
        <v>40</v>
      </c>
      <c r="AP2" s="12" t="s">
        <v>41</v>
      </c>
      <c r="AQ2" s="12" t="s">
        <v>42</v>
      </c>
      <c r="AR2" s="12" t="s">
        <v>43</v>
      </c>
      <c r="AS2" s="12" t="s">
        <v>44</v>
      </c>
      <c r="AT2" s="12" t="s">
        <v>45</v>
      </c>
      <c r="AU2" s="12" t="s">
        <v>46</v>
      </c>
      <c r="AV2" s="12" t="s">
        <v>47</v>
      </c>
      <c r="AW2" s="12" t="s">
        <v>48</v>
      </c>
      <c r="AX2" s="12" t="s">
        <v>49</v>
      </c>
      <c r="AY2" s="12" t="s">
        <v>50</v>
      </c>
      <c r="AZ2" s="12" t="s">
        <v>51</v>
      </c>
      <c r="BA2" s="12" t="s">
        <v>52</v>
      </c>
      <c r="BB2" s="12" t="s">
        <v>53</v>
      </c>
      <c r="BC2" s="12" t="s">
        <v>54</v>
      </c>
      <c r="BD2" s="12" t="s">
        <v>55</v>
      </c>
      <c r="BE2" s="12" t="s">
        <v>56</v>
      </c>
      <c r="BF2" s="12" t="s">
        <v>57</v>
      </c>
      <c r="BG2" s="12" t="s">
        <v>58</v>
      </c>
      <c r="BH2" s="12" t="s">
        <v>59</v>
      </c>
      <c r="BI2" s="12" t="s">
        <v>60</v>
      </c>
      <c r="BJ2" s="12" t="s">
        <v>61</v>
      </c>
      <c r="BK2" s="12" t="s">
        <v>62</v>
      </c>
      <c r="BL2" s="12" t="s">
        <v>63</v>
      </c>
    </row>
    <row r="3" spans="1:64" x14ac:dyDescent="0.2">
      <c r="A3" s="1">
        <v>47005</v>
      </c>
      <c r="B3" s="1" t="s">
        <v>68</v>
      </c>
      <c r="C3" s="1">
        <v>24</v>
      </c>
      <c r="D3" s="1">
        <v>677</v>
      </c>
      <c r="E3" s="1" t="s">
        <v>64</v>
      </c>
      <c r="F3" s="1">
        <v>61</v>
      </c>
      <c r="G3" s="1" t="s">
        <v>66</v>
      </c>
      <c r="H3" s="2">
        <v>22.315999999999999</v>
      </c>
      <c r="I3" s="2">
        <v>535.58399999999995</v>
      </c>
      <c r="J3" s="14">
        <f t="shared" ref="J3:J91" si="2">K3*I3</f>
        <v>99618.623999999996</v>
      </c>
      <c r="K3" s="15">
        <f t="shared" ref="K3:K19" si="3">SUM(N3+R3+U3)</f>
        <v>186</v>
      </c>
      <c r="L3" s="1">
        <v>64.69</v>
      </c>
      <c r="M3" s="1">
        <v>4.29</v>
      </c>
      <c r="N3" s="16">
        <v>66</v>
      </c>
      <c r="O3" s="1" t="s">
        <v>69</v>
      </c>
      <c r="P3" s="1">
        <v>121.94</v>
      </c>
      <c r="Q3" s="1">
        <v>50.88</v>
      </c>
      <c r="R3" s="5">
        <v>60</v>
      </c>
      <c r="S3" s="1">
        <v>78.44</v>
      </c>
      <c r="T3" s="1">
        <v>2.67</v>
      </c>
      <c r="U3" s="17">
        <f>MAX(0,(TRUNC((S3*0.8)-T3)))</f>
        <v>60</v>
      </c>
      <c r="V3" s="1" t="s">
        <v>70</v>
      </c>
      <c r="W3" s="18">
        <v>141963.23000000001</v>
      </c>
      <c r="X3" s="2">
        <v>42221.87</v>
      </c>
      <c r="Y3" s="1">
        <v>1038</v>
      </c>
      <c r="Z3" s="1">
        <v>231</v>
      </c>
      <c r="AA3" s="1">
        <v>399</v>
      </c>
      <c r="AB3" s="1">
        <v>0</v>
      </c>
      <c r="AC3" s="1">
        <v>103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1614</v>
      </c>
      <c r="AT3" s="1">
        <v>543</v>
      </c>
      <c r="AU3" s="1">
        <v>810</v>
      </c>
      <c r="AV3" s="1">
        <v>462</v>
      </c>
      <c r="AW3" s="1">
        <v>1725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748</v>
      </c>
      <c r="BD3" s="1">
        <v>593</v>
      </c>
      <c r="BE3" s="1">
        <v>652</v>
      </c>
      <c r="BF3" s="1">
        <v>372</v>
      </c>
      <c r="BG3" s="1">
        <v>64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</row>
    <row r="4" spans="1:64" x14ac:dyDescent="0.2">
      <c r="A4" s="1">
        <v>47001</v>
      </c>
      <c r="B4" s="1" t="s">
        <v>65</v>
      </c>
      <c r="C4" s="1">
        <v>16</v>
      </c>
      <c r="D4" s="1">
        <v>677</v>
      </c>
      <c r="E4" s="1" t="s">
        <v>64</v>
      </c>
      <c r="F4" s="1">
        <v>61</v>
      </c>
      <c r="G4" s="1" t="s">
        <v>66</v>
      </c>
      <c r="H4" s="2">
        <v>56.590200000000003</v>
      </c>
      <c r="I4" s="2">
        <v>905.44320000000005</v>
      </c>
      <c r="J4" s="14">
        <f t="shared" si="2"/>
        <v>165696.10560000001</v>
      </c>
      <c r="K4" s="15">
        <f t="shared" si="3"/>
        <v>183</v>
      </c>
      <c r="L4" s="1">
        <v>37.81</v>
      </c>
      <c r="M4" s="1">
        <v>1.06</v>
      </c>
      <c r="N4" s="16">
        <v>63</v>
      </c>
      <c r="O4" s="1"/>
      <c r="P4" s="1">
        <v>60.28</v>
      </c>
      <c r="Q4" s="1">
        <v>-0.25</v>
      </c>
      <c r="R4" s="5">
        <v>80</v>
      </c>
      <c r="S4" s="1">
        <v>38.44</v>
      </c>
      <c r="T4" s="1">
        <v>0.12</v>
      </c>
      <c r="U4" s="5">
        <v>40</v>
      </c>
      <c r="V4" s="1">
        <v>0</v>
      </c>
      <c r="W4" s="18">
        <v>114566.86</v>
      </c>
      <c r="X4" s="2">
        <v>848.85</v>
      </c>
      <c r="Y4" s="1">
        <v>0</v>
      </c>
      <c r="Z4" s="1">
        <v>178</v>
      </c>
      <c r="AA4" s="1">
        <v>365</v>
      </c>
      <c r="AB4" s="1">
        <v>302</v>
      </c>
      <c r="AC4" s="1">
        <v>17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162</v>
      </c>
      <c r="AT4" s="1">
        <v>402</v>
      </c>
      <c r="AU4" s="1">
        <v>322</v>
      </c>
      <c r="AV4" s="1">
        <v>239</v>
      </c>
      <c r="AW4" s="1">
        <v>-4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56</v>
      </c>
      <c r="BD4" s="1">
        <v>138</v>
      </c>
      <c r="BE4" s="1">
        <v>398</v>
      </c>
      <c r="BF4" s="1">
        <v>184</v>
      </c>
      <c r="BG4" s="1">
        <v>2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</row>
    <row r="5" spans="1:64" x14ac:dyDescent="0.2">
      <c r="A5" s="1">
        <v>47010</v>
      </c>
      <c r="B5" s="1" t="s">
        <v>71</v>
      </c>
      <c r="C5" s="1">
        <v>24</v>
      </c>
      <c r="D5" s="1">
        <v>677</v>
      </c>
      <c r="E5" s="1" t="s">
        <v>64</v>
      </c>
      <c r="F5" s="1">
        <v>61</v>
      </c>
      <c r="G5" s="1" t="s">
        <v>66</v>
      </c>
      <c r="H5" s="2">
        <v>48.56</v>
      </c>
      <c r="I5" s="2">
        <v>1165.44</v>
      </c>
      <c r="J5" s="14">
        <f t="shared" si="2"/>
        <v>83911.680000000008</v>
      </c>
      <c r="K5" s="15">
        <f t="shared" si="3"/>
        <v>72</v>
      </c>
      <c r="L5" s="1">
        <v>15.1</v>
      </c>
      <c r="M5" s="1">
        <v>2.08</v>
      </c>
      <c r="N5" s="16">
        <v>22</v>
      </c>
      <c r="O5" s="1"/>
      <c r="P5" s="1">
        <v>26.75</v>
      </c>
      <c r="Q5" s="1">
        <v>0</v>
      </c>
      <c r="R5" s="5">
        <v>30</v>
      </c>
      <c r="S5" s="1">
        <v>20.9</v>
      </c>
      <c r="T5" s="1">
        <v>1.25</v>
      </c>
      <c r="U5" s="5">
        <v>20</v>
      </c>
      <c r="V5" s="1">
        <v>0</v>
      </c>
      <c r="W5" s="18">
        <v>73131.360000000001</v>
      </c>
      <c r="X5" s="2">
        <v>3884.8</v>
      </c>
      <c r="Y5" s="1">
        <v>3</v>
      </c>
      <c r="Z5" s="1">
        <v>72</v>
      </c>
      <c r="AA5" s="1">
        <v>268</v>
      </c>
      <c r="AB5" s="1">
        <v>111</v>
      </c>
      <c r="AC5" s="1">
        <v>50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113</v>
      </c>
      <c r="AT5" s="1">
        <v>195</v>
      </c>
      <c r="AU5" s="1">
        <v>313</v>
      </c>
      <c r="AV5" s="1">
        <v>237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182</v>
      </c>
      <c r="BD5" s="1">
        <v>170</v>
      </c>
      <c r="BE5" s="1">
        <v>234</v>
      </c>
      <c r="BF5" s="1">
        <v>1</v>
      </c>
      <c r="BG5" s="1">
        <v>30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</row>
    <row r="6" spans="1:64" x14ac:dyDescent="0.2">
      <c r="A6" s="1">
        <v>47012</v>
      </c>
      <c r="B6" s="1" t="s">
        <v>74</v>
      </c>
      <c r="C6" s="1">
        <v>18</v>
      </c>
      <c r="D6" s="1">
        <v>677</v>
      </c>
      <c r="E6" s="1" t="s">
        <v>64</v>
      </c>
      <c r="F6" s="1">
        <v>61</v>
      </c>
      <c r="G6" s="1" t="s">
        <v>66</v>
      </c>
      <c r="H6" s="2">
        <v>58.837899999999998</v>
      </c>
      <c r="I6" s="2">
        <v>1059.0822000000001</v>
      </c>
      <c r="J6" s="14">
        <f t="shared" si="2"/>
        <v>84726.576000000001</v>
      </c>
      <c r="K6" s="15">
        <f t="shared" si="3"/>
        <v>80</v>
      </c>
      <c r="L6" s="1">
        <v>18.809999999999999</v>
      </c>
      <c r="M6" s="1">
        <v>5.72</v>
      </c>
      <c r="N6" s="16">
        <v>10</v>
      </c>
      <c r="O6" s="1"/>
      <c r="P6" s="1">
        <v>22.39</v>
      </c>
      <c r="Q6" s="1">
        <v>0.06</v>
      </c>
      <c r="R6" s="5">
        <v>50</v>
      </c>
      <c r="S6" s="1">
        <v>24.44</v>
      </c>
      <c r="T6" s="1">
        <v>9.56</v>
      </c>
      <c r="U6" s="5">
        <v>20</v>
      </c>
      <c r="V6" s="1">
        <v>0</v>
      </c>
      <c r="W6" s="18">
        <v>69516.98</v>
      </c>
      <c r="X6" s="2">
        <v>16239.26</v>
      </c>
      <c r="Y6" s="1">
        <v>102</v>
      </c>
      <c r="Z6" s="1">
        <v>100</v>
      </c>
      <c r="AA6" s="1">
        <v>136</v>
      </c>
      <c r="AB6" s="1">
        <v>101</v>
      </c>
      <c r="AC6" s="1">
        <v>103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13</v>
      </c>
      <c r="AT6" s="1">
        <v>309</v>
      </c>
      <c r="AU6" s="1">
        <v>190</v>
      </c>
      <c r="AV6" s="1">
        <v>91</v>
      </c>
      <c r="AW6" s="1">
        <v>1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197</v>
      </c>
      <c r="BD6" s="1">
        <v>222</v>
      </c>
      <c r="BE6" s="1">
        <v>86</v>
      </c>
      <c r="BF6" s="1">
        <v>92</v>
      </c>
      <c r="BG6" s="1">
        <v>172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</row>
    <row r="7" spans="1:64" x14ac:dyDescent="0.2">
      <c r="A7" s="1">
        <v>47046</v>
      </c>
      <c r="B7" s="1" t="s">
        <v>78</v>
      </c>
      <c r="C7" s="1">
        <v>24</v>
      </c>
      <c r="D7" s="1">
        <v>677</v>
      </c>
      <c r="E7" s="1" t="s">
        <v>64</v>
      </c>
      <c r="F7" s="1">
        <v>61</v>
      </c>
      <c r="G7" s="1" t="s">
        <v>66</v>
      </c>
      <c r="H7" s="2">
        <v>39.11</v>
      </c>
      <c r="I7" s="2">
        <v>938.64</v>
      </c>
      <c r="J7" s="14">
        <f t="shared" si="2"/>
        <v>18772.8</v>
      </c>
      <c r="K7" s="15">
        <f t="shared" si="3"/>
        <v>20</v>
      </c>
      <c r="L7" s="1">
        <v>13.71</v>
      </c>
      <c r="M7" s="1">
        <v>40.25</v>
      </c>
      <c r="N7" s="17">
        <f>MAX(0,(TRUNC((L7*0.8)-M7)))</f>
        <v>0</v>
      </c>
      <c r="O7" s="1"/>
      <c r="P7" s="1">
        <v>22.52</v>
      </c>
      <c r="Q7" s="1">
        <v>0.08</v>
      </c>
      <c r="R7" s="5">
        <v>20</v>
      </c>
      <c r="S7" s="1">
        <v>28.62</v>
      </c>
      <c r="T7" s="1">
        <v>31.21</v>
      </c>
      <c r="U7" s="17">
        <f>MAX(0,(TRUNC((S7*0.8)-T7)))</f>
        <v>0</v>
      </c>
      <c r="V7" s="1">
        <v>0</v>
      </c>
      <c r="W7" s="18">
        <v>60874.720000000001</v>
      </c>
      <c r="X7" s="2">
        <v>67151.87</v>
      </c>
      <c r="Y7" s="1">
        <v>84</v>
      </c>
      <c r="Z7" s="1">
        <v>119</v>
      </c>
      <c r="AA7" s="1">
        <v>144</v>
      </c>
      <c r="AB7" s="1">
        <v>83</v>
      </c>
      <c r="AC7" s="1">
        <v>966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121</v>
      </c>
      <c r="AT7" s="1">
        <v>270</v>
      </c>
      <c r="AU7" s="1">
        <v>198</v>
      </c>
      <c r="AV7" s="1">
        <v>173</v>
      </c>
      <c r="AW7" s="1">
        <v>2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245</v>
      </c>
      <c r="BD7" s="1">
        <v>262</v>
      </c>
      <c r="BE7" s="1">
        <v>248</v>
      </c>
      <c r="BF7" s="1">
        <v>126</v>
      </c>
      <c r="BG7" s="1">
        <v>749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</row>
    <row r="8" spans="1:64" x14ac:dyDescent="0.2">
      <c r="A8" s="1">
        <v>47039</v>
      </c>
      <c r="B8" s="1" t="s">
        <v>79</v>
      </c>
      <c r="C8" s="1">
        <v>24</v>
      </c>
      <c r="D8" s="1">
        <v>677</v>
      </c>
      <c r="E8" s="1" t="s">
        <v>64</v>
      </c>
      <c r="F8" s="1">
        <v>61</v>
      </c>
      <c r="G8" s="1" t="s">
        <v>66</v>
      </c>
      <c r="H8" s="2">
        <v>52.259</v>
      </c>
      <c r="I8" s="2">
        <v>1254.2159999999999</v>
      </c>
      <c r="J8" s="14">
        <f t="shared" si="2"/>
        <v>56439.719999999994</v>
      </c>
      <c r="K8" s="15">
        <f t="shared" si="3"/>
        <v>45</v>
      </c>
      <c r="L8" s="1">
        <v>4.7699999999999996</v>
      </c>
      <c r="M8" s="1">
        <v>0.04</v>
      </c>
      <c r="N8" s="16">
        <v>10</v>
      </c>
      <c r="O8" s="1"/>
      <c r="P8" s="1">
        <v>18.350000000000001</v>
      </c>
      <c r="Q8" s="1">
        <v>3.25</v>
      </c>
      <c r="R8" s="5">
        <v>15</v>
      </c>
      <c r="S8" s="1">
        <v>18.29</v>
      </c>
      <c r="T8" s="1">
        <v>0</v>
      </c>
      <c r="U8" s="5">
        <v>20</v>
      </c>
      <c r="V8" s="1">
        <v>0</v>
      </c>
      <c r="W8" s="18">
        <v>51945.45</v>
      </c>
      <c r="X8" s="2">
        <v>4128.46</v>
      </c>
      <c r="Y8" s="1">
        <v>8</v>
      </c>
      <c r="Z8" s="1">
        <v>47</v>
      </c>
      <c r="AA8" s="1">
        <v>83</v>
      </c>
      <c r="AB8" s="1">
        <v>0</v>
      </c>
      <c r="AC8" s="1">
        <v>1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123</v>
      </c>
      <c r="AT8" s="1">
        <v>112</v>
      </c>
      <c r="AU8" s="1">
        <v>207</v>
      </c>
      <c r="AV8" s="1">
        <v>109</v>
      </c>
      <c r="AW8" s="1">
        <v>78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173</v>
      </c>
      <c r="BD8" s="1">
        <v>71</v>
      </c>
      <c r="BE8" s="1">
        <v>184</v>
      </c>
      <c r="BF8" s="1">
        <v>93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</row>
    <row r="9" spans="1:64" x14ac:dyDescent="0.2">
      <c r="A9" s="1">
        <v>47023</v>
      </c>
      <c r="B9" s="1" t="s">
        <v>76</v>
      </c>
      <c r="C9" s="1">
        <v>8</v>
      </c>
      <c r="D9" s="1">
        <v>677</v>
      </c>
      <c r="E9" s="1" t="s">
        <v>64</v>
      </c>
      <c r="F9" s="1">
        <v>61</v>
      </c>
      <c r="G9" s="1" t="s">
        <v>66</v>
      </c>
      <c r="H9" s="2">
        <v>105.55</v>
      </c>
      <c r="I9" s="2">
        <v>844.4</v>
      </c>
      <c r="J9" s="14">
        <f t="shared" si="2"/>
        <v>67552</v>
      </c>
      <c r="K9" s="15">
        <f t="shared" si="3"/>
        <v>80</v>
      </c>
      <c r="L9" s="1">
        <v>17.940000000000001</v>
      </c>
      <c r="M9" s="1">
        <v>0.38</v>
      </c>
      <c r="N9" s="16">
        <v>20</v>
      </c>
      <c r="O9" s="1"/>
      <c r="P9" s="1">
        <v>29.75</v>
      </c>
      <c r="Q9" s="1">
        <v>0.12</v>
      </c>
      <c r="R9" s="5">
        <v>40</v>
      </c>
      <c r="S9" s="1">
        <v>12.88</v>
      </c>
      <c r="T9" s="1">
        <v>-5</v>
      </c>
      <c r="U9" s="5">
        <v>20</v>
      </c>
      <c r="V9" s="1">
        <v>0</v>
      </c>
      <c r="W9" s="18">
        <v>51138.98</v>
      </c>
      <c r="X9" s="2">
        <v>-3799.8</v>
      </c>
      <c r="Y9" s="1">
        <v>58</v>
      </c>
      <c r="Z9" s="1">
        <v>107</v>
      </c>
      <c r="AA9" s="1">
        <v>32</v>
      </c>
      <c r="AB9" s="1">
        <v>0</v>
      </c>
      <c r="AC9" s="1">
        <v>3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23</v>
      </c>
      <c r="AT9" s="1">
        <v>120</v>
      </c>
      <c r="AU9" s="1">
        <v>89</v>
      </c>
      <c r="AV9" s="1">
        <v>132</v>
      </c>
      <c r="AW9" s="1">
        <v>1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57</v>
      </c>
      <c r="BD9" s="1">
        <v>84</v>
      </c>
      <c r="BE9" s="1">
        <v>4</v>
      </c>
      <c r="BF9" s="1">
        <v>0</v>
      </c>
      <c r="BG9" s="1">
        <v>-40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</row>
    <row r="10" spans="1:64" x14ac:dyDescent="0.2">
      <c r="A10" s="1">
        <v>47000</v>
      </c>
      <c r="B10" s="1" t="s">
        <v>85</v>
      </c>
      <c r="C10" s="1">
        <v>16</v>
      </c>
      <c r="D10" s="1">
        <v>677</v>
      </c>
      <c r="E10" s="1" t="s">
        <v>64</v>
      </c>
      <c r="F10" s="1">
        <v>61</v>
      </c>
      <c r="G10" s="1" t="s">
        <v>66</v>
      </c>
      <c r="H10" s="2">
        <v>56.59</v>
      </c>
      <c r="I10" s="2">
        <v>905.44</v>
      </c>
      <c r="J10" s="14">
        <f t="shared" si="2"/>
        <v>37123.040000000001</v>
      </c>
      <c r="K10" s="15">
        <f t="shared" si="3"/>
        <v>41</v>
      </c>
      <c r="L10" s="1">
        <v>15.91</v>
      </c>
      <c r="M10" s="1">
        <v>-1.1200000000000001</v>
      </c>
      <c r="N10" s="16">
        <v>21</v>
      </c>
      <c r="O10" s="1"/>
      <c r="P10" s="1">
        <v>26.94</v>
      </c>
      <c r="Q10" s="1">
        <v>25.31</v>
      </c>
      <c r="R10" s="5">
        <v>20</v>
      </c>
      <c r="S10" s="1">
        <v>12.91</v>
      </c>
      <c r="T10" s="1">
        <v>15.88</v>
      </c>
      <c r="U10" s="17">
        <f t="shared" ref="U10:U11" si="4">MAX(0,(TRUNC((S10*0.8)-T10)))</f>
        <v>0</v>
      </c>
      <c r="V10" s="1">
        <v>0</v>
      </c>
      <c r="W10" s="18">
        <v>50478.28</v>
      </c>
      <c r="X10" s="2">
        <v>36274.19</v>
      </c>
      <c r="Y10" s="1">
        <v>111</v>
      </c>
      <c r="Z10" s="1">
        <v>66</v>
      </c>
      <c r="AA10" s="1">
        <v>87</v>
      </c>
      <c r="AB10" s="1">
        <v>47</v>
      </c>
      <c r="AC10" s="1">
        <v>-18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123</v>
      </c>
      <c r="AT10" s="1">
        <v>152</v>
      </c>
      <c r="AU10" s="1">
        <v>165</v>
      </c>
      <c r="AV10" s="1">
        <v>134</v>
      </c>
      <c r="AW10" s="1">
        <v>405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54</v>
      </c>
      <c r="BD10" s="1">
        <v>67</v>
      </c>
      <c r="BE10" s="1">
        <v>59</v>
      </c>
      <c r="BF10" s="1">
        <v>120</v>
      </c>
      <c r="BG10" s="1">
        <v>254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</row>
    <row r="11" spans="1:64" x14ac:dyDescent="0.2">
      <c r="A11" s="1">
        <v>47004</v>
      </c>
      <c r="B11" s="1" t="s">
        <v>86</v>
      </c>
      <c r="C11" s="1">
        <v>24</v>
      </c>
      <c r="D11" s="1">
        <v>677</v>
      </c>
      <c r="E11" s="1" t="s">
        <v>64</v>
      </c>
      <c r="F11" s="1">
        <v>61</v>
      </c>
      <c r="G11" s="1" t="s">
        <v>66</v>
      </c>
      <c r="H11" s="2">
        <v>22.315999999999999</v>
      </c>
      <c r="I11" s="2">
        <v>535.58399999999995</v>
      </c>
      <c r="J11" s="14">
        <f t="shared" si="2"/>
        <v>0</v>
      </c>
      <c r="K11" s="15">
        <f t="shared" si="3"/>
        <v>0</v>
      </c>
      <c r="L11" s="1">
        <v>20.69</v>
      </c>
      <c r="M11" s="1">
        <v>4.25</v>
      </c>
      <c r="N11" s="5">
        <v>0</v>
      </c>
      <c r="O11" s="1" t="s">
        <v>87</v>
      </c>
      <c r="P11" s="1">
        <v>31.65</v>
      </c>
      <c r="Q11" s="1">
        <v>18.75</v>
      </c>
      <c r="R11" s="5">
        <v>0</v>
      </c>
      <c r="S11" s="1">
        <v>21.23</v>
      </c>
      <c r="T11" s="1">
        <v>68.67</v>
      </c>
      <c r="U11" s="17">
        <f t="shared" si="4"/>
        <v>0</v>
      </c>
      <c r="V11" s="1">
        <v>0</v>
      </c>
      <c r="W11" s="18">
        <v>39398.9</v>
      </c>
      <c r="X11" s="2">
        <v>49095.199999999997</v>
      </c>
      <c r="Y11" s="1">
        <v>204</v>
      </c>
      <c r="Z11" s="1">
        <v>129</v>
      </c>
      <c r="AA11" s="1">
        <v>228</v>
      </c>
      <c r="AB11" s="1">
        <v>0</v>
      </c>
      <c r="AC11" s="1">
        <v>102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438</v>
      </c>
      <c r="AT11" s="1">
        <v>244</v>
      </c>
      <c r="AU11" s="1">
        <v>116</v>
      </c>
      <c r="AV11" s="1">
        <v>167</v>
      </c>
      <c r="AW11" s="1">
        <v>450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237</v>
      </c>
      <c r="BD11" s="1">
        <v>110</v>
      </c>
      <c r="BE11" s="1">
        <v>172</v>
      </c>
      <c r="BF11" s="1">
        <v>91</v>
      </c>
      <c r="BG11" s="1">
        <v>1648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</row>
    <row r="12" spans="1:64" x14ac:dyDescent="0.2">
      <c r="A12" s="1">
        <v>47002</v>
      </c>
      <c r="B12" s="1" t="s">
        <v>89</v>
      </c>
      <c r="C12" s="1">
        <v>24</v>
      </c>
      <c r="D12" s="1">
        <v>677</v>
      </c>
      <c r="E12" s="1" t="s">
        <v>64</v>
      </c>
      <c r="F12" s="1">
        <v>61</v>
      </c>
      <c r="G12" s="1" t="s">
        <v>66</v>
      </c>
      <c r="H12" s="2">
        <v>22.315999999999999</v>
      </c>
      <c r="I12" s="2">
        <v>535.58399999999995</v>
      </c>
      <c r="J12" s="14">
        <f t="shared" si="2"/>
        <v>22494.527999999998</v>
      </c>
      <c r="K12" s="15">
        <f t="shared" si="3"/>
        <v>42</v>
      </c>
      <c r="L12" s="1">
        <v>22.73</v>
      </c>
      <c r="M12" s="1">
        <v>4.88</v>
      </c>
      <c r="N12" s="16">
        <v>22</v>
      </c>
      <c r="O12" s="1"/>
      <c r="P12" s="1">
        <v>29.29</v>
      </c>
      <c r="Q12" s="1">
        <v>29.12</v>
      </c>
      <c r="R12" s="5">
        <v>0</v>
      </c>
      <c r="S12" s="1">
        <v>17.649999999999999</v>
      </c>
      <c r="T12" s="1">
        <v>8.75</v>
      </c>
      <c r="U12" s="5">
        <v>20</v>
      </c>
      <c r="V12" s="1">
        <v>0</v>
      </c>
      <c r="W12" s="18">
        <v>37312.35</v>
      </c>
      <c r="X12" s="2">
        <v>22896.22</v>
      </c>
      <c r="Y12" s="1">
        <v>334</v>
      </c>
      <c r="Z12" s="1">
        <v>95</v>
      </c>
      <c r="AA12" s="1">
        <v>164</v>
      </c>
      <c r="AB12" s="1">
        <v>0</v>
      </c>
      <c r="AC12" s="1">
        <v>117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394</v>
      </c>
      <c r="AT12" s="1">
        <v>115</v>
      </c>
      <c r="AU12" s="1">
        <v>217</v>
      </c>
      <c r="AV12" s="1">
        <v>69</v>
      </c>
      <c r="AW12" s="1">
        <v>699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238</v>
      </c>
      <c r="BD12" s="1">
        <v>94</v>
      </c>
      <c r="BE12" s="1">
        <v>114</v>
      </c>
      <c r="BF12" s="1">
        <v>49</v>
      </c>
      <c r="BG12" s="1">
        <v>210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</row>
    <row r="13" spans="1:64" x14ac:dyDescent="0.2">
      <c r="A13" s="1">
        <v>47038</v>
      </c>
      <c r="B13" s="1" t="s">
        <v>90</v>
      </c>
      <c r="C13" s="1">
        <v>28</v>
      </c>
      <c r="D13" s="1">
        <v>677</v>
      </c>
      <c r="E13" s="1" t="s">
        <v>64</v>
      </c>
      <c r="F13" s="1">
        <v>61</v>
      </c>
      <c r="G13" s="1" t="s">
        <v>66</v>
      </c>
      <c r="H13" s="2">
        <v>26.59</v>
      </c>
      <c r="I13" s="2">
        <v>744.52</v>
      </c>
      <c r="J13" s="14">
        <f t="shared" si="2"/>
        <v>22335.599999999999</v>
      </c>
      <c r="K13" s="15">
        <f t="shared" si="3"/>
        <v>30</v>
      </c>
      <c r="L13" s="1">
        <v>5.38</v>
      </c>
      <c r="M13" s="1">
        <v>0.04</v>
      </c>
      <c r="N13" s="16">
        <v>10</v>
      </c>
      <c r="O13" s="1"/>
      <c r="P13" s="1">
        <v>21.14</v>
      </c>
      <c r="Q13" s="1">
        <v>23.93</v>
      </c>
      <c r="R13" s="5">
        <v>0</v>
      </c>
      <c r="S13" s="1">
        <v>23.05</v>
      </c>
      <c r="T13" s="1">
        <v>1.29</v>
      </c>
      <c r="U13" s="5">
        <v>20</v>
      </c>
      <c r="V13" s="1">
        <v>0</v>
      </c>
      <c r="W13" s="18">
        <v>36906.92</v>
      </c>
      <c r="X13" s="2">
        <v>18799.13</v>
      </c>
      <c r="Y13" s="1">
        <v>0</v>
      </c>
      <c r="Z13" s="1">
        <v>0</v>
      </c>
      <c r="AA13" s="1">
        <v>116</v>
      </c>
      <c r="AB13" s="1">
        <v>69</v>
      </c>
      <c r="AC13" s="1">
        <v>1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131</v>
      </c>
      <c r="AT13" s="1">
        <v>118</v>
      </c>
      <c r="AU13" s="1">
        <v>322</v>
      </c>
      <c r="AV13" s="1">
        <v>160</v>
      </c>
      <c r="AW13" s="1">
        <v>670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139</v>
      </c>
      <c r="BD13" s="1">
        <v>225</v>
      </c>
      <c r="BE13" s="1">
        <v>375</v>
      </c>
      <c r="BF13" s="1">
        <v>38</v>
      </c>
      <c r="BG13" s="1">
        <v>36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</row>
    <row r="14" spans="1:64" x14ac:dyDescent="0.2">
      <c r="A14" s="1">
        <v>47003</v>
      </c>
      <c r="B14" s="1" t="s">
        <v>91</v>
      </c>
      <c r="C14" s="1">
        <v>24</v>
      </c>
      <c r="D14" s="1">
        <v>677</v>
      </c>
      <c r="E14" s="1" t="s">
        <v>64</v>
      </c>
      <c r="F14" s="1">
        <v>61</v>
      </c>
      <c r="G14" s="1" t="s">
        <v>66</v>
      </c>
      <c r="H14" s="2">
        <v>22.315999999999999</v>
      </c>
      <c r="I14" s="2">
        <v>535.58399999999995</v>
      </c>
      <c r="J14" s="14">
        <f t="shared" si="2"/>
        <v>11782.847999999998</v>
      </c>
      <c r="K14" s="15">
        <f t="shared" si="3"/>
        <v>22</v>
      </c>
      <c r="L14" s="1">
        <v>18.96</v>
      </c>
      <c r="M14" s="1">
        <v>4.38</v>
      </c>
      <c r="N14" s="16">
        <v>22</v>
      </c>
      <c r="O14" s="1" t="s">
        <v>92</v>
      </c>
      <c r="P14" s="1">
        <v>33.75</v>
      </c>
      <c r="Q14" s="1">
        <v>23.25</v>
      </c>
      <c r="R14" s="5">
        <v>0</v>
      </c>
      <c r="S14" s="1">
        <v>15</v>
      </c>
      <c r="T14" s="1">
        <v>44.92</v>
      </c>
      <c r="U14" s="17">
        <f>MAX(0,(TRUNC((S14*0.8)-T14)))</f>
        <v>0</v>
      </c>
      <c r="V14" s="1">
        <v>0</v>
      </c>
      <c r="W14" s="18">
        <v>36263.5</v>
      </c>
      <c r="X14" s="2">
        <v>38852.160000000003</v>
      </c>
      <c r="Y14" s="1">
        <v>351</v>
      </c>
      <c r="Z14" s="1">
        <v>96</v>
      </c>
      <c r="AA14" s="1">
        <v>56</v>
      </c>
      <c r="AB14" s="1">
        <v>0</v>
      </c>
      <c r="AC14" s="1">
        <v>105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530</v>
      </c>
      <c r="AT14" s="1">
        <v>85</v>
      </c>
      <c r="AU14" s="1">
        <v>216</v>
      </c>
      <c r="AV14" s="1">
        <v>43</v>
      </c>
      <c r="AW14" s="1">
        <v>558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171</v>
      </c>
      <c r="BD14" s="1">
        <v>134</v>
      </c>
      <c r="BE14" s="1">
        <v>92</v>
      </c>
      <c r="BF14" s="1">
        <v>60</v>
      </c>
      <c r="BG14" s="1">
        <v>1078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</row>
    <row r="15" spans="1:64" x14ac:dyDescent="0.2">
      <c r="A15" s="1">
        <v>10703</v>
      </c>
      <c r="B15" s="1" t="s">
        <v>82</v>
      </c>
      <c r="C15" s="1">
        <v>12</v>
      </c>
      <c r="D15" s="1">
        <v>677</v>
      </c>
      <c r="E15" s="1" t="s">
        <v>64</v>
      </c>
      <c r="F15" s="1">
        <v>542</v>
      </c>
      <c r="G15" s="1" t="s">
        <v>84</v>
      </c>
      <c r="H15" s="2">
        <v>125.581</v>
      </c>
      <c r="I15" s="2">
        <v>1506.972</v>
      </c>
      <c r="J15" s="14">
        <f t="shared" si="2"/>
        <v>45209.159999999996</v>
      </c>
      <c r="K15" s="15">
        <f t="shared" si="3"/>
        <v>30</v>
      </c>
      <c r="L15" s="1">
        <v>0</v>
      </c>
      <c r="M15" s="1">
        <v>-0.25</v>
      </c>
      <c r="N15" s="16">
        <v>10</v>
      </c>
      <c r="O15" s="1"/>
      <c r="P15" s="1">
        <v>3.04</v>
      </c>
      <c r="Q15" s="1">
        <v>0</v>
      </c>
      <c r="R15" s="5">
        <v>10</v>
      </c>
      <c r="S15" s="1">
        <v>10.54</v>
      </c>
      <c r="T15" s="1">
        <v>0</v>
      </c>
      <c r="U15" s="5">
        <v>10</v>
      </c>
      <c r="V15" s="1">
        <v>0</v>
      </c>
      <c r="W15" s="18">
        <v>20469.7</v>
      </c>
      <c r="X15" s="2">
        <v>-376.74</v>
      </c>
      <c r="Y15" s="1">
        <v>0</v>
      </c>
      <c r="Z15" s="1">
        <v>0</v>
      </c>
      <c r="AA15" s="1">
        <v>0</v>
      </c>
      <c r="AB15" s="1">
        <v>0</v>
      </c>
      <c r="AC15" s="1">
        <v>-3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28</v>
      </c>
      <c r="AV15" s="1">
        <v>17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26</v>
      </c>
      <c r="BD15" s="1">
        <v>43</v>
      </c>
      <c r="BE15" s="1">
        <v>60</v>
      </c>
      <c r="BF15" s="1">
        <v>38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</row>
    <row r="16" spans="1:64" x14ac:dyDescent="0.2">
      <c r="A16" s="1">
        <v>47008</v>
      </c>
      <c r="B16" s="1" t="s">
        <v>93</v>
      </c>
      <c r="C16" s="1">
        <v>24</v>
      </c>
      <c r="D16" s="1">
        <v>677</v>
      </c>
      <c r="E16" s="1" t="s">
        <v>64</v>
      </c>
      <c r="F16" s="1">
        <v>61</v>
      </c>
      <c r="G16" s="1" t="s">
        <v>66</v>
      </c>
      <c r="H16" s="2">
        <v>35.74</v>
      </c>
      <c r="I16" s="2">
        <v>857.76</v>
      </c>
      <c r="J16" s="14">
        <f t="shared" si="2"/>
        <v>30021.599999999999</v>
      </c>
      <c r="K16" s="15">
        <f t="shared" si="3"/>
        <v>35</v>
      </c>
      <c r="L16" s="1">
        <v>2.85</v>
      </c>
      <c r="M16" s="1">
        <v>0.5</v>
      </c>
      <c r="N16" s="16">
        <v>5</v>
      </c>
      <c r="O16" s="1"/>
      <c r="P16" s="1">
        <v>9.06</v>
      </c>
      <c r="Q16" s="1">
        <v>0</v>
      </c>
      <c r="R16" s="5">
        <v>20</v>
      </c>
      <c r="S16" s="1">
        <v>8.7899999999999991</v>
      </c>
      <c r="T16" s="1">
        <v>0</v>
      </c>
      <c r="U16" s="5">
        <v>10</v>
      </c>
      <c r="V16" s="1">
        <v>0</v>
      </c>
      <c r="W16" s="18">
        <v>17762.78</v>
      </c>
      <c r="X16" s="2">
        <v>428.88</v>
      </c>
      <c r="Y16" s="1">
        <v>0</v>
      </c>
      <c r="Z16" s="1">
        <v>0</v>
      </c>
      <c r="AA16" s="1">
        <v>68</v>
      </c>
      <c r="AB16" s="1">
        <v>1</v>
      </c>
      <c r="AC16" s="1">
        <v>12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155</v>
      </c>
      <c r="AV16" s="1">
        <v>125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18</v>
      </c>
      <c r="BD16" s="1">
        <v>94</v>
      </c>
      <c r="BE16" s="1">
        <v>119</v>
      </c>
      <c r="BF16" s="1">
        <v>54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</row>
    <row r="17" spans="1:64" x14ac:dyDescent="0.2">
      <c r="A17" s="1">
        <v>47029</v>
      </c>
      <c r="B17" s="1" t="s">
        <v>94</v>
      </c>
      <c r="C17" s="1">
        <v>24</v>
      </c>
      <c r="D17" s="1">
        <v>677</v>
      </c>
      <c r="E17" s="1" t="s">
        <v>64</v>
      </c>
      <c r="F17" s="1">
        <v>61</v>
      </c>
      <c r="G17" s="1" t="s">
        <v>66</v>
      </c>
      <c r="H17" s="2">
        <v>41.26</v>
      </c>
      <c r="I17" s="2">
        <v>990.24</v>
      </c>
      <c r="J17" s="14">
        <f t="shared" si="2"/>
        <v>19804.8</v>
      </c>
      <c r="K17" s="15">
        <f t="shared" si="3"/>
        <v>20</v>
      </c>
      <c r="L17" s="1">
        <v>5.77</v>
      </c>
      <c r="M17" s="1">
        <v>-0.04</v>
      </c>
      <c r="N17" s="16">
        <v>5</v>
      </c>
      <c r="O17" s="1"/>
      <c r="P17" s="1">
        <v>6.77</v>
      </c>
      <c r="Q17" s="1">
        <v>0.92</v>
      </c>
      <c r="R17" s="5">
        <v>10</v>
      </c>
      <c r="S17" s="1">
        <v>5.04</v>
      </c>
      <c r="T17" s="1">
        <v>0.67</v>
      </c>
      <c r="U17" s="5">
        <v>5</v>
      </c>
      <c r="V17" s="1">
        <v>0</v>
      </c>
      <c r="W17" s="18">
        <v>17411.72</v>
      </c>
      <c r="X17" s="2">
        <v>1526.62</v>
      </c>
      <c r="Y17" s="1">
        <v>0</v>
      </c>
      <c r="Z17" s="1">
        <v>15</v>
      </c>
      <c r="AA17" s="1">
        <v>99</v>
      </c>
      <c r="AB17" s="1">
        <v>64</v>
      </c>
      <c r="AC17" s="1">
        <v>-1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33</v>
      </c>
      <c r="AT17" s="1">
        <v>81</v>
      </c>
      <c r="AU17" s="1">
        <v>73</v>
      </c>
      <c r="AV17" s="1">
        <v>32</v>
      </c>
      <c r="AW17" s="1">
        <v>22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45</v>
      </c>
      <c r="BD17" s="1">
        <v>51</v>
      </c>
      <c r="BE17" s="1">
        <v>37</v>
      </c>
      <c r="BF17" s="1">
        <v>27</v>
      </c>
      <c r="BG17" s="1">
        <v>16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</row>
    <row r="18" spans="1:64" x14ac:dyDescent="0.2">
      <c r="A18" s="1">
        <v>47024</v>
      </c>
      <c r="B18" s="1" t="s">
        <v>88</v>
      </c>
      <c r="C18" s="1">
        <v>12</v>
      </c>
      <c r="D18" s="1">
        <v>677</v>
      </c>
      <c r="E18" s="1" t="s">
        <v>64</v>
      </c>
      <c r="F18" s="1">
        <v>61</v>
      </c>
      <c r="G18" s="1" t="s">
        <v>66</v>
      </c>
      <c r="H18" s="2">
        <v>135.38999999999999</v>
      </c>
      <c r="I18" s="2">
        <v>1624.68</v>
      </c>
      <c r="J18" s="14">
        <f t="shared" si="2"/>
        <v>24370.2</v>
      </c>
      <c r="K18" s="15">
        <f t="shared" si="3"/>
        <v>15</v>
      </c>
      <c r="L18" s="1">
        <v>0.25</v>
      </c>
      <c r="M18" s="1">
        <v>-0.08</v>
      </c>
      <c r="N18" s="16">
        <v>5</v>
      </c>
      <c r="O18" s="1"/>
      <c r="P18" s="1">
        <v>5.88</v>
      </c>
      <c r="Q18" s="1">
        <v>1.92</v>
      </c>
      <c r="R18" s="5">
        <v>5</v>
      </c>
      <c r="S18" s="1">
        <v>4.33</v>
      </c>
      <c r="T18" s="1">
        <v>0</v>
      </c>
      <c r="U18" s="5">
        <v>5</v>
      </c>
      <c r="V18" s="1">
        <v>0</v>
      </c>
      <c r="W18" s="18">
        <v>16991.439999999999</v>
      </c>
      <c r="X18" s="2">
        <v>2978.58</v>
      </c>
      <c r="Y18" s="1">
        <v>0</v>
      </c>
      <c r="Z18" s="1">
        <v>6</v>
      </c>
      <c r="AA18" s="1">
        <v>0</v>
      </c>
      <c r="AB18" s="1">
        <v>0</v>
      </c>
      <c r="AC18" s="1">
        <v>-1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29</v>
      </c>
      <c r="AT18" s="1">
        <v>24</v>
      </c>
      <c r="AU18" s="1">
        <v>18</v>
      </c>
      <c r="AV18" s="1">
        <v>23</v>
      </c>
      <c r="AW18" s="1">
        <v>23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4</v>
      </c>
      <c r="BE18" s="1">
        <v>37</v>
      </c>
      <c r="BF18" s="1">
        <v>26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</row>
    <row r="19" spans="1:64" x14ac:dyDescent="0.2">
      <c r="A19" s="1">
        <v>47014</v>
      </c>
      <c r="B19" s="1" t="s">
        <v>97</v>
      </c>
      <c r="C19" s="1">
        <v>24</v>
      </c>
      <c r="D19" s="1">
        <v>677</v>
      </c>
      <c r="E19" s="1" t="s">
        <v>64</v>
      </c>
      <c r="F19" s="1">
        <v>61</v>
      </c>
      <c r="G19" s="1" t="s">
        <v>66</v>
      </c>
      <c r="H19" s="2">
        <v>43.319099999999999</v>
      </c>
      <c r="I19" s="2">
        <v>1039.6584</v>
      </c>
      <c r="J19" s="14">
        <f t="shared" si="2"/>
        <v>10396.584000000001</v>
      </c>
      <c r="K19" s="15">
        <f t="shared" si="3"/>
        <v>10</v>
      </c>
      <c r="L19" s="1">
        <v>3</v>
      </c>
      <c r="M19" s="1">
        <v>0.08</v>
      </c>
      <c r="N19" s="16">
        <v>5</v>
      </c>
      <c r="O19" s="1"/>
      <c r="P19" s="1">
        <v>4.9000000000000004</v>
      </c>
      <c r="Q19" s="1">
        <v>2.5</v>
      </c>
      <c r="R19" s="5">
        <v>5</v>
      </c>
      <c r="S19" s="1">
        <v>3.5</v>
      </c>
      <c r="T19" s="1">
        <v>3.21</v>
      </c>
      <c r="U19" s="17">
        <f t="shared" ref="U19:U22" si="5">MAX(0,(TRUNC((S19*0.8)-T19)))</f>
        <v>0</v>
      </c>
      <c r="V19" s="1">
        <v>0</v>
      </c>
      <c r="W19" s="18">
        <v>11847.77</v>
      </c>
      <c r="X19" s="2">
        <v>6021.35</v>
      </c>
      <c r="Y19" s="1">
        <v>33</v>
      </c>
      <c r="Z19" s="1">
        <v>14</v>
      </c>
      <c r="AA19" s="1">
        <v>20</v>
      </c>
      <c r="AB19" s="1">
        <v>24</v>
      </c>
      <c r="AC19" s="1">
        <v>2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30</v>
      </c>
      <c r="AT19" s="1">
        <v>67</v>
      </c>
      <c r="AU19" s="1">
        <v>39</v>
      </c>
      <c r="AV19" s="1">
        <v>30</v>
      </c>
      <c r="AW19" s="1">
        <v>60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29</v>
      </c>
      <c r="BD19" s="1">
        <v>23</v>
      </c>
      <c r="BE19" s="1">
        <v>40</v>
      </c>
      <c r="BF19" s="1">
        <v>7</v>
      </c>
      <c r="BG19" s="1">
        <v>77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</row>
    <row r="20" spans="1:64" x14ac:dyDescent="0.2">
      <c r="A20" s="1">
        <v>48084</v>
      </c>
      <c r="B20" s="1" t="s">
        <v>100</v>
      </c>
      <c r="C20" s="1">
        <v>12</v>
      </c>
      <c r="D20" s="1">
        <v>677</v>
      </c>
      <c r="E20" s="1" t="s">
        <v>64</v>
      </c>
      <c r="F20" s="1">
        <v>690</v>
      </c>
      <c r="G20" s="1" t="s">
        <v>101</v>
      </c>
      <c r="H20" s="2">
        <v>29.570699999999999</v>
      </c>
      <c r="I20" s="2">
        <v>354.84840000000003</v>
      </c>
      <c r="J20" s="14">
        <f t="shared" si="2"/>
        <v>0</v>
      </c>
      <c r="K20" s="4">
        <v>0</v>
      </c>
      <c r="L20" s="1">
        <v>8.5</v>
      </c>
      <c r="M20" s="1">
        <v>4.83</v>
      </c>
      <c r="N20" s="17">
        <f t="shared" ref="N20:N22" si="6">MAX(0,(TRUNC((L20*0.8)-M20)))</f>
        <v>1</v>
      </c>
      <c r="O20" s="1"/>
      <c r="P20" s="1">
        <v>4.67</v>
      </c>
      <c r="Q20" s="1">
        <v>3.58</v>
      </c>
      <c r="R20" s="5">
        <v>3</v>
      </c>
      <c r="S20" s="1">
        <v>10.5</v>
      </c>
      <c r="T20" s="1">
        <v>11.83</v>
      </c>
      <c r="U20" s="17">
        <f t="shared" si="5"/>
        <v>0</v>
      </c>
      <c r="V20" s="1">
        <v>0</v>
      </c>
      <c r="W20" s="22">
        <v>8398.08</v>
      </c>
      <c r="X20" s="2">
        <v>7185.68</v>
      </c>
      <c r="Y20" s="1">
        <v>32</v>
      </c>
      <c r="Z20" s="1">
        <v>32</v>
      </c>
      <c r="AA20" s="1">
        <v>49</v>
      </c>
      <c r="AB20" s="1">
        <v>10</v>
      </c>
      <c r="AC20" s="1">
        <v>58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14</v>
      </c>
      <c r="AT20" s="1">
        <v>17</v>
      </c>
      <c r="AU20" s="1">
        <v>30</v>
      </c>
      <c r="AV20" s="1">
        <v>7</v>
      </c>
      <c r="AW20" s="1">
        <v>43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33</v>
      </c>
      <c r="BD20" s="1">
        <v>21</v>
      </c>
      <c r="BE20" s="1">
        <v>69</v>
      </c>
      <c r="BF20" s="1">
        <v>27</v>
      </c>
      <c r="BG20" s="1">
        <v>142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</row>
    <row r="21" spans="1:64" x14ac:dyDescent="0.2">
      <c r="A21" s="1">
        <v>48091</v>
      </c>
      <c r="B21" s="1" t="s">
        <v>103</v>
      </c>
      <c r="C21" s="1">
        <v>12</v>
      </c>
      <c r="D21" s="1">
        <v>677</v>
      </c>
      <c r="E21" s="1" t="s">
        <v>64</v>
      </c>
      <c r="F21" s="1">
        <v>690</v>
      </c>
      <c r="G21" s="1" t="s">
        <v>101</v>
      </c>
      <c r="H21" s="2">
        <v>29.570699999999999</v>
      </c>
      <c r="I21" s="2">
        <v>354.84840000000003</v>
      </c>
      <c r="J21" s="14">
        <f t="shared" si="2"/>
        <v>0</v>
      </c>
      <c r="K21" s="4">
        <v>0</v>
      </c>
      <c r="L21" s="1">
        <v>7.08</v>
      </c>
      <c r="M21" s="1">
        <v>8.42</v>
      </c>
      <c r="N21" s="17">
        <f t="shared" si="6"/>
        <v>0</v>
      </c>
      <c r="O21" s="1"/>
      <c r="P21" s="1">
        <v>5.25</v>
      </c>
      <c r="Q21" s="1">
        <v>3</v>
      </c>
      <c r="R21" s="5">
        <v>3</v>
      </c>
      <c r="S21" s="1">
        <v>10.42</v>
      </c>
      <c r="T21" s="1">
        <v>17.920000000000002</v>
      </c>
      <c r="U21" s="17">
        <f t="shared" si="5"/>
        <v>0</v>
      </c>
      <c r="V21" s="1">
        <v>0</v>
      </c>
      <c r="W21" s="22">
        <v>8072.8</v>
      </c>
      <c r="X21" s="2">
        <v>10408.89</v>
      </c>
      <c r="Y21" s="1">
        <v>16</v>
      </c>
      <c r="Z21" s="1">
        <v>23</v>
      </c>
      <c r="AA21" s="1">
        <v>56</v>
      </c>
      <c r="AB21" s="1">
        <v>3</v>
      </c>
      <c r="AC21" s="1">
        <v>101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22</v>
      </c>
      <c r="AT21" s="1">
        <v>24</v>
      </c>
      <c r="AU21" s="1">
        <v>29</v>
      </c>
      <c r="AV21" s="1">
        <v>0</v>
      </c>
      <c r="AW21" s="1">
        <v>36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20</v>
      </c>
      <c r="BD21" s="1">
        <v>20</v>
      </c>
      <c r="BE21" s="1">
        <v>95</v>
      </c>
      <c r="BF21" s="1">
        <v>0</v>
      </c>
      <c r="BG21" s="1">
        <v>215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</row>
    <row r="22" spans="1:64" x14ac:dyDescent="0.2">
      <c r="A22" s="1">
        <v>48081</v>
      </c>
      <c r="B22" s="1" t="s">
        <v>104</v>
      </c>
      <c r="C22" s="1">
        <v>12</v>
      </c>
      <c r="D22" s="1">
        <v>677</v>
      </c>
      <c r="E22" s="1" t="s">
        <v>64</v>
      </c>
      <c r="F22" s="1">
        <v>690</v>
      </c>
      <c r="G22" s="1" t="s">
        <v>101</v>
      </c>
      <c r="H22" s="2">
        <v>29.570699999999999</v>
      </c>
      <c r="I22" s="2">
        <v>354.84840000000003</v>
      </c>
      <c r="J22" s="14">
        <f t="shared" si="2"/>
        <v>0</v>
      </c>
      <c r="K22" s="4">
        <v>0</v>
      </c>
      <c r="L22" s="1">
        <v>4.62</v>
      </c>
      <c r="M22" s="1">
        <v>11.5</v>
      </c>
      <c r="N22" s="17">
        <f t="shared" si="6"/>
        <v>0</v>
      </c>
      <c r="O22" s="1"/>
      <c r="P22" s="1">
        <v>3.46</v>
      </c>
      <c r="Q22" s="1">
        <v>5.75</v>
      </c>
      <c r="R22" s="5">
        <v>0</v>
      </c>
      <c r="S22" s="1">
        <v>9.5</v>
      </c>
      <c r="T22" s="1">
        <v>15.92</v>
      </c>
      <c r="U22" s="17">
        <f t="shared" si="5"/>
        <v>0</v>
      </c>
      <c r="V22" s="1">
        <v>0</v>
      </c>
      <c r="W22" s="22">
        <v>6239.42</v>
      </c>
      <c r="X22" s="2">
        <v>11769.14</v>
      </c>
      <c r="Y22" s="1">
        <v>16</v>
      </c>
      <c r="Z22" s="1">
        <v>15</v>
      </c>
      <c r="AA22" s="1">
        <v>32</v>
      </c>
      <c r="AB22" s="1">
        <v>0</v>
      </c>
      <c r="AC22" s="1">
        <v>138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10</v>
      </c>
      <c r="AT22" s="1">
        <v>7</v>
      </c>
      <c r="AU22" s="1">
        <v>20</v>
      </c>
      <c r="AV22" s="1">
        <v>16</v>
      </c>
      <c r="AW22" s="1">
        <v>69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20</v>
      </c>
      <c r="BD22" s="1">
        <v>28</v>
      </c>
      <c r="BE22" s="1">
        <v>58</v>
      </c>
      <c r="BF22" s="1">
        <v>44</v>
      </c>
      <c r="BG22" s="1">
        <v>191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</row>
    <row r="23" spans="1:64" x14ac:dyDescent="0.2">
      <c r="A23" s="1">
        <v>48085</v>
      </c>
      <c r="B23" s="1" t="s">
        <v>105</v>
      </c>
      <c r="C23" s="1">
        <v>12</v>
      </c>
      <c r="D23" s="1">
        <v>677</v>
      </c>
      <c r="E23" s="1" t="s">
        <v>64</v>
      </c>
      <c r="F23" s="1">
        <v>690</v>
      </c>
      <c r="G23" s="1" t="s">
        <v>101</v>
      </c>
      <c r="H23" s="2">
        <v>29.570699999999999</v>
      </c>
      <c r="I23" s="2">
        <v>354.84840000000003</v>
      </c>
      <c r="J23" s="14">
        <f t="shared" si="2"/>
        <v>0</v>
      </c>
      <c r="K23" s="4">
        <v>0</v>
      </c>
      <c r="L23" s="1">
        <v>5.21</v>
      </c>
      <c r="M23" s="1">
        <v>2.33</v>
      </c>
      <c r="N23" s="5">
        <v>3</v>
      </c>
      <c r="O23" s="1"/>
      <c r="P23" s="1">
        <v>3.12</v>
      </c>
      <c r="Q23" s="1">
        <v>2.67</v>
      </c>
      <c r="R23" s="5">
        <v>3</v>
      </c>
      <c r="S23" s="1">
        <v>7.62</v>
      </c>
      <c r="T23" s="1">
        <v>0</v>
      </c>
      <c r="U23" s="5">
        <v>10</v>
      </c>
      <c r="V23" s="1">
        <v>0</v>
      </c>
      <c r="W23" s="22">
        <v>5662.79</v>
      </c>
      <c r="X23" s="2">
        <v>1774.24</v>
      </c>
      <c r="Y23" s="1">
        <v>12</v>
      </c>
      <c r="Z23" s="1">
        <v>11</v>
      </c>
      <c r="AA23" s="1">
        <v>45</v>
      </c>
      <c r="AB23" s="1">
        <v>0</v>
      </c>
      <c r="AC23" s="1">
        <v>28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5</v>
      </c>
      <c r="AT23" s="1">
        <v>7</v>
      </c>
      <c r="AU23" s="1">
        <v>19</v>
      </c>
      <c r="AV23" s="1">
        <v>20</v>
      </c>
      <c r="AW23" s="1">
        <v>32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4</v>
      </c>
      <c r="BD23" s="1">
        <v>9</v>
      </c>
      <c r="BE23" s="1">
        <v>68</v>
      </c>
      <c r="BF23" s="1">
        <v>30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</row>
    <row r="24" spans="1:64" x14ac:dyDescent="0.2">
      <c r="A24" s="1">
        <v>48067</v>
      </c>
      <c r="B24" s="1" t="s">
        <v>106</v>
      </c>
      <c r="C24" s="1">
        <v>12</v>
      </c>
      <c r="D24" s="1">
        <v>677</v>
      </c>
      <c r="E24" s="1" t="s">
        <v>64</v>
      </c>
      <c r="F24" s="1">
        <v>690</v>
      </c>
      <c r="G24" s="1" t="s">
        <v>101</v>
      </c>
      <c r="H24" s="2">
        <v>29.570699999999999</v>
      </c>
      <c r="I24" s="2">
        <v>354.84840000000003</v>
      </c>
      <c r="J24" s="14">
        <f t="shared" si="2"/>
        <v>0</v>
      </c>
      <c r="K24" s="4">
        <v>0</v>
      </c>
      <c r="L24" s="1">
        <v>5.38</v>
      </c>
      <c r="M24" s="1">
        <v>2.25</v>
      </c>
      <c r="N24" s="5">
        <v>0</v>
      </c>
      <c r="O24" s="1" t="s">
        <v>107</v>
      </c>
      <c r="P24" s="1">
        <v>2.79</v>
      </c>
      <c r="Q24" s="1">
        <v>6.5</v>
      </c>
      <c r="R24" s="5">
        <v>0</v>
      </c>
      <c r="S24" s="1">
        <v>6.38</v>
      </c>
      <c r="T24" s="1">
        <v>7.92</v>
      </c>
      <c r="U24" s="17">
        <f>MAX(0,(TRUNC((S24*0.8)-T24)))</f>
        <v>0</v>
      </c>
      <c r="V24" s="1">
        <v>0</v>
      </c>
      <c r="W24" s="22">
        <v>5160.09</v>
      </c>
      <c r="X24" s="2">
        <v>5914.14</v>
      </c>
      <c r="Y24" s="1">
        <v>19</v>
      </c>
      <c r="Z24" s="1">
        <v>17</v>
      </c>
      <c r="AA24" s="1">
        <v>27</v>
      </c>
      <c r="AB24" s="1">
        <v>20</v>
      </c>
      <c r="AC24" s="1">
        <v>27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6</v>
      </c>
      <c r="AT24" s="1">
        <v>5</v>
      </c>
      <c r="AU24" s="1">
        <v>16</v>
      </c>
      <c r="AV24" s="1">
        <v>18</v>
      </c>
      <c r="AW24" s="1">
        <v>78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20</v>
      </c>
      <c r="BD24" s="1">
        <v>9</v>
      </c>
      <c r="BE24" s="1">
        <v>49</v>
      </c>
      <c r="BF24" s="1">
        <v>6</v>
      </c>
      <c r="BG24" s="1">
        <v>95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</row>
    <row r="25" spans="1:64" x14ac:dyDescent="0.2">
      <c r="A25" s="1">
        <v>48068</v>
      </c>
      <c r="B25" s="1" t="s">
        <v>109</v>
      </c>
      <c r="C25" s="1">
        <v>12</v>
      </c>
      <c r="D25" s="1">
        <v>677</v>
      </c>
      <c r="E25" s="1" t="s">
        <v>64</v>
      </c>
      <c r="F25" s="1">
        <v>690</v>
      </c>
      <c r="G25" s="1" t="s">
        <v>101</v>
      </c>
      <c r="H25" s="2">
        <v>29.570699999999999</v>
      </c>
      <c r="I25" s="2">
        <v>354.84840000000003</v>
      </c>
      <c r="J25" s="14">
        <f t="shared" si="2"/>
        <v>0</v>
      </c>
      <c r="K25" s="4">
        <v>0</v>
      </c>
      <c r="L25" s="1">
        <v>2.38</v>
      </c>
      <c r="M25" s="1">
        <v>0.57999999999999996</v>
      </c>
      <c r="N25" s="5">
        <v>5</v>
      </c>
      <c r="O25" s="1"/>
      <c r="P25" s="1">
        <v>2.96</v>
      </c>
      <c r="Q25" s="1">
        <v>2.08</v>
      </c>
      <c r="R25" s="5">
        <v>3</v>
      </c>
      <c r="S25" s="1">
        <v>3.71</v>
      </c>
      <c r="T25" s="1">
        <v>0</v>
      </c>
      <c r="U25" s="5">
        <v>5</v>
      </c>
      <c r="V25" s="1">
        <v>0</v>
      </c>
      <c r="W25" s="20">
        <v>3208.42</v>
      </c>
      <c r="X25" s="2">
        <v>946.26</v>
      </c>
      <c r="Y25" s="1">
        <v>9</v>
      </c>
      <c r="Z25" s="1">
        <v>3</v>
      </c>
      <c r="AA25" s="1">
        <v>18</v>
      </c>
      <c r="AB25" s="1">
        <v>0</v>
      </c>
      <c r="AC25" s="1">
        <v>7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6</v>
      </c>
      <c r="AT25" s="1">
        <v>5</v>
      </c>
      <c r="AU25" s="1">
        <v>19</v>
      </c>
      <c r="AV25" s="1">
        <v>16</v>
      </c>
      <c r="AW25" s="1">
        <v>25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35</v>
      </c>
      <c r="BF25" s="1">
        <v>19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</row>
    <row r="26" spans="1:64" x14ac:dyDescent="0.2">
      <c r="A26" s="1">
        <v>48069</v>
      </c>
      <c r="B26" s="1" t="s">
        <v>110</v>
      </c>
      <c r="C26" s="1">
        <v>12</v>
      </c>
      <c r="D26" s="1">
        <v>677</v>
      </c>
      <c r="E26" s="1" t="s">
        <v>64</v>
      </c>
      <c r="F26" s="1">
        <v>690</v>
      </c>
      <c r="G26" s="1" t="s">
        <v>101</v>
      </c>
      <c r="H26" s="2">
        <v>29.570699999999999</v>
      </c>
      <c r="I26" s="2">
        <v>354.84840000000003</v>
      </c>
      <c r="J26" s="14">
        <f t="shared" si="2"/>
        <v>0</v>
      </c>
      <c r="K26" s="4">
        <v>0</v>
      </c>
      <c r="L26" s="1">
        <v>2.33</v>
      </c>
      <c r="M26" s="1">
        <v>2.58</v>
      </c>
      <c r="N26" s="17">
        <f t="shared" ref="N26:N27" si="7">MAX(0,(TRUNC((L26*0.8)-M26)))</f>
        <v>0</v>
      </c>
      <c r="O26" s="1"/>
      <c r="P26" s="1">
        <v>3.54</v>
      </c>
      <c r="Q26" s="1">
        <v>2.25</v>
      </c>
      <c r="R26" s="5">
        <v>0</v>
      </c>
      <c r="S26" s="1">
        <v>3.12</v>
      </c>
      <c r="T26" s="1">
        <v>7.42</v>
      </c>
      <c r="U26" s="17">
        <f t="shared" ref="U26:U31" si="8">MAX(0,(TRUNC((S26*0.8)-T26)))</f>
        <v>0</v>
      </c>
      <c r="V26" s="1">
        <v>0</v>
      </c>
      <c r="W26" s="20">
        <v>3193.64</v>
      </c>
      <c r="X26" s="2">
        <v>4346.8900000000003</v>
      </c>
      <c r="Y26" s="1">
        <v>10</v>
      </c>
      <c r="Z26" s="1">
        <v>8</v>
      </c>
      <c r="AA26" s="1">
        <v>14</v>
      </c>
      <c r="AB26" s="1">
        <v>0</v>
      </c>
      <c r="AC26" s="1">
        <v>31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4</v>
      </c>
      <c r="AT26" s="1">
        <v>8</v>
      </c>
      <c r="AU26" s="1">
        <v>28</v>
      </c>
      <c r="AV26" s="1">
        <v>13</v>
      </c>
      <c r="AW26" s="1">
        <v>27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10</v>
      </c>
      <c r="BD26" s="1">
        <v>3</v>
      </c>
      <c r="BE26" s="1">
        <v>15</v>
      </c>
      <c r="BF26" s="1">
        <v>22</v>
      </c>
      <c r="BG26" s="1">
        <v>89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</row>
    <row r="27" spans="1:64" x14ac:dyDescent="0.2">
      <c r="A27" s="1">
        <v>48029</v>
      </c>
      <c r="B27" s="1" t="s">
        <v>111</v>
      </c>
      <c r="C27" s="1">
        <v>12</v>
      </c>
      <c r="D27" s="1">
        <v>677</v>
      </c>
      <c r="E27" s="1" t="s">
        <v>64</v>
      </c>
      <c r="F27" s="1">
        <v>690</v>
      </c>
      <c r="G27" s="1" t="s">
        <v>101</v>
      </c>
      <c r="H27" s="2">
        <v>29.570699999999999</v>
      </c>
      <c r="I27" s="2">
        <v>354.84840000000003</v>
      </c>
      <c r="J27" s="14">
        <f t="shared" si="2"/>
        <v>0</v>
      </c>
      <c r="K27" s="4">
        <v>0</v>
      </c>
      <c r="L27" s="1">
        <v>1.83</v>
      </c>
      <c r="M27" s="1">
        <v>4.67</v>
      </c>
      <c r="N27" s="17">
        <f t="shared" si="7"/>
        <v>0</v>
      </c>
      <c r="O27" s="1"/>
      <c r="P27" s="1">
        <v>2.21</v>
      </c>
      <c r="Q27" s="1">
        <v>3.33</v>
      </c>
      <c r="R27" s="5">
        <v>0</v>
      </c>
      <c r="S27" s="1">
        <v>4.25</v>
      </c>
      <c r="T27" s="1">
        <v>2.58</v>
      </c>
      <c r="U27" s="17">
        <f t="shared" si="8"/>
        <v>0</v>
      </c>
      <c r="V27" s="1">
        <v>0</v>
      </c>
      <c r="W27" s="20">
        <v>2942.28</v>
      </c>
      <c r="X27" s="2">
        <v>3755.48</v>
      </c>
      <c r="Y27" s="1">
        <v>5</v>
      </c>
      <c r="Z27" s="1">
        <v>4</v>
      </c>
      <c r="AA27" s="1">
        <v>12</v>
      </c>
      <c r="AB27" s="1">
        <v>6</v>
      </c>
      <c r="AC27" s="1">
        <v>56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6</v>
      </c>
      <c r="AT27" s="1">
        <v>3</v>
      </c>
      <c r="AU27" s="1">
        <v>11</v>
      </c>
      <c r="AV27" s="1">
        <v>16</v>
      </c>
      <c r="AW27" s="1">
        <v>40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14</v>
      </c>
      <c r="BD27" s="1">
        <v>5</v>
      </c>
      <c r="BE27" s="1">
        <v>21</v>
      </c>
      <c r="BF27" s="1">
        <v>27</v>
      </c>
      <c r="BG27" s="1">
        <v>31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</row>
    <row r="28" spans="1:64" x14ac:dyDescent="0.2">
      <c r="A28" s="1">
        <v>48082</v>
      </c>
      <c r="B28" s="1" t="s">
        <v>114</v>
      </c>
      <c r="C28" s="1">
        <v>12</v>
      </c>
      <c r="D28" s="1">
        <v>677</v>
      </c>
      <c r="E28" s="1" t="s">
        <v>64</v>
      </c>
      <c r="F28" s="1">
        <v>690</v>
      </c>
      <c r="G28" s="1" t="s">
        <v>101</v>
      </c>
      <c r="H28" s="2">
        <v>29.570699999999999</v>
      </c>
      <c r="I28" s="2">
        <v>354.84840000000003</v>
      </c>
      <c r="J28" s="14">
        <f t="shared" si="2"/>
        <v>0</v>
      </c>
      <c r="K28" s="4">
        <v>0</v>
      </c>
      <c r="L28" s="1">
        <v>4.17</v>
      </c>
      <c r="M28" s="1">
        <v>-0.5</v>
      </c>
      <c r="N28" s="5">
        <v>0</v>
      </c>
      <c r="O28" s="1" t="s">
        <v>115</v>
      </c>
      <c r="P28" s="1">
        <v>0.79</v>
      </c>
      <c r="Q28" s="1">
        <v>0</v>
      </c>
      <c r="R28" s="5">
        <v>3</v>
      </c>
      <c r="S28" s="1">
        <v>2.96</v>
      </c>
      <c r="T28" s="1">
        <v>8.33</v>
      </c>
      <c r="U28" s="17">
        <f t="shared" si="8"/>
        <v>0</v>
      </c>
      <c r="V28" s="1">
        <v>0</v>
      </c>
      <c r="W28" s="20">
        <v>2809.22</v>
      </c>
      <c r="X28" s="2">
        <v>2779.65</v>
      </c>
      <c r="Y28" s="1">
        <v>25</v>
      </c>
      <c r="Z28" s="1">
        <v>20</v>
      </c>
      <c r="AA28" s="1">
        <v>15</v>
      </c>
      <c r="AB28" s="1">
        <v>0</v>
      </c>
      <c r="AC28" s="1">
        <v>-6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9</v>
      </c>
      <c r="AV28" s="1">
        <v>1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2</v>
      </c>
      <c r="BD28" s="1">
        <v>11</v>
      </c>
      <c r="BE28" s="1">
        <v>15</v>
      </c>
      <c r="BF28" s="1">
        <v>26</v>
      </c>
      <c r="BG28" s="1">
        <v>100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</row>
    <row r="29" spans="1:64" x14ac:dyDescent="0.2">
      <c r="A29" s="1">
        <v>48058</v>
      </c>
      <c r="B29" s="1" t="s">
        <v>116</v>
      </c>
      <c r="C29" s="1">
        <v>12</v>
      </c>
      <c r="D29" s="1">
        <v>677</v>
      </c>
      <c r="E29" s="1" t="s">
        <v>64</v>
      </c>
      <c r="F29" s="1">
        <v>690</v>
      </c>
      <c r="G29" s="1" t="s">
        <v>101</v>
      </c>
      <c r="H29" s="2">
        <v>29.570699999999999</v>
      </c>
      <c r="I29" s="2">
        <v>354.84840000000003</v>
      </c>
      <c r="J29" s="14">
        <f t="shared" si="2"/>
        <v>0</v>
      </c>
      <c r="K29" s="15">
        <f t="shared" ref="K29:K35" si="9">SUM(N29+R29+U29)</f>
        <v>0</v>
      </c>
      <c r="L29" s="1">
        <v>1.92</v>
      </c>
      <c r="M29" s="1">
        <v>4.25</v>
      </c>
      <c r="N29" s="17">
        <f t="shared" ref="N29:N31" si="10">MAX(0,(TRUNC((L29*0.8)-M29)))</f>
        <v>0</v>
      </c>
      <c r="O29" s="1"/>
      <c r="P29" s="1">
        <v>2.33</v>
      </c>
      <c r="Q29" s="1">
        <v>3.25</v>
      </c>
      <c r="R29" s="5">
        <v>0</v>
      </c>
      <c r="S29" s="1">
        <v>3.29</v>
      </c>
      <c r="T29" s="1">
        <v>3.92</v>
      </c>
      <c r="U29" s="17">
        <f t="shared" si="8"/>
        <v>0</v>
      </c>
      <c r="V29" s="1">
        <v>0</v>
      </c>
      <c r="W29" s="20">
        <v>2676.15</v>
      </c>
      <c r="X29" s="2">
        <v>4051.19</v>
      </c>
      <c r="Y29" s="1">
        <v>7</v>
      </c>
      <c r="Z29" s="1">
        <v>8</v>
      </c>
      <c r="AA29" s="1">
        <v>10</v>
      </c>
      <c r="AB29" s="1">
        <v>4</v>
      </c>
      <c r="AC29" s="1">
        <v>51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1</v>
      </c>
      <c r="AT29" s="1">
        <v>0</v>
      </c>
      <c r="AU29" s="1">
        <v>20</v>
      </c>
      <c r="AV29" s="1">
        <v>14</v>
      </c>
      <c r="AW29" s="1">
        <v>39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10</v>
      </c>
      <c r="BD29" s="1">
        <v>3</v>
      </c>
      <c r="BE29" s="1">
        <v>26</v>
      </c>
      <c r="BF29" s="1">
        <v>4</v>
      </c>
      <c r="BG29" s="1">
        <v>47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</row>
    <row r="30" spans="1:64" x14ac:dyDescent="0.2">
      <c r="A30" s="1">
        <v>47036</v>
      </c>
      <c r="B30" s="1" t="s">
        <v>117</v>
      </c>
      <c r="C30" s="1">
        <v>24</v>
      </c>
      <c r="D30" s="1">
        <v>677</v>
      </c>
      <c r="E30" s="1" t="s">
        <v>64</v>
      </c>
      <c r="F30" s="1">
        <v>61</v>
      </c>
      <c r="G30" s="1" t="s">
        <v>66</v>
      </c>
      <c r="H30" s="2">
        <v>38.6661</v>
      </c>
      <c r="I30" s="2">
        <v>927.9864</v>
      </c>
      <c r="J30" s="14">
        <f t="shared" si="2"/>
        <v>0</v>
      </c>
      <c r="K30" s="15">
        <f t="shared" si="9"/>
        <v>0</v>
      </c>
      <c r="L30" s="1">
        <v>1.23</v>
      </c>
      <c r="M30" s="1">
        <v>0</v>
      </c>
      <c r="N30" s="17">
        <f t="shared" si="10"/>
        <v>0</v>
      </c>
      <c r="O30" s="1"/>
      <c r="P30" s="1">
        <v>1.02</v>
      </c>
      <c r="Q30" s="1">
        <v>0</v>
      </c>
      <c r="R30" s="5">
        <v>0</v>
      </c>
      <c r="S30" s="1">
        <v>0.54</v>
      </c>
      <c r="T30" s="1">
        <v>0</v>
      </c>
      <c r="U30" s="17">
        <f t="shared" si="8"/>
        <v>0</v>
      </c>
      <c r="V30" s="1">
        <v>0</v>
      </c>
      <c r="W30" s="20">
        <v>2590.63</v>
      </c>
      <c r="X30" s="2">
        <v>0</v>
      </c>
      <c r="Y30" s="1">
        <v>0</v>
      </c>
      <c r="Z30" s="1">
        <v>0</v>
      </c>
      <c r="AA30" s="1">
        <v>28</v>
      </c>
      <c r="AB30" s="1">
        <v>3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21</v>
      </c>
      <c r="AV30" s="1">
        <v>7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7</v>
      </c>
      <c r="BF30" s="1">
        <v>12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</row>
    <row r="31" spans="1:64" x14ac:dyDescent="0.2">
      <c r="A31" s="1">
        <v>48063</v>
      </c>
      <c r="B31" s="1" t="s">
        <v>118</v>
      </c>
      <c r="C31" s="1">
        <v>12</v>
      </c>
      <c r="D31" s="1">
        <v>677</v>
      </c>
      <c r="E31" s="1" t="s">
        <v>64</v>
      </c>
      <c r="F31" s="1">
        <v>690</v>
      </c>
      <c r="G31" s="1" t="s">
        <v>101</v>
      </c>
      <c r="H31" s="2">
        <v>29.570699999999999</v>
      </c>
      <c r="I31" s="2">
        <v>354.84840000000003</v>
      </c>
      <c r="J31" s="14">
        <f t="shared" si="2"/>
        <v>0</v>
      </c>
      <c r="K31" s="15">
        <f t="shared" si="9"/>
        <v>0</v>
      </c>
      <c r="L31" s="1">
        <v>2.12</v>
      </c>
      <c r="M31" s="1">
        <v>2.58</v>
      </c>
      <c r="N31" s="17">
        <f t="shared" si="10"/>
        <v>0</v>
      </c>
      <c r="O31" s="1"/>
      <c r="P31" s="1">
        <v>0.54</v>
      </c>
      <c r="Q31" s="1">
        <v>3.67</v>
      </c>
      <c r="R31" s="5">
        <v>0</v>
      </c>
      <c r="S31" s="1">
        <v>3.75</v>
      </c>
      <c r="T31" s="1">
        <v>5.17</v>
      </c>
      <c r="U31" s="17">
        <f t="shared" si="8"/>
        <v>0</v>
      </c>
      <c r="V31" s="1">
        <v>0</v>
      </c>
      <c r="W31" s="20">
        <v>2276.94</v>
      </c>
      <c r="X31" s="2">
        <v>4051.19</v>
      </c>
      <c r="Y31" s="1">
        <v>10</v>
      </c>
      <c r="Z31" s="1">
        <v>7</v>
      </c>
      <c r="AA31" s="1">
        <v>12</v>
      </c>
      <c r="AB31" s="1">
        <v>0</v>
      </c>
      <c r="AC31" s="1">
        <v>31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4</v>
      </c>
      <c r="AT31" s="1">
        <v>5</v>
      </c>
      <c r="AU31" s="1">
        <v>0</v>
      </c>
      <c r="AV31" s="1">
        <v>0</v>
      </c>
      <c r="AW31" s="1">
        <v>44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11</v>
      </c>
      <c r="BD31" s="1">
        <v>4</v>
      </c>
      <c r="BE31" s="1">
        <v>19</v>
      </c>
      <c r="BF31" s="1">
        <v>26</v>
      </c>
      <c r="BG31" s="1">
        <v>62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</row>
    <row r="32" spans="1:64" x14ac:dyDescent="0.2">
      <c r="A32" s="1">
        <v>47026</v>
      </c>
      <c r="B32" s="1" t="s">
        <v>120</v>
      </c>
      <c r="C32" s="1">
        <v>12</v>
      </c>
      <c r="D32" s="1">
        <v>677</v>
      </c>
      <c r="E32" s="1" t="s">
        <v>64</v>
      </c>
      <c r="F32" s="1">
        <v>999</v>
      </c>
      <c r="G32" s="1" t="s">
        <v>67</v>
      </c>
      <c r="H32" s="2">
        <v>48.56</v>
      </c>
      <c r="I32" s="2">
        <v>582.72</v>
      </c>
      <c r="J32" s="14">
        <f t="shared" si="2"/>
        <v>23891.52</v>
      </c>
      <c r="K32" s="15">
        <f t="shared" si="9"/>
        <v>41</v>
      </c>
      <c r="L32" s="1">
        <v>0</v>
      </c>
      <c r="M32" s="1">
        <v>0</v>
      </c>
      <c r="N32" s="16">
        <v>11</v>
      </c>
      <c r="O32" s="1"/>
      <c r="P32" s="1">
        <v>3.54</v>
      </c>
      <c r="Q32" s="1">
        <v>0.92</v>
      </c>
      <c r="R32" s="5">
        <v>20</v>
      </c>
      <c r="S32" s="1">
        <v>0</v>
      </c>
      <c r="T32" s="1">
        <v>0</v>
      </c>
      <c r="U32" s="5">
        <v>10</v>
      </c>
      <c r="V32" s="1">
        <v>0</v>
      </c>
      <c r="W32" s="20">
        <v>2063.8000000000002</v>
      </c>
      <c r="X32" s="2">
        <v>534.16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13</v>
      </c>
      <c r="AT32" s="1">
        <v>59</v>
      </c>
      <c r="AU32" s="1">
        <v>0</v>
      </c>
      <c r="AV32" s="1">
        <v>0</v>
      </c>
      <c r="AW32" s="1">
        <v>11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</row>
    <row r="33" spans="1:64" x14ac:dyDescent="0.2">
      <c r="A33" s="1">
        <v>47027</v>
      </c>
      <c r="B33" s="1" t="s">
        <v>95</v>
      </c>
      <c r="C33" s="1">
        <v>16</v>
      </c>
      <c r="D33" s="1">
        <v>677</v>
      </c>
      <c r="E33" s="1" t="s">
        <v>64</v>
      </c>
      <c r="F33" s="1">
        <v>999</v>
      </c>
      <c r="G33" s="1" t="s">
        <v>67</v>
      </c>
      <c r="H33" s="2">
        <v>56.59</v>
      </c>
      <c r="I33" s="2">
        <v>905.44</v>
      </c>
      <c r="J33" s="14">
        <f t="shared" si="2"/>
        <v>36217.600000000006</v>
      </c>
      <c r="K33" s="15">
        <f t="shared" si="9"/>
        <v>40</v>
      </c>
      <c r="L33" s="1">
        <v>2.09</v>
      </c>
      <c r="M33" s="1">
        <v>0</v>
      </c>
      <c r="N33" s="16">
        <v>10</v>
      </c>
      <c r="O33" s="1"/>
      <c r="P33" s="1">
        <v>0</v>
      </c>
      <c r="Q33" s="1">
        <v>0</v>
      </c>
      <c r="R33" s="5">
        <v>20</v>
      </c>
      <c r="S33" s="1">
        <v>0</v>
      </c>
      <c r="T33" s="1">
        <v>0</v>
      </c>
      <c r="U33" s="5">
        <v>10</v>
      </c>
      <c r="V33" s="1">
        <v>0</v>
      </c>
      <c r="W33" s="20">
        <v>1895.76</v>
      </c>
      <c r="X33" s="2">
        <v>0</v>
      </c>
      <c r="Y33" s="1">
        <v>16</v>
      </c>
      <c r="Z33" s="1">
        <v>35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</row>
    <row r="34" spans="1:64" x14ac:dyDescent="0.2">
      <c r="A34" s="1">
        <v>48080</v>
      </c>
      <c r="B34" s="1" t="s">
        <v>122</v>
      </c>
      <c r="C34" s="1">
        <v>12</v>
      </c>
      <c r="D34" s="1">
        <v>677</v>
      </c>
      <c r="E34" s="1" t="s">
        <v>64</v>
      </c>
      <c r="F34" s="1">
        <v>690</v>
      </c>
      <c r="G34" s="1" t="s">
        <v>101</v>
      </c>
      <c r="H34" s="2">
        <v>29.570699999999999</v>
      </c>
      <c r="I34" s="2">
        <v>354.84840000000003</v>
      </c>
      <c r="J34" s="14">
        <f t="shared" si="2"/>
        <v>0</v>
      </c>
      <c r="K34" s="15">
        <f t="shared" si="9"/>
        <v>0</v>
      </c>
      <c r="L34" s="1">
        <v>0</v>
      </c>
      <c r="M34" s="1">
        <v>0</v>
      </c>
      <c r="N34" s="17">
        <f t="shared" ref="N34:N43" si="11">MAX(0,(TRUNC((L34*0.8)-M34)))</f>
        <v>0</v>
      </c>
      <c r="O34" s="1"/>
      <c r="P34" s="1">
        <v>1.75</v>
      </c>
      <c r="Q34" s="1">
        <v>0</v>
      </c>
      <c r="R34" s="5">
        <v>0</v>
      </c>
      <c r="S34" s="1">
        <v>2.83</v>
      </c>
      <c r="T34" s="1">
        <v>1.58</v>
      </c>
      <c r="U34" s="17">
        <f t="shared" ref="U34:U91" si="12">MAX(0,(TRUNC((S34*0.8)-T34)))</f>
        <v>0</v>
      </c>
      <c r="V34" s="1">
        <v>0</v>
      </c>
      <c r="W34" s="20">
        <v>1626.39</v>
      </c>
      <c r="X34" s="2">
        <v>561.84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10</v>
      </c>
      <c r="AV34" s="1">
        <v>22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14</v>
      </c>
      <c r="BD34" s="1">
        <v>6</v>
      </c>
      <c r="BE34" s="1">
        <v>4</v>
      </c>
      <c r="BF34" s="1">
        <v>26</v>
      </c>
      <c r="BG34" s="1">
        <v>19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</row>
    <row r="35" spans="1:64" x14ac:dyDescent="0.2">
      <c r="A35" s="1">
        <v>47019</v>
      </c>
      <c r="B35" s="1" t="s">
        <v>123</v>
      </c>
      <c r="C35" s="1">
        <v>8</v>
      </c>
      <c r="D35" s="1">
        <v>677</v>
      </c>
      <c r="E35" s="1" t="s">
        <v>64</v>
      </c>
      <c r="F35" s="1">
        <v>61</v>
      </c>
      <c r="G35" s="1" t="s">
        <v>66</v>
      </c>
      <c r="H35" s="2">
        <v>152.41</v>
      </c>
      <c r="I35" s="2">
        <v>1219.28</v>
      </c>
      <c r="J35" s="14">
        <f t="shared" si="2"/>
        <v>0</v>
      </c>
      <c r="K35" s="15">
        <f t="shared" si="9"/>
        <v>0</v>
      </c>
      <c r="L35" s="1">
        <v>0.38</v>
      </c>
      <c r="M35" s="1">
        <v>3.5</v>
      </c>
      <c r="N35" s="17">
        <f t="shared" si="11"/>
        <v>0</v>
      </c>
      <c r="O35" s="1"/>
      <c r="P35" s="1">
        <v>0.81</v>
      </c>
      <c r="Q35" s="1">
        <v>1.5</v>
      </c>
      <c r="R35" s="5">
        <v>0</v>
      </c>
      <c r="S35" s="1">
        <v>0</v>
      </c>
      <c r="T35" s="1">
        <v>0.75</v>
      </c>
      <c r="U35" s="17">
        <f t="shared" si="12"/>
        <v>0</v>
      </c>
      <c r="V35" s="1">
        <v>0</v>
      </c>
      <c r="W35" s="20">
        <v>1447.9</v>
      </c>
      <c r="X35" s="2">
        <v>7010.86</v>
      </c>
      <c r="Y35" s="1">
        <v>1</v>
      </c>
      <c r="Z35" s="1">
        <v>0</v>
      </c>
      <c r="AA35" s="1">
        <v>1</v>
      </c>
      <c r="AB35" s="1">
        <v>2</v>
      </c>
      <c r="AC35" s="1">
        <v>28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1</v>
      </c>
      <c r="AU35" s="1">
        <v>2</v>
      </c>
      <c r="AV35" s="1">
        <v>8</v>
      </c>
      <c r="AW35" s="1">
        <v>12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6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</row>
    <row r="36" spans="1:64" x14ac:dyDescent="0.2">
      <c r="A36" s="1">
        <v>48049</v>
      </c>
      <c r="B36" s="1" t="s">
        <v>124</v>
      </c>
      <c r="C36" s="1">
        <v>12</v>
      </c>
      <c r="D36" s="1">
        <v>677</v>
      </c>
      <c r="E36" s="1" t="s">
        <v>64</v>
      </c>
      <c r="F36" s="1">
        <v>690</v>
      </c>
      <c r="G36" s="1" t="s">
        <v>101</v>
      </c>
      <c r="H36" s="2">
        <v>29.570699999999999</v>
      </c>
      <c r="I36" s="2">
        <v>354.84840000000003</v>
      </c>
      <c r="J36" s="14">
        <f t="shared" si="2"/>
        <v>0</v>
      </c>
      <c r="K36" s="4">
        <v>0</v>
      </c>
      <c r="L36" s="1">
        <v>0.17</v>
      </c>
      <c r="M36" s="1">
        <v>1</v>
      </c>
      <c r="N36" s="17">
        <f t="shared" si="11"/>
        <v>0</v>
      </c>
      <c r="O36" s="1"/>
      <c r="P36" s="1">
        <v>1.79</v>
      </c>
      <c r="Q36" s="1">
        <v>0</v>
      </c>
      <c r="R36" s="5">
        <v>0</v>
      </c>
      <c r="S36" s="1">
        <v>1.17</v>
      </c>
      <c r="T36" s="1">
        <v>0</v>
      </c>
      <c r="U36" s="17">
        <f t="shared" si="12"/>
        <v>0</v>
      </c>
      <c r="V36" s="1">
        <v>0</v>
      </c>
      <c r="W36" s="20">
        <v>1108.9000000000001</v>
      </c>
      <c r="X36" s="2">
        <v>354.85</v>
      </c>
      <c r="Y36" s="1">
        <v>1</v>
      </c>
      <c r="Z36" s="1">
        <v>0</v>
      </c>
      <c r="AA36" s="1">
        <v>1</v>
      </c>
      <c r="AB36" s="1">
        <v>0</v>
      </c>
      <c r="AC36" s="1">
        <v>12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19</v>
      </c>
      <c r="AV36" s="1">
        <v>5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6</v>
      </c>
      <c r="BF36" s="1">
        <v>16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</row>
    <row r="37" spans="1:64" x14ac:dyDescent="0.2">
      <c r="A37" s="1">
        <v>48044</v>
      </c>
      <c r="B37" s="1" t="s">
        <v>121</v>
      </c>
      <c r="C37" s="1">
        <v>12</v>
      </c>
      <c r="D37" s="1">
        <v>677</v>
      </c>
      <c r="E37" s="1" t="s">
        <v>64</v>
      </c>
      <c r="F37" s="1">
        <v>690</v>
      </c>
      <c r="G37" s="1" t="s">
        <v>101</v>
      </c>
      <c r="H37" s="2">
        <v>29.570699999999999</v>
      </c>
      <c r="I37" s="2">
        <v>354.84840000000003</v>
      </c>
      <c r="J37" s="14">
        <f t="shared" si="2"/>
        <v>0</v>
      </c>
      <c r="K37" s="15">
        <f t="shared" ref="K37:K91" si="13">SUM(N37+R37+U37)</f>
        <v>0</v>
      </c>
      <c r="L37" s="1">
        <v>0</v>
      </c>
      <c r="M37" s="1">
        <v>0</v>
      </c>
      <c r="N37" s="17">
        <f t="shared" si="11"/>
        <v>0</v>
      </c>
      <c r="O37" s="1"/>
      <c r="P37" s="1">
        <v>1.38</v>
      </c>
      <c r="Q37" s="1">
        <v>3.75</v>
      </c>
      <c r="R37" s="5">
        <v>0</v>
      </c>
      <c r="S37" s="1">
        <v>0.96</v>
      </c>
      <c r="T37" s="1">
        <v>2.25</v>
      </c>
      <c r="U37" s="17">
        <f t="shared" si="12"/>
        <v>0</v>
      </c>
      <c r="V37" s="1">
        <v>0</v>
      </c>
      <c r="W37" s="20">
        <v>827.98</v>
      </c>
      <c r="X37" s="2">
        <v>2129.09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5</v>
      </c>
      <c r="AT37" s="1">
        <v>7</v>
      </c>
      <c r="AU37" s="1">
        <v>4</v>
      </c>
      <c r="AV37" s="1">
        <v>8</v>
      </c>
      <c r="AW37" s="1">
        <v>45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10</v>
      </c>
      <c r="BD37" s="1">
        <v>3</v>
      </c>
      <c r="BE37" s="1">
        <v>0</v>
      </c>
      <c r="BF37" s="1">
        <v>0</v>
      </c>
      <c r="BG37" s="1">
        <v>27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</row>
    <row r="38" spans="1:64" x14ac:dyDescent="0.2">
      <c r="A38" s="1">
        <v>47210</v>
      </c>
      <c r="B38" s="1" t="s">
        <v>127</v>
      </c>
      <c r="C38" s="1">
        <v>12</v>
      </c>
      <c r="D38" s="1">
        <v>677</v>
      </c>
      <c r="E38" s="1" t="s">
        <v>64</v>
      </c>
      <c r="F38" s="1">
        <v>61</v>
      </c>
      <c r="G38" s="1" t="s">
        <v>66</v>
      </c>
      <c r="H38" s="2">
        <v>48.1554</v>
      </c>
      <c r="I38" s="2">
        <v>577.86479999999995</v>
      </c>
      <c r="J38" s="14">
        <f t="shared" si="2"/>
        <v>0</v>
      </c>
      <c r="K38" s="15">
        <f t="shared" si="13"/>
        <v>0</v>
      </c>
      <c r="L38" s="1">
        <v>0.12</v>
      </c>
      <c r="M38" s="1">
        <v>0.75</v>
      </c>
      <c r="N38" s="17">
        <f t="shared" si="11"/>
        <v>0</v>
      </c>
      <c r="O38" s="1"/>
      <c r="P38" s="1">
        <v>0.67</v>
      </c>
      <c r="Q38" s="1">
        <v>0</v>
      </c>
      <c r="R38" s="5">
        <v>0</v>
      </c>
      <c r="S38" s="1">
        <v>0.46</v>
      </c>
      <c r="T38" s="1">
        <v>0.92</v>
      </c>
      <c r="U38" s="17">
        <f t="shared" si="12"/>
        <v>0</v>
      </c>
      <c r="V38" s="1">
        <v>0</v>
      </c>
      <c r="W38" s="20">
        <v>722.33</v>
      </c>
      <c r="X38" s="2">
        <v>963.11</v>
      </c>
      <c r="Y38" s="1">
        <v>1</v>
      </c>
      <c r="Z38" s="1">
        <v>1</v>
      </c>
      <c r="AA38" s="1">
        <v>0</v>
      </c>
      <c r="AB38" s="1">
        <v>0</v>
      </c>
      <c r="AC38" s="1">
        <v>9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16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4</v>
      </c>
      <c r="BD38" s="1">
        <v>3</v>
      </c>
      <c r="BE38" s="1">
        <v>0</v>
      </c>
      <c r="BF38" s="1">
        <v>0</v>
      </c>
      <c r="BG38" s="1">
        <v>11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</row>
    <row r="39" spans="1:64" x14ac:dyDescent="0.2">
      <c r="A39" s="1">
        <v>48066</v>
      </c>
      <c r="B39" s="1" t="s">
        <v>129</v>
      </c>
      <c r="C39" s="1">
        <v>12</v>
      </c>
      <c r="D39" s="1">
        <v>677</v>
      </c>
      <c r="E39" s="1" t="s">
        <v>64</v>
      </c>
      <c r="F39" s="1">
        <v>690</v>
      </c>
      <c r="G39" s="1" t="s">
        <v>101</v>
      </c>
      <c r="H39" s="2">
        <v>29.570699999999999</v>
      </c>
      <c r="I39" s="2">
        <v>354.84840000000003</v>
      </c>
      <c r="J39" s="14">
        <f t="shared" si="2"/>
        <v>0</v>
      </c>
      <c r="K39" s="15">
        <f t="shared" si="13"/>
        <v>0</v>
      </c>
      <c r="L39" s="1">
        <v>0.75</v>
      </c>
      <c r="M39" s="1">
        <v>1.67</v>
      </c>
      <c r="N39" s="17">
        <f t="shared" si="11"/>
        <v>0</v>
      </c>
      <c r="O39" s="1"/>
      <c r="P39" s="1">
        <v>0.21</v>
      </c>
      <c r="Q39" s="1">
        <v>4.25</v>
      </c>
      <c r="R39" s="5">
        <v>0</v>
      </c>
      <c r="S39" s="1">
        <v>0.83</v>
      </c>
      <c r="T39" s="1">
        <v>1.58</v>
      </c>
      <c r="U39" s="17">
        <f t="shared" si="12"/>
        <v>0</v>
      </c>
      <c r="V39" s="1">
        <v>0</v>
      </c>
      <c r="W39" s="20">
        <v>635.77</v>
      </c>
      <c r="X39" s="2">
        <v>2661.36</v>
      </c>
      <c r="Y39" s="1">
        <v>7</v>
      </c>
      <c r="Z39" s="1">
        <v>4</v>
      </c>
      <c r="AA39" s="1">
        <v>0</v>
      </c>
      <c r="AB39" s="1">
        <v>0</v>
      </c>
      <c r="AC39" s="1">
        <v>20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1</v>
      </c>
      <c r="AT39" s="1">
        <v>3</v>
      </c>
      <c r="AU39" s="1">
        <v>0</v>
      </c>
      <c r="AV39" s="1">
        <v>0</v>
      </c>
      <c r="AW39" s="1">
        <v>51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8</v>
      </c>
      <c r="BD39" s="1">
        <v>3</v>
      </c>
      <c r="BE39" s="1">
        <v>0</v>
      </c>
      <c r="BF39" s="1">
        <v>1</v>
      </c>
      <c r="BG39" s="1">
        <v>19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</row>
    <row r="40" spans="1:64" x14ac:dyDescent="0.2">
      <c r="A40" s="1">
        <v>48055</v>
      </c>
      <c r="B40" s="1" t="s">
        <v>119</v>
      </c>
      <c r="C40" s="1">
        <v>12</v>
      </c>
      <c r="D40" s="1">
        <v>677</v>
      </c>
      <c r="E40" s="1" t="s">
        <v>64</v>
      </c>
      <c r="F40" s="1">
        <v>690</v>
      </c>
      <c r="G40" s="1" t="s">
        <v>101</v>
      </c>
      <c r="H40" s="2">
        <v>29.570699999999999</v>
      </c>
      <c r="I40" s="2">
        <v>354.84840000000003</v>
      </c>
      <c r="J40" s="14">
        <f t="shared" si="2"/>
        <v>0</v>
      </c>
      <c r="K40" s="15">
        <f t="shared" si="13"/>
        <v>0</v>
      </c>
      <c r="L40" s="1">
        <v>0.54</v>
      </c>
      <c r="M40" s="1">
        <v>2.92</v>
      </c>
      <c r="N40" s="17">
        <f t="shared" si="11"/>
        <v>0</v>
      </c>
      <c r="O40" s="1"/>
      <c r="P40" s="1">
        <v>0.21</v>
      </c>
      <c r="Q40" s="1">
        <v>2.92</v>
      </c>
      <c r="R40" s="5">
        <v>0</v>
      </c>
      <c r="S40" s="1">
        <v>0.92</v>
      </c>
      <c r="T40" s="1">
        <v>1.5</v>
      </c>
      <c r="U40" s="17">
        <f t="shared" si="12"/>
        <v>0</v>
      </c>
      <c r="V40" s="1">
        <v>0</v>
      </c>
      <c r="W40" s="20">
        <v>591.41</v>
      </c>
      <c r="X40" s="2">
        <v>2602.2199999999998</v>
      </c>
      <c r="Y40" s="1">
        <v>4</v>
      </c>
      <c r="Z40" s="1">
        <v>5</v>
      </c>
      <c r="AA40" s="1">
        <v>0</v>
      </c>
      <c r="AB40" s="1">
        <v>0</v>
      </c>
      <c r="AC40" s="1">
        <v>35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2</v>
      </c>
      <c r="AT40" s="1">
        <v>1</v>
      </c>
      <c r="AU40" s="1">
        <v>0</v>
      </c>
      <c r="AV40" s="1">
        <v>0</v>
      </c>
      <c r="AW40" s="1">
        <v>35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10</v>
      </c>
      <c r="BD40" s="1">
        <v>2</v>
      </c>
      <c r="BE40" s="1">
        <v>0</v>
      </c>
      <c r="BF40" s="1">
        <v>0</v>
      </c>
      <c r="BG40" s="1">
        <v>18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</row>
    <row r="41" spans="1:64" x14ac:dyDescent="0.2">
      <c r="A41" s="1">
        <v>47009</v>
      </c>
      <c r="B41" s="1" t="s">
        <v>130</v>
      </c>
      <c r="C41" s="1">
        <v>12</v>
      </c>
      <c r="D41" s="1">
        <v>677</v>
      </c>
      <c r="E41" s="1" t="s">
        <v>64</v>
      </c>
      <c r="F41" s="1">
        <v>61</v>
      </c>
      <c r="G41" s="1" t="s">
        <v>66</v>
      </c>
      <c r="H41" s="2">
        <v>138.47</v>
      </c>
      <c r="I41" s="2">
        <v>1661.64</v>
      </c>
      <c r="J41" s="14">
        <f t="shared" si="2"/>
        <v>0</v>
      </c>
      <c r="K41" s="15">
        <f t="shared" si="13"/>
        <v>0</v>
      </c>
      <c r="L41" s="1">
        <v>0</v>
      </c>
      <c r="M41" s="1">
        <v>0</v>
      </c>
      <c r="N41" s="17">
        <f t="shared" si="11"/>
        <v>0</v>
      </c>
      <c r="O41" s="1"/>
      <c r="P41" s="1">
        <v>0.12</v>
      </c>
      <c r="Q41" s="1">
        <v>0</v>
      </c>
      <c r="R41" s="5">
        <v>0</v>
      </c>
      <c r="S41" s="1">
        <v>0.17</v>
      </c>
      <c r="T41" s="1">
        <v>0</v>
      </c>
      <c r="U41" s="17">
        <f t="shared" si="12"/>
        <v>0</v>
      </c>
      <c r="V41" s="1">
        <v>0</v>
      </c>
      <c r="W41" s="20">
        <v>484.64</v>
      </c>
      <c r="X41" s="2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1</v>
      </c>
      <c r="AV41" s="1">
        <v>1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2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</row>
    <row r="42" spans="1:64" x14ac:dyDescent="0.2">
      <c r="A42" s="1">
        <v>562</v>
      </c>
      <c r="B42" s="1" t="s">
        <v>131</v>
      </c>
      <c r="C42" s="1">
        <v>96</v>
      </c>
      <c r="D42" s="1">
        <v>677</v>
      </c>
      <c r="E42" s="1" t="s">
        <v>64</v>
      </c>
      <c r="F42" s="1">
        <v>690</v>
      </c>
      <c r="G42" s="1" t="s">
        <v>101</v>
      </c>
      <c r="H42" s="2">
        <v>3.6968999999999999</v>
      </c>
      <c r="I42" s="2">
        <v>354.9024</v>
      </c>
      <c r="J42" s="14">
        <f t="shared" si="2"/>
        <v>0</v>
      </c>
      <c r="K42" s="15">
        <f t="shared" si="13"/>
        <v>0</v>
      </c>
      <c r="L42" s="1">
        <v>0.71</v>
      </c>
      <c r="M42" s="1">
        <v>-0.34</v>
      </c>
      <c r="N42" s="17">
        <f t="shared" si="11"/>
        <v>0</v>
      </c>
      <c r="O42" s="1"/>
      <c r="P42" s="1">
        <v>0</v>
      </c>
      <c r="Q42" s="1">
        <v>0</v>
      </c>
      <c r="R42" s="5">
        <v>0</v>
      </c>
      <c r="S42" s="1">
        <v>0</v>
      </c>
      <c r="T42" s="1">
        <v>0</v>
      </c>
      <c r="U42" s="17">
        <f t="shared" si="12"/>
        <v>0</v>
      </c>
      <c r="V42" s="1">
        <v>0</v>
      </c>
      <c r="W42" s="20">
        <v>253.24</v>
      </c>
      <c r="X42" s="2">
        <v>-122</v>
      </c>
      <c r="Y42" s="1">
        <v>6</v>
      </c>
      <c r="Z42" s="1">
        <v>19</v>
      </c>
      <c r="AA42" s="1">
        <v>42</v>
      </c>
      <c r="AB42" s="1">
        <v>22</v>
      </c>
      <c r="AC42" s="1">
        <v>-33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</row>
    <row r="43" spans="1:64" x14ac:dyDescent="0.2">
      <c r="A43" s="1">
        <v>561</v>
      </c>
      <c r="B43" s="1" t="s">
        <v>132</v>
      </c>
      <c r="C43" s="1">
        <v>96</v>
      </c>
      <c r="D43" s="1">
        <v>677</v>
      </c>
      <c r="E43" s="1" t="s">
        <v>64</v>
      </c>
      <c r="F43" s="1">
        <v>690</v>
      </c>
      <c r="G43" s="1" t="s">
        <v>101</v>
      </c>
      <c r="H43" s="2">
        <v>3.6968999999999999</v>
      </c>
      <c r="I43" s="2">
        <v>354.9024</v>
      </c>
      <c r="J43" s="14">
        <f t="shared" si="2"/>
        <v>0</v>
      </c>
      <c r="K43" s="15">
        <f t="shared" si="13"/>
        <v>0</v>
      </c>
      <c r="L43" s="1">
        <v>0.66</v>
      </c>
      <c r="M43" s="1">
        <v>-0.44</v>
      </c>
      <c r="N43" s="17">
        <f t="shared" si="11"/>
        <v>0</v>
      </c>
      <c r="O43" s="1"/>
      <c r="P43" s="1">
        <v>0</v>
      </c>
      <c r="Q43" s="1">
        <v>0</v>
      </c>
      <c r="R43" s="5">
        <v>0</v>
      </c>
      <c r="S43" s="1">
        <v>0</v>
      </c>
      <c r="T43" s="1">
        <v>0</v>
      </c>
      <c r="U43" s="17">
        <f t="shared" si="12"/>
        <v>0</v>
      </c>
      <c r="V43" s="1">
        <v>0</v>
      </c>
      <c r="W43" s="20">
        <v>232.9</v>
      </c>
      <c r="X43" s="2">
        <v>-155.27000000000001</v>
      </c>
      <c r="Y43" s="1">
        <v>8</v>
      </c>
      <c r="Z43" s="1">
        <v>18</v>
      </c>
      <c r="AA43" s="1">
        <v>42</v>
      </c>
      <c r="AB43" s="1">
        <v>8</v>
      </c>
      <c r="AC43" s="1">
        <v>-42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</row>
    <row r="44" spans="1:64" x14ac:dyDescent="0.2">
      <c r="A44" s="1">
        <v>560</v>
      </c>
      <c r="B44" s="1" t="s">
        <v>133</v>
      </c>
      <c r="C44" s="1">
        <v>96</v>
      </c>
      <c r="D44" s="1">
        <v>677</v>
      </c>
      <c r="E44" s="1" t="s">
        <v>64</v>
      </c>
      <c r="F44" s="1">
        <v>690</v>
      </c>
      <c r="G44" s="1" t="s">
        <v>101</v>
      </c>
      <c r="H44" s="2">
        <v>3.6968999999999999</v>
      </c>
      <c r="I44" s="2">
        <v>354.9024</v>
      </c>
      <c r="J44" s="14">
        <f t="shared" si="2"/>
        <v>0</v>
      </c>
      <c r="K44" s="15">
        <f t="shared" si="13"/>
        <v>0</v>
      </c>
      <c r="L44" s="1">
        <v>0.57999999999999996</v>
      </c>
      <c r="M44" s="1">
        <v>-0.7</v>
      </c>
      <c r="N44" s="5">
        <v>0</v>
      </c>
      <c r="O44" s="1"/>
      <c r="P44" s="1">
        <v>0</v>
      </c>
      <c r="Q44" s="1">
        <v>0</v>
      </c>
      <c r="R44" s="5">
        <v>0</v>
      </c>
      <c r="S44" s="1">
        <v>0</v>
      </c>
      <c r="T44" s="1">
        <v>0</v>
      </c>
      <c r="U44" s="17">
        <f t="shared" si="12"/>
        <v>0</v>
      </c>
      <c r="V44" s="1">
        <v>0</v>
      </c>
      <c r="W44" s="20">
        <v>207.03</v>
      </c>
      <c r="X44" s="2">
        <v>-247.69</v>
      </c>
      <c r="Y44" s="1">
        <v>12</v>
      </c>
      <c r="Z44" s="1">
        <v>24</v>
      </c>
      <c r="AA44" s="1">
        <v>32</v>
      </c>
      <c r="AB44" s="1">
        <v>0</v>
      </c>
      <c r="AC44" s="1">
        <v>-67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</row>
    <row r="45" spans="1:64" x14ac:dyDescent="0.2">
      <c r="A45" s="1">
        <v>48056</v>
      </c>
      <c r="B45" s="1" t="s">
        <v>134</v>
      </c>
      <c r="C45" s="1">
        <v>12</v>
      </c>
      <c r="D45" s="1">
        <v>677</v>
      </c>
      <c r="E45" s="1" t="s">
        <v>64</v>
      </c>
      <c r="F45" s="1">
        <v>690</v>
      </c>
      <c r="G45" s="1" t="s">
        <v>101</v>
      </c>
      <c r="H45" s="2">
        <v>29.570699999999999</v>
      </c>
      <c r="I45" s="2">
        <v>354.84840000000003</v>
      </c>
      <c r="J45" s="14">
        <f t="shared" si="2"/>
        <v>0</v>
      </c>
      <c r="K45" s="15">
        <f t="shared" si="13"/>
        <v>0</v>
      </c>
      <c r="L45" s="1">
        <v>0</v>
      </c>
      <c r="M45" s="1">
        <v>0</v>
      </c>
      <c r="N45" s="17">
        <f t="shared" ref="N45:N91" si="14">MAX(0,(TRUNC((L45*0.8)-M45)))</f>
        <v>0</v>
      </c>
      <c r="O45" s="1"/>
      <c r="P45" s="1">
        <v>0</v>
      </c>
      <c r="Q45" s="1">
        <v>0</v>
      </c>
      <c r="R45" s="5">
        <v>0</v>
      </c>
      <c r="S45" s="1">
        <v>0.57999999999999996</v>
      </c>
      <c r="T45" s="1">
        <v>0</v>
      </c>
      <c r="U45" s="17">
        <f t="shared" si="12"/>
        <v>0</v>
      </c>
      <c r="V45" s="1">
        <v>0</v>
      </c>
      <c r="W45" s="20">
        <v>206.99</v>
      </c>
      <c r="X45" s="2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4</v>
      </c>
      <c r="BD45" s="1">
        <v>6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</row>
    <row r="46" spans="1:64" x14ac:dyDescent="0.2">
      <c r="A46" s="1">
        <v>567</v>
      </c>
      <c r="B46" s="1" t="s">
        <v>135</v>
      </c>
      <c r="C46" s="1">
        <v>96</v>
      </c>
      <c r="D46" s="1">
        <v>677</v>
      </c>
      <c r="E46" s="1" t="s">
        <v>64</v>
      </c>
      <c r="F46" s="1">
        <v>690</v>
      </c>
      <c r="G46" s="1" t="s">
        <v>101</v>
      </c>
      <c r="H46" s="2">
        <v>3.6968999999999999</v>
      </c>
      <c r="I46" s="2">
        <v>354.9024</v>
      </c>
      <c r="J46" s="14">
        <f t="shared" si="2"/>
        <v>0</v>
      </c>
      <c r="K46" s="15">
        <f t="shared" si="13"/>
        <v>0</v>
      </c>
      <c r="L46" s="1">
        <v>0.53</v>
      </c>
      <c r="M46" s="1">
        <v>-0.56999999999999995</v>
      </c>
      <c r="N46" s="17">
        <f t="shared" si="14"/>
        <v>0</v>
      </c>
      <c r="O46" s="1"/>
      <c r="P46" s="1">
        <v>0</v>
      </c>
      <c r="Q46" s="1">
        <v>0</v>
      </c>
      <c r="R46" s="5">
        <v>0</v>
      </c>
      <c r="S46" s="1">
        <v>0.01</v>
      </c>
      <c r="T46" s="1">
        <v>0.01</v>
      </c>
      <c r="U46" s="17">
        <f t="shared" si="12"/>
        <v>0</v>
      </c>
      <c r="V46" s="1">
        <v>0</v>
      </c>
      <c r="W46" s="20">
        <v>188.54</v>
      </c>
      <c r="X46" s="2">
        <v>-199.63</v>
      </c>
      <c r="Y46" s="1">
        <v>18</v>
      </c>
      <c r="Z46" s="1">
        <v>6</v>
      </c>
      <c r="AA46" s="1">
        <v>25</v>
      </c>
      <c r="AB46" s="1">
        <v>9</v>
      </c>
      <c r="AC46" s="1">
        <v>-55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1</v>
      </c>
      <c r="BE46" s="1">
        <v>0</v>
      </c>
      <c r="BF46" s="1">
        <v>0</v>
      </c>
      <c r="BG46" s="1">
        <v>1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</row>
    <row r="47" spans="1:64" x14ac:dyDescent="0.2">
      <c r="A47" s="1">
        <v>564</v>
      </c>
      <c r="B47" s="1" t="s">
        <v>136</v>
      </c>
      <c r="C47" s="1">
        <v>96</v>
      </c>
      <c r="D47" s="1">
        <v>677</v>
      </c>
      <c r="E47" s="1" t="s">
        <v>64</v>
      </c>
      <c r="F47" s="1">
        <v>690</v>
      </c>
      <c r="G47" s="1" t="s">
        <v>101</v>
      </c>
      <c r="H47" s="2">
        <v>3.6968999999999999</v>
      </c>
      <c r="I47" s="2">
        <v>354.9024</v>
      </c>
      <c r="J47" s="14">
        <f t="shared" si="2"/>
        <v>0</v>
      </c>
      <c r="K47" s="15">
        <f t="shared" si="13"/>
        <v>0</v>
      </c>
      <c r="L47" s="1">
        <v>0.44</v>
      </c>
      <c r="M47" s="1">
        <v>-0.53</v>
      </c>
      <c r="N47" s="17">
        <f t="shared" si="14"/>
        <v>0</v>
      </c>
      <c r="O47" s="1"/>
      <c r="P47" s="1">
        <v>0</v>
      </c>
      <c r="Q47" s="1">
        <v>0</v>
      </c>
      <c r="R47" s="5">
        <v>0</v>
      </c>
      <c r="S47" s="1">
        <v>0</v>
      </c>
      <c r="T47" s="1">
        <v>0</v>
      </c>
      <c r="U47" s="17">
        <f t="shared" si="12"/>
        <v>0</v>
      </c>
      <c r="V47" s="1">
        <v>0</v>
      </c>
      <c r="W47" s="20">
        <v>157.12</v>
      </c>
      <c r="X47" s="2">
        <v>-188.54</v>
      </c>
      <c r="Y47" s="1">
        <v>11</v>
      </c>
      <c r="Z47" s="1">
        <v>19</v>
      </c>
      <c r="AA47" s="1">
        <v>22</v>
      </c>
      <c r="AB47" s="1">
        <v>0</v>
      </c>
      <c r="AC47" s="1">
        <v>-51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</row>
    <row r="48" spans="1:64" x14ac:dyDescent="0.2">
      <c r="A48" s="1">
        <v>565</v>
      </c>
      <c r="B48" s="1" t="s">
        <v>137</v>
      </c>
      <c r="C48" s="1">
        <v>96</v>
      </c>
      <c r="D48" s="1">
        <v>677</v>
      </c>
      <c r="E48" s="1" t="s">
        <v>64</v>
      </c>
      <c r="F48" s="1">
        <v>690</v>
      </c>
      <c r="G48" s="1" t="s">
        <v>101</v>
      </c>
      <c r="H48" s="2">
        <v>3.6968999999999999</v>
      </c>
      <c r="I48" s="2">
        <v>354.9024</v>
      </c>
      <c r="J48" s="14">
        <f t="shared" si="2"/>
        <v>0</v>
      </c>
      <c r="K48" s="15">
        <f t="shared" si="13"/>
        <v>0</v>
      </c>
      <c r="L48" s="1">
        <v>0.38</v>
      </c>
      <c r="M48" s="1">
        <v>-0.56000000000000005</v>
      </c>
      <c r="N48" s="17">
        <f t="shared" si="14"/>
        <v>0</v>
      </c>
      <c r="O48" s="1"/>
      <c r="P48" s="1">
        <v>0</v>
      </c>
      <c r="Q48" s="1">
        <v>0</v>
      </c>
      <c r="R48" s="5">
        <v>0</v>
      </c>
      <c r="S48" s="1">
        <v>0</v>
      </c>
      <c r="T48" s="1">
        <v>0</v>
      </c>
      <c r="U48" s="17">
        <f t="shared" si="12"/>
        <v>0</v>
      </c>
      <c r="V48" s="1">
        <v>0</v>
      </c>
      <c r="W48" s="20">
        <v>134.94</v>
      </c>
      <c r="X48" s="2">
        <v>-199.63</v>
      </c>
      <c r="Y48" s="1">
        <v>22</v>
      </c>
      <c r="Z48" s="1">
        <v>15</v>
      </c>
      <c r="AA48" s="1">
        <v>7</v>
      </c>
      <c r="AB48" s="1">
        <v>0</v>
      </c>
      <c r="AC48" s="1">
        <v>-54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</row>
    <row r="49" spans="1:64" x14ac:dyDescent="0.2">
      <c r="A49" s="1">
        <v>504</v>
      </c>
      <c r="B49" s="1" t="s">
        <v>138</v>
      </c>
      <c r="C49" s="1">
        <v>96</v>
      </c>
      <c r="D49" s="1">
        <v>677</v>
      </c>
      <c r="E49" s="1" t="s">
        <v>64</v>
      </c>
      <c r="F49" s="1">
        <v>690</v>
      </c>
      <c r="G49" s="1" t="s">
        <v>101</v>
      </c>
      <c r="H49" s="2">
        <v>3.6968999999999999</v>
      </c>
      <c r="I49" s="2">
        <v>354.9024</v>
      </c>
      <c r="J49" s="14">
        <f t="shared" si="2"/>
        <v>0</v>
      </c>
      <c r="K49" s="15">
        <f t="shared" si="13"/>
        <v>0</v>
      </c>
      <c r="L49" s="1">
        <v>0.25</v>
      </c>
      <c r="M49" s="1">
        <v>-0.22</v>
      </c>
      <c r="N49" s="17">
        <f t="shared" si="14"/>
        <v>0</v>
      </c>
      <c r="O49" s="1"/>
      <c r="P49" s="1">
        <v>0</v>
      </c>
      <c r="Q49" s="1">
        <v>0</v>
      </c>
      <c r="R49" s="5">
        <v>0</v>
      </c>
      <c r="S49" s="1">
        <v>0</v>
      </c>
      <c r="T49" s="1">
        <v>0</v>
      </c>
      <c r="U49" s="17">
        <f t="shared" si="12"/>
        <v>0</v>
      </c>
      <c r="V49" s="1">
        <v>0</v>
      </c>
      <c r="W49" s="20">
        <v>88.73</v>
      </c>
      <c r="X49" s="2">
        <v>-77.63</v>
      </c>
      <c r="Y49" s="1">
        <v>3</v>
      </c>
      <c r="Z49" s="1">
        <v>12</v>
      </c>
      <c r="AA49" s="1">
        <v>15</v>
      </c>
      <c r="AB49" s="1">
        <v>0</v>
      </c>
      <c r="AC49" s="1">
        <v>-21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</row>
    <row r="50" spans="1:64" x14ac:dyDescent="0.2">
      <c r="A50" s="1">
        <v>506</v>
      </c>
      <c r="B50" s="1" t="s">
        <v>139</v>
      </c>
      <c r="C50" s="1">
        <v>96</v>
      </c>
      <c r="D50" s="1">
        <v>677</v>
      </c>
      <c r="E50" s="1" t="s">
        <v>64</v>
      </c>
      <c r="F50" s="1">
        <v>690</v>
      </c>
      <c r="G50" s="1" t="s">
        <v>101</v>
      </c>
      <c r="H50" s="2">
        <v>3.6968999999999999</v>
      </c>
      <c r="I50" s="2">
        <v>354.9024</v>
      </c>
      <c r="J50" s="14">
        <f t="shared" si="2"/>
        <v>0</v>
      </c>
      <c r="K50" s="15">
        <f t="shared" si="13"/>
        <v>0</v>
      </c>
      <c r="L50" s="1">
        <v>0.23</v>
      </c>
      <c r="M50" s="1">
        <v>-0.11</v>
      </c>
      <c r="N50" s="17">
        <f t="shared" si="14"/>
        <v>0</v>
      </c>
      <c r="O50" s="1"/>
      <c r="P50" s="1">
        <v>0</v>
      </c>
      <c r="Q50" s="1">
        <v>0</v>
      </c>
      <c r="R50" s="5">
        <v>0</v>
      </c>
      <c r="S50" s="1">
        <v>0</v>
      </c>
      <c r="T50" s="1">
        <v>0</v>
      </c>
      <c r="U50" s="17">
        <f t="shared" si="12"/>
        <v>0</v>
      </c>
      <c r="V50" s="1">
        <v>0</v>
      </c>
      <c r="W50" s="20">
        <v>81.33</v>
      </c>
      <c r="X50" s="2">
        <v>-40.67</v>
      </c>
      <c r="Y50" s="1">
        <v>5</v>
      </c>
      <c r="Z50" s="1">
        <v>1</v>
      </c>
      <c r="AA50" s="1">
        <v>12</v>
      </c>
      <c r="AB50" s="1">
        <v>9</v>
      </c>
      <c r="AC50" s="1">
        <v>-11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</row>
    <row r="51" spans="1:64" x14ac:dyDescent="0.2">
      <c r="A51" s="1">
        <v>566</v>
      </c>
      <c r="B51" s="1" t="s">
        <v>140</v>
      </c>
      <c r="C51" s="1">
        <v>96</v>
      </c>
      <c r="D51" s="1">
        <v>677</v>
      </c>
      <c r="E51" s="1" t="s">
        <v>64</v>
      </c>
      <c r="F51" s="1">
        <v>690</v>
      </c>
      <c r="G51" s="1" t="s">
        <v>101</v>
      </c>
      <c r="H51" s="2">
        <v>3.6968999999999999</v>
      </c>
      <c r="I51" s="2">
        <v>354.9024</v>
      </c>
      <c r="J51" s="14">
        <f t="shared" si="2"/>
        <v>0</v>
      </c>
      <c r="K51" s="15">
        <f t="shared" si="13"/>
        <v>0</v>
      </c>
      <c r="L51" s="1">
        <v>0.19</v>
      </c>
      <c r="M51" s="1">
        <v>-0.22</v>
      </c>
      <c r="N51" s="17">
        <f t="shared" si="14"/>
        <v>0</v>
      </c>
      <c r="O51" s="1"/>
      <c r="P51" s="1">
        <v>0</v>
      </c>
      <c r="Q51" s="1">
        <v>0</v>
      </c>
      <c r="R51" s="5">
        <v>0</v>
      </c>
      <c r="S51" s="1">
        <v>0</v>
      </c>
      <c r="T51" s="1">
        <v>0</v>
      </c>
      <c r="U51" s="17">
        <f t="shared" si="12"/>
        <v>0</v>
      </c>
      <c r="V51" s="1">
        <v>0</v>
      </c>
      <c r="W51" s="20">
        <v>66.540000000000006</v>
      </c>
      <c r="X51" s="2">
        <v>-77.63</v>
      </c>
      <c r="Y51" s="1">
        <v>13</v>
      </c>
      <c r="Z51" s="1">
        <v>0</v>
      </c>
      <c r="AA51" s="1">
        <v>5</v>
      </c>
      <c r="AB51" s="1">
        <v>0</v>
      </c>
      <c r="AC51" s="1">
        <v>-21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</row>
    <row r="52" spans="1:64" x14ac:dyDescent="0.2">
      <c r="A52" s="1">
        <v>509</v>
      </c>
      <c r="B52" s="1" t="s">
        <v>141</v>
      </c>
      <c r="C52" s="1">
        <v>96</v>
      </c>
      <c r="D52" s="1">
        <v>677</v>
      </c>
      <c r="E52" s="1" t="s">
        <v>64</v>
      </c>
      <c r="F52" s="1">
        <v>690</v>
      </c>
      <c r="G52" s="1" t="s">
        <v>101</v>
      </c>
      <c r="H52" s="2">
        <v>3.6968999999999999</v>
      </c>
      <c r="I52" s="2">
        <v>354.9024</v>
      </c>
      <c r="J52" s="14">
        <f t="shared" si="2"/>
        <v>0</v>
      </c>
      <c r="K52" s="15">
        <f t="shared" si="13"/>
        <v>0</v>
      </c>
      <c r="L52" s="1">
        <v>0.14000000000000001</v>
      </c>
      <c r="M52" s="1">
        <v>-0.16</v>
      </c>
      <c r="N52" s="17">
        <f t="shared" si="14"/>
        <v>0</v>
      </c>
      <c r="O52" s="1"/>
      <c r="P52" s="1">
        <v>0</v>
      </c>
      <c r="Q52" s="1">
        <v>0</v>
      </c>
      <c r="R52" s="5">
        <v>0</v>
      </c>
      <c r="S52" s="1">
        <v>0</v>
      </c>
      <c r="T52" s="1">
        <v>0</v>
      </c>
      <c r="U52" s="17">
        <f t="shared" si="12"/>
        <v>0</v>
      </c>
      <c r="V52" s="1">
        <v>0</v>
      </c>
      <c r="W52" s="20">
        <v>48.06</v>
      </c>
      <c r="X52" s="2">
        <v>-55.45</v>
      </c>
      <c r="Y52" s="1">
        <v>11</v>
      </c>
      <c r="Z52" s="1">
        <v>4</v>
      </c>
      <c r="AA52" s="1">
        <v>0</v>
      </c>
      <c r="AB52" s="1">
        <v>0</v>
      </c>
      <c r="AC52" s="1">
        <v>-15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</row>
    <row r="53" spans="1:64" x14ac:dyDescent="0.2">
      <c r="A53" s="1">
        <v>48083</v>
      </c>
      <c r="B53" s="1" t="s">
        <v>142</v>
      </c>
      <c r="C53" s="1">
        <v>12</v>
      </c>
      <c r="D53" s="1">
        <v>677</v>
      </c>
      <c r="E53" s="1" t="s">
        <v>64</v>
      </c>
      <c r="F53" s="1">
        <v>690</v>
      </c>
      <c r="G53" s="1" t="s">
        <v>101</v>
      </c>
      <c r="H53" s="2">
        <v>29.570699999999999</v>
      </c>
      <c r="I53" s="2">
        <v>354.84840000000003</v>
      </c>
      <c r="J53" s="14">
        <f t="shared" si="2"/>
        <v>0</v>
      </c>
      <c r="K53" s="15">
        <f t="shared" si="13"/>
        <v>0</v>
      </c>
      <c r="L53" s="1">
        <v>0</v>
      </c>
      <c r="M53" s="1">
        <v>0</v>
      </c>
      <c r="N53" s="17">
        <f t="shared" si="14"/>
        <v>0</v>
      </c>
      <c r="O53" s="1"/>
      <c r="P53" s="1">
        <v>0</v>
      </c>
      <c r="Q53" s="1">
        <v>0</v>
      </c>
      <c r="R53" s="5">
        <v>0</v>
      </c>
      <c r="S53" s="1">
        <v>0.12</v>
      </c>
      <c r="T53" s="1">
        <v>0</v>
      </c>
      <c r="U53" s="17">
        <f t="shared" si="12"/>
        <v>0</v>
      </c>
      <c r="V53" s="1">
        <v>0</v>
      </c>
      <c r="W53" s="20">
        <v>44.36</v>
      </c>
      <c r="X53" s="2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1</v>
      </c>
      <c r="BE53" s="1">
        <v>1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</row>
    <row r="54" spans="1:64" x14ac:dyDescent="0.2">
      <c r="A54" s="1">
        <v>519</v>
      </c>
      <c r="B54" s="1" t="s">
        <v>143</v>
      </c>
      <c r="C54" s="1">
        <v>96</v>
      </c>
      <c r="D54" s="1">
        <v>677</v>
      </c>
      <c r="E54" s="1" t="s">
        <v>64</v>
      </c>
      <c r="F54" s="1">
        <v>690</v>
      </c>
      <c r="G54" s="1" t="s">
        <v>101</v>
      </c>
      <c r="H54" s="2">
        <v>3.6968999999999999</v>
      </c>
      <c r="I54" s="2">
        <v>354.9024</v>
      </c>
      <c r="J54" s="14">
        <f t="shared" si="2"/>
        <v>0</v>
      </c>
      <c r="K54" s="15">
        <f t="shared" si="13"/>
        <v>0</v>
      </c>
      <c r="L54" s="1">
        <v>0.11</v>
      </c>
      <c r="M54" s="1">
        <v>-0.23</v>
      </c>
      <c r="N54" s="17">
        <f t="shared" si="14"/>
        <v>0</v>
      </c>
      <c r="O54" s="1"/>
      <c r="P54" s="1">
        <v>0</v>
      </c>
      <c r="Q54" s="1">
        <v>0</v>
      </c>
      <c r="R54" s="5">
        <v>0</v>
      </c>
      <c r="S54" s="1">
        <v>0</v>
      </c>
      <c r="T54" s="1">
        <v>0</v>
      </c>
      <c r="U54" s="17">
        <f t="shared" si="12"/>
        <v>0</v>
      </c>
      <c r="V54" s="1">
        <v>0</v>
      </c>
      <c r="W54" s="20">
        <v>38.82</v>
      </c>
      <c r="X54" s="2">
        <v>-81.33</v>
      </c>
      <c r="Y54" s="1">
        <v>6</v>
      </c>
      <c r="Z54" s="1">
        <v>9</v>
      </c>
      <c r="AA54" s="1">
        <v>0</v>
      </c>
      <c r="AB54" s="1">
        <v>0</v>
      </c>
      <c r="AC54" s="1">
        <v>-22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</row>
    <row r="55" spans="1:64" x14ac:dyDescent="0.2">
      <c r="A55" s="1">
        <v>526</v>
      </c>
      <c r="B55" s="1" t="s">
        <v>144</v>
      </c>
      <c r="C55" s="1">
        <v>96</v>
      </c>
      <c r="D55" s="1">
        <v>677</v>
      </c>
      <c r="E55" s="1" t="s">
        <v>64</v>
      </c>
      <c r="F55" s="1">
        <v>690</v>
      </c>
      <c r="G55" s="1" t="s">
        <v>101</v>
      </c>
      <c r="H55" s="2">
        <v>3.6968999999999999</v>
      </c>
      <c r="I55" s="2">
        <v>354.9024</v>
      </c>
      <c r="J55" s="14">
        <f t="shared" si="2"/>
        <v>0</v>
      </c>
      <c r="K55" s="15">
        <f t="shared" si="13"/>
        <v>0</v>
      </c>
      <c r="L55" s="1">
        <v>7.0000000000000007E-2</v>
      </c>
      <c r="M55" s="1">
        <v>-0.03</v>
      </c>
      <c r="N55" s="17">
        <f t="shared" si="14"/>
        <v>0</v>
      </c>
      <c r="O55" s="1"/>
      <c r="P55" s="1">
        <v>0</v>
      </c>
      <c r="Q55" s="1">
        <v>0</v>
      </c>
      <c r="R55" s="5">
        <v>0</v>
      </c>
      <c r="S55" s="1">
        <v>0</v>
      </c>
      <c r="T55" s="1">
        <v>0</v>
      </c>
      <c r="U55" s="17">
        <f t="shared" si="12"/>
        <v>0</v>
      </c>
      <c r="V55" s="1">
        <v>0</v>
      </c>
      <c r="W55" s="20">
        <v>25.88</v>
      </c>
      <c r="X55" s="2">
        <v>-11.09</v>
      </c>
      <c r="Y55" s="1">
        <v>1</v>
      </c>
      <c r="Z55" s="1">
        <v>1</v>
      </c>
      <c r="AA55" s="1">
        <v>5</v>
      </c>
      <c r="AB55" s="1">
        <v>1</v>
      </c>
      <c r="AC55" s="1">
        <v>-3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</row>
    <row r="56" spans="1:64" x14ac:dyDescent="0.2">
      <c r="A56" s="1">
        <v>501</v>
      </c>
      <c r="B56" s="1" t="s">
        <v>145</v>
      </c>
      <c r="C56" s="1">
        <v>96</v>
      </c>
      <c r="D56" s="1">
        <v>677</v>
      </c>
      <c r="E56" s="1" t="s">
        <v>64</v>
      </c>
      <c r="F56" s="1">
        <v>690</v>
      </c>
      <c r="G56" s="1" t="s">
        <v>101</v>
      </c>
      <c r="H56" s="2">
        <v>3.6968999999999999</v>
      </c>
      <c r="I56" s="2">
        <v>354.9024</v>
      </c>
      <c r="J56" s="14">
        <f t="shared" si="2"/>
        <v>0</v>
      </c>
      <c r="K56" s="15">
        <f t="shared" si="13"/>
        <v>0</v>
      </c>
      <c r="L56" s="1">
        <v>0.06</v>
      </c>
      <c r="M56" s="1">
        <v>-0.12</v>
      </c>
      <c r="N56" s="17">
        <f t="shared" si="14"/>
        <v>0</v>
      </c>
      <c r="O56" s="1"/>
      <c r="P56" s="1">
        <v>0</v>
      </c>
      <c r="Q56" s="1">
        <v>0</v>
      </c>
      <c r="R56" s="5">
        <v>0</v>
      </c>
      <c r="S56" s="1">
        <v>0</v>
      </c>
      <c r="T56" s="1">
        <v>0</v>
      </c>
      <c r="U56" s="17">
        <f t="shared" si="12"/>
        <v>0</v>
      </c>
      <c r="V56" s="1">
        <v>0</v>
      </c>
      <c r="W56" s="20">
        <v>22.18</v>
      </c>
      <c r="X56" s="2">
        <v>-44.36</v>
      </c>
      <c r="Y56" s="1">
        <v>1</v>
      </c>
      <c r="Z56" s="1">
        <v>4</v>
      </c>
      <c r="AA56" s="1">
        <v>3</v>
      </c>
      <c r="AB56" s="1">
        <v>0</v>
      </c>
      <c r="AC56" s="1">
        <v>-12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</row>
    <row r="57" spans="1:64" x14ac:dyDescent="0.2">
      <c r="A57" s="1">
        <v>510</v>
      </c>
      <c r="B57" s="1" t="s">
        <v>146</v>
      </c>
      <c r="C57" s="1">
        <v>96</v>
      </c>
      <c r="D57" s="1">
        <v>677</v>
      </c>
      <c r="E57" s="1" t="s">
        <v>64</v>
      </c>
      <c r="F57" s="1">
        <v>690</v>
      </c>
      <c r="G57" s="1" t="s">
        <v>101</v>
      </c>
      <c r="H57" s="2">
        <v>3.6968999999999999</v>
      </c>
      <c r="I57" s="2">
        <v>354.9024</v>
      </c>
      <c r="J57" s="14">
        <f t="shared" si="2"/>
        <v>0</v>
      </c>
      <c r="K57" s="15">
        <f t="shared" si="13"/>
        <v>0</v>
      </c>
      <c r="L57" s="1">
        <v>0.01</v>
      </c>
      <c r="M57" s="1">
        <v>0</v>
      </c>
      <c r="N57" s="17">
        <f t="shared" si="14"/>
        <v>0</v>
      </c>
      <c r="O57" s="1"/>
      <c r="P57" s="1">
        <v>0</v>
      </c>
      <c r="Q57" s="1">
        <v>0</v>
      </c>
      <c r="R57" s="5">
        <v>0</v>
      </c>
      <c r="S57" s="1">
        <v>0</v>
      </c>
      <c r="T57" s="1">
        <v>0</v>
      </c>
      <c r="U57" s="17">
        <f t="shared" si="12"/>
        <v>0</v>
      </c>
      <c r="V57" s="1">
        <v>0</v>
      </c>
      <c r="W57" s="20">
        <v>1.85</v>
      </c>
      <c r="X57" s="2">
        <v>0</v>
      </c>
      <c r="Y57" s="1">
        <v>0</v>
      </c>
      <c r="Z57" s="1">
        <v>1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</row>
    <row r="58" spans="1:64" x14ac:dyDescent="0.2">
      <c r="A58" s="1">
        <v>514</v>
      </c>
      <c r="B58" s="1" t="s">
        <v>147</v>
      </c>
      <c r="C58" s="1">
        <v>96</v>
      </c>
      <c r="D58" s="1">
        <v>677</v>
      </c>
      <c r="E58" s="1" t="s">
        <v>64</v>
      </c>
      <c r="F58" s="1">
        <v>690</v>
      </c>
      <c r="G58" s="1" t="s">
        <v>101</v>
      </c>
      <c r="H58" s="2">
        <v>3.6968999999999999</v>
      </c>
      <c r="I58" s="2">
        <v>354.9024</v>
      </c>
      <c r="J58" s="14">
        <f t="shared" si="2"/>
        <v>0</v>
      </c>
      <c r="K58" s="15">
        <f t="shared" si="13"/>
        <v>0</v>
      </c>
      <c r="L58" s="1">
        <v>0.01</v>
      </c>
      <c r="M58" s="1">
        <v>0.01</v>
      </c>
      <c r="N58" s="17">
        <f t="shared" si="14"/>
        <v>0</v>
      </c>
      <c r="O58" s="1"/>
      <c r="P58" s="1">
        <v>0</v>
      </c>
      <c r="Q58" s="1">
        <v>0</v>
      </c>
      <c r="R58" s="5">
        <v>0</v>
      </c>
      <c r="S58" s="1">
        <v>0</v>
      </c>
      <c r="T58" s="1">
        <v>0</v>
      </c>
      <c r="U58" s="17">
        <f t="shared" si="12"/>
        <v>0</v>
      </c>
      <c r="V58" s="1">
        <v>0</v>
      </c>
      <c r="W58" s="20">
        <v>1.85</v>
      </c>
      <c r="X58" s="2">
        <v>3.7</v>
      </c>
      <c r="Y58" s="1">
        <v>0</v>
      </c>
      <c r="Z58" s="1">
        <v>1</v>
      </c>
      <c r="AA58" s="1">
        <v>0</v>
      </c>
      <c r="AB58" s="1">
        <v>0</v>
      </c>
      <c r="AC58" s="1">
        <v>1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</row>
    <row r="59" spans="1:64" x14ac:dyDescent="0.2">
      <c r="A59" s="1">
        <v>85</v>
      </c>
      <c r="B59" s="1" t="s">
        <v>148</v>
      </c>
      <c r="C59" s="1">
        <v>192</v>
      </c>
      <c r="D59" s="1">
        <v>677</v>
      </c>
      <c r="E59" s="1" t="s">
        <v>64</v>
      </c>
      <c r="F59" s="1">
        <v>1</v>
      </c>
      <c r="G59" s="1" t="s">
        <v>149</v>
      </c>
      <c r="H59" s="2">
        <v>6</v>
      </c>
      <c r="I59" s="2">
        <v>1152</v>
      </c>
      <c r="J59" s="14">
        <f t="shared" si="2"/>
        <v>0</v>
      </c>
      <c r="K59" s="15">
        <f t="shared" si="13"/>
        <v>0</v>
      </c>
      <c r="L59" s="1">
        <v>0</v>
      </c>
      <c r="M59" s="1">
        <v>0</v>
      </c>
      <c r="N59" s="17">
        <f t="shared" si="14"/>
        <v>0</v>
      </c>
      <c r="O59" s="1"/>
      <c r="P59" s="1">
        <v>0</v>
      </c>
      <c r="Q59" s="1">
        <v>0</v>
      </c>
      <c r="R59" s="5">
        <v>0</v>
      </c>
      <c r="S59" s="1">
        <v>0</v>
      </c>
      <c r="T59" s="1">
        <v>0</v>
      </c>
      <c r="U59" s="17">
        <f t="shared" si="12"/>
        <v>0</v>
      </c>
      <c r="V59" s="1">
        <v>0</v>
      </c>
      <c r="W59" s="20">
        <v>0</v>
      </c>
      <c r="X59" s="2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</row>
    <row r="60" spans="1:64" x14ac:dyDescent="0.2">
      <c r="A60" s="1">
        <v>511</v>
      </c>
      <c r="B60" s="1" t="s">
        <v>150</v>
      </c>
      <c r="C60" s="1">
        <v>96</v>
      </c>
      <c r="D60" s="1">
        <v>677</v>
      </c>
      <c r="E60" s="1" t="s">
        <v>64</v>
      </c>
      <c r="F60" s="1">
        <v>690</v>
      </c>
      <c r="G60" s="1" t="s">
        <v>101</v>
      </c>
      <c r="H60" s="2">
        <v>3.6968999999999999</v>
      </c>
      <c r="I60" s="2">
        <v>354.9024</v>
      </c>
      <c r="J60" s="14">
        <f t="shared" si="2"/>
        <v>0</v>
      </c>
      <c r="K60" s="15">
        <f t="shared" si="13"/>
        <v>0</v>
      </c>
      <c r="L60" s="1">
        <v>0</v>
      </c>
      <c r="M60" s="1">
        <v>0</v>
      </c>
      <c r="N60" s="17">
        <f t="shared" si="14"/>
        <v>0</v>
      </c>
      <c r="O60" s="1"/>
      <c r="P60" s="1">
        <v>0</v>
      </c>
      <c r="Q60" s="1">
        <v>0</v>
      </c>
      <c r="R60" s="5">
        <v>0</v>
      </c>
      <c r="S60" s="1">
        <v>0</v>
      </c>
      <c r="T60" s="1">
        <v>0</v>
      </c>
      <c r="U60" s="17">
        <f t="shared" si="12"/>
        <v>0</v>
      </c>
      <c r="V60" s="1">
        <v>0</v>
      </c>
      <c r="W60" s="20">
        <v>0</v>
      </c>
      <c r="X60" s="2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</row>
    <row r="61" spans="1:64" x14ac:dyDescent="0.2">
      <c r="A61" s="1">
        <v>512</v>
      </c>
      <c r="B61" s="1" t="s">
        <v>151</v>
      </c>
      <c r="C61" s="1">
        <v>96</v>
      </c>
      <c r="D61" s="1">
        <v>677</v>
      </c>
      <c r="E61" s="1" t="s">
        <v>64</v>
      </c>
      <c r="F61" s="1">
        <v>690</v>
      </c>
      <c r="G61" s="1" t="s">
        <v>101</v>
      </c>
      <c r="H61" s="2">
        <v>3.6968999999999999</v>
      </c>
      <c r="I61" s="2">
        <v>354.9024</v>
      </c>
      <c r="J61" s="14">
        <f t="shared" si="2"/>
        <v>0</v>
      </c>
      <c r="K61" s="15">
        <f t="shared" si="13"/>
        <v>0</v>
      </c>
      <c r="L61" s="1">
        <v>0</v>
      </c>
      <c r="M61" s="1">
        <v>0</v>
      </c>
      <c r="N61" s="17">
        <f t="shared" si="14"/>
        <v>0</v>
      </c>
      <c r="O61" s="1"/>
      <c r="P61" s="1">
        <v>0</v>
      </c>
      <c r="Q61" s="1">
        <v>0</v>
      </c>
      <c r="R61" s="5">
        <v>0</v>
      </c>
      <c r="S61" s="1">
        <v>0</v>
      </c>
      <c r="T61" s="1">
        <v>0</v>
      </c>
      <c r="U61" s="17">
        <f t="shared" si="12"/>
        <v>0</v>
      </c>
      <c r="V61" s="1">
        <v>0</v>
      </c>
      <c r="W61" s="20">
        <v>0</v>
      </c>
      <c r="X61" s="2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</row>
    <row r="62" spans="1:64" x14ac:dyDescent="0.2">
      <c r="A62" s="1">
        <v>515</v>
      </c>
      <c r="B62" s="1" t="s">
        <v>152</v>
      </c>
      <c r="C62" s="1">
        <v>96</v>
      </c>
      <c r="D62" s="1">
        <v>677</v>
      </c>
      <c r="E62" s="1" t="s">
        <v>64</v>
      </c>
      <c r="F62" s="1">
        <v>690</v>
      </c>
      <c r="G62" s="1" t="s">
        <v>101</v>
      </c>
      <c r="H62" s="2">
        <v>3.6968999999999999</v>
      </c>
      <c r="I62" s="2">
        <v>354.9024</v>
      </c>
      <c r="J62" s="14">
        <f t="shared" si="2"/>
        <v>0</v>
      </c>
      <c r="K62" s="15">
        <f t="shared" si="13"/>
        <v>0</v>
      </c>
      <c r="L62" s="1">
        <v>0</v>
      </c>
      <c r="M62" s="1">
        <v>0</v>
      </c>
      <c r="N62" s="17">
        <f t="shared" si="14"/>
        <v>0</v>
      </c>
      <c r="O62" s="1"/>
      <c r="P62" s="1">
        <v>0</v>
      </c>
      <c r="Q62" s="1">
        <v>0</v>
      </c>
      <c r="R62" s="5">
        <v>0</v>
      </c>
      <c r="S62" s="1">
        <v>0</v>
      </c>
      <c r="T62" s="1">
        <v>0</v>
      </c>
      <c r="U62" s="17">
        <f t="shared" si="12"/>
        <v>0</v>
      </c>
      <c r="V62" s="1">
        <v>0</v>
      </c>
      <c r="W62" s="20">
        <v>0</v>
      </c>
      <c r="X62" s="2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</row>
    <row r="63" spans="1:64" x14ac:dyDescent="0.2">
      <c r="A63" s="1">
        <v>516</v>
      </c>
      <c r="B63" s="1" t="s">
        <v>153</v>
      </c>
      <c r="C63" s="1">
        <v>96</v>
      </c>
      <c r="D63" s="1">
        <v>677</v>
      </c>
      <c r="E63" s="1" t="s">
        <v>64</v>
      </c>
      <c r="F63" s="1">
        <v>690</v>
      </c>
      <c r="G63" s="1" t="s">
        <v>101</v>
      </c>
      <c r="H63" s="2">
        <v>3.6968999999999999</v>
      </c>
      <c r="I63" s="2">
        <v>354.9024</v>
      </c>
      <c r="J63" s="14">
        <f t="shared" si="2"/>
        <v>0</v>
      </c>
      <c r="K63" s="15">
        <f t="shared" si="13"/>
        <v>0</v>
      </c>
      <c r="L63" s="1">
        <v>0</v>
      </c>
      <c r="M63" s="1">
        <v>0</v>
      </c>
      <c r="N63" s="17">
        <f t="shared" si="14"/>
        <v>0</v>
      </c>
      <c r="O63" s="1"/>
      <c r="P63" s="1">
        <v>0</v>
      </c>
      <c r="Q63" s="1">
        <v>0</v>
      </c>
      <c r="R63" s="5">
        <v>0</v>
      </c>
      <c r="S63" s="1">
        <v>0</v>
      </c>
      <c r="T63" s="1">
        <v>0</v>
      </c>
      <c r="U63" s="17">
        <f t="shared" si="12"/>
        <v>0</v>
      </c>
      <c r="V63" s="1">
        <v>0</v>
      </c>
      <c r="W63" s="20">
        <v>0</v>
      </c>
      <c r="X63" s="2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</row>
    <row r="64" spans="1:64" x14ac:dyDescent="0.2">
      <c r="A64" s="1">
        <v>543</v>
      </c>
      <c r="B64" s="1" t="s">
        <v>154</v>
      </c>
      <c r="C64" s="1">
        <v>96</v>
      </c>
      <c r="D64" s="1">
        <v>677</v>
      </c>
      <c r="E64" s="1" t="s">
        <v>64</v>
      </c>
      <c r="F64" s="1">
        <v>690</v>
      </c>
      <c r="G64" s="1" t="s">
        <v>101</v>
      </c>
      <c r="H64" s="2">
        <v>3.6968999999999999</v>
      </c>
      <c r="I64" s="2">
        <v>354.9024</v>
      </c>
      <c r="J64" s="14">
        <f t="shared" si="2"/>
        <v>0</v>
      </c>
      <c r="K64" s="15">
        <f t="shared" si="13"/>
        <v>0</v>
      </c>
      <c r="L64" s="1">
        <v>0</v>
      </c>
      <c r="M64" s="1">
        <v>0</v>
      </c>
      <c r="N64" s="17">
        <f t="shared" si="14"/>
        <v>0</v>
      </c>
      <c r="O64" s="1"/>
      <c r="P64" s="1">
        <v>0</v>
      </c>
      <c r="Q64" s="1">
        <v>0</v>
      </c>
      <c r="R64" s="5">
        <v>0</v>
      </c>
      <c r="S64" s="1">
        <v>0</v>
      </c>
      <c r="T64" s="1">
        <v>0</v>
      </c>
      <c r="U64" s="17">
        <f t="shared" si="12"/>
        <v>0</v>
      </c>
      <c r="V64" s="1">
        <v>0</v>
      </c>
      <c r="W64" s="20">
        <v>0</v>
      </c>
      <c r="X64" s="2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</row>
    <row r="65" spans="1:64" x14ac:dyDescent="0.2">
      <c r="A65" s="1">
        <v>563</v>
      </c>
      <c r="B65" s="1" t="s">
        <v>155</v>
      </c>
      <c r="C65" s="1">
        <v>96</v>
      </c>
      <c r="D65" s="1">
        <v>677</v>
      </c>
      <c r="E65" s="1" t="s">
        <v>64</v>
      </c>
      <c r="F65" s="1">
        <v>690</v>
      </c>
      <c r="G65" s="1" t="s">
        <v>101</v>
      </c>
      <c r="H65" s="2">
        <v>3.6968999999999999</v>
      </c>
      <c r="I65" s="2">
        <v>354.9024</v>
      </c>
      <c r="J65" s="14">
        <f t="shared" si="2"/>
        <v>0</v>
      </c>
      <c r="K65" s="15">
        <f t="shared" si="13"/>
        <v>0</v>
      </c>
      <c r="L65" s="1">
        <v>0</v>
      </c>
      <c r="M65" s="1">
        <v>0</v>
      </c>
      <c r="N65" s="17">
        <f t="shared" si="14"/>
        <v>0</v>
      </c>
      <c r="O65" s="1"/>
      <c r="P65" s="1">
        <v>0</v>
      </c>
      <c r="Q65" s="1">
        <v>0</v>
      </c>
      <c r="R65" s="5">
        <v>0</v>
      </c>
      <c r="S65" s="1">
        <v>0</v>
      </c>
      <c r="T65" s="1">
        <v>0</v>
      </c>
      <c r="U65" s="17">
        <f t="shared" si="12"/>
        <v>0</v>
      </c>
      <c r="V65" s="1">
        <v>0</v>
      </c>
      <c r="W65" s="20">
        <v>0</v>
      </c>
      <c r="X65" s="2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</row>
    <row r="66" spans="1:64" x14ac:dyDescent="0.2">
      <c r="A66" s="1">
        <v>8038</v>
      </c>
      <c r="B66" s="1" t="s">
        <v>156</v>
      </c>
      <c r="C66" s="1">
        <v>6</v>
      </c>
      <c r="D66" s="1">
        <v>677</v>
      </c>
      <c r="E66" s="1" t="s">
        <v>64</v>
      </c>
      <c r="F66" s="1">
        <v>61</v>
      </c>
      <c r="G66" s="1" t="s">
        <v>66</v>
      </c>
      <c r="H66" s="2">
        <v>77</v>
      </c>
      <c r="I66" s="2">
        <v>462</v>
      </c>
      <c r="J66" s="14">
        <f t="shared" si="2"/>
        <v>0</v>
      </c>
      <c r="K66" s="15">
        <f t="shared" si="13"/>
        <v>0</v>
      </c>
      <c r="L66" s="1">
        <v>0</v>
      </c>
      <c r="M66" s="1">
        <v>0</v>
      </c>
      <c r="N66" s="17">
        <f t="shared" si="14"/>
        <v>0</v>
      </c>
      <c r="O66" s="1"/>
      <c r="P66" s="1">
        <v>0</v>
      </c>
      <c r="Q66" s="1">
        <v>0</v>
      </c>
      <c r="R66" s="5">
        <v>0</v>
      </c>
      <c r="S66" s="1">
        <v>0</v>
      </c>
      <c r="T66" s="1">
        <v>0</v>
      </c>
      <c r="U66" s="17">
        <f t="shared" si="12"/>
        <v>0</v>
      </c>
      <c r="V66" s="1">
        <v>0</v>
      </c>
      <c r="W66" s="20">
        <v>0</v>
      </c>
      <c r="X66" s="2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</row>
    <row r="67" spans="1:64" x14ac:dyDescent="0.2">
      <c r="A67" s="1">
        <v>8041</v>
      </c>
      <c r="B67" s="1" t="s">
        <v>77</v>
      </c>
      <c r="C67" s="1">
        <v>72</v>
      </c>
      <c r="D67" s="1">
        <v>677</v>
      </c>
      <c r="E67" s="1" t="s">
        <v>64</v>
      </c>
      <c r="F67" s="1">
        <v>999</v>
      </c>
      <c r="G67" s="1" t="s">
        <v>67</v>
      </c>
      <c r="H67" s="2">
        <v>6.5368000000000004</v>
      </c>
      <c r="I67" s="2">
        <v>470.64960000000002</v>
      </c>
      <c r="J67" s="14">
        <f t="shared" si="2"/>
        <v>0</v>
      </c>
      <c r="K67" s="15">
        <f t="shared" si="13"/>
        <v>0</v>
      </c>
      <c r="L67" s="1">
        <v>0</v>
      </c>
      <c r="M67" s="1">
        <v>0</v>
      </c>
      <c r="N67" s="17">
        <f t="shared" si="14"/>
        <v>0</v>
      </c>
      <c r="O67" s="1"/>
      <c r="P67" s="1">
        <v>0</v>
      </c>
      <c r="Q67" s="1">
        <v>0</v>
      </c>
      <c r="R67" s="5">
        <v>0</v>
      </c>
      <c r="S67" s="1">
        <v>0</v>
      </c>
      <c r="T67" s="1">
        <v>0</v>
      </c>
      <c r="U67" s="17">
        <f t="shared" si="12"/>
        <v>0</v>
      </c>
      <c r="V67" s="1">
        <v>0</v>
      </c>
      <c r="W67" s="20">
        <v>0</v>
      </c>
      <c r="X67" s="2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</row>
    <row r="68" spans="1:64" x14ac:dyDescent="0.2">
      <c r="A68" s="1">
        <v>8042</v>
      </c>
      <c r="B68" s="1" t="s">
        <v>77</v>
      </c>
      <c r="C68" s="1">
        <v>72</v>
      </c>
      <c r="D68" s="1">
        <v>677</v>
      </c>
      <c r="E68" s="1" t="s">
        <v>64</v>
      </c>
      <c r="F68" s="1">
        <v>999</v>
      </c>
      <c r="G68" s="1" t="s">
        <v>67</v>
      </c>
      <c r="H68" s="2">
        <v>6.5368000000000004</v>
      </c>
      <c r="I68" s="2">
        <v>470.64960000000002</v>
      </c>
      <c r="J68" s="14">
        <f t="shared" si="2"/>
        <v>0</v>
      </c>
      <c r="K68" s="15">
        <f t="shared" si="13"/>
        <v>0</v>
      </c>
      <c r="L68" s="1">
        <v>0</v>
      </c>
      <c r="M68" s="1">
        <v>0</v>
      </c>
      <c r="N68" s="17">
        <f t="shared" si="14"/>
        <v>0</v>
      </c>
      <c r="O68" s="1"/>
      <c r="P68" s="1">
        <v>0</v>
      </c>
      <c r="Q68" s="1">
        <v>0</v>
      </c>
      <c r="R68" s="5">
        <v>0</v>
      </c>
      <c r="S68" s="1">
        <v>0</v>
      </c>
      <c r="T68" s="1">
        <v>0</v>
      </c>
      <c r="U68" s="17">
        <f t="shared" si="12"/>
        <v>0</v>
      </c>
      <c r="V68" s="1">
        <v>0</v>
      </c>
      <c r="W68" s="20">
        <v>0</v>
      </c>
      <c r="X68" s="2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</row>
    <row r="69" spans="1:64" x14ac:dyDescent="0.2">
      <c r="A69" s="1">
        <v>9099</v>
      </c>
      <c r="B69" s="1" t="s">
        <v>77</v>
      </c>
      <c r="C69" s="1">
        <v>24</v>
      </c>
      <c r="D69" s="1">
        <v>677</v>
      </c>
      <c r="E69" s="1" t="s">
        <v>64</v>
      </c>
      <c r="F69" s="1">
        <v>999</v>
      </c>
      <c r="G69" s="1" t="s">
        <v>67</v>
      </c>
      <c r="H69" s="2">
        <v>15.6492</v>
      </c>
      <c r="I69" s="2">
        <v>375.58080000000001</v>
      </c>
      <c r="J69" s="14">
        <f t="shared" si="2"/>
        <v>0</v>
      </c>
      <c r="K69" s="15">
        <f t="shared" si="13"/>
        <v>0</v>
      </c>
      <c r="L69" s="1">
        <v>0</v>
      </c>
      <c r="M69" s="1">
        <v>0</v>
      </c>
      <c r="N69" s="17">
        <f t="shared" si="14"/>
        <v>0</v>
      </c>
      <c r="O69" s="1"/>
      <c r="P69" s="1">
        <v>0</v>
      </c>
      <c r="Q69" s="1">
        <v>0</v>
      </c>
      <c r="R69" s="5">
        <v>0</v>
      </c>
      <c r="S69" s="1">
        <v>0</v>
      </c>
      <c r="T69" s="1">
        <v>0</v>
      </c>
      <c r="U69" s="17">
        <f t="shared" si="12"/>
        <v>0</v>
      </c>
      <c r="V69" s="1">
        <v>0</v>
      </c>
      <c r="W69" s="20">
        <v>0</v>
      </c>
      <c r="X69" s="2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</row>
    <row r="70" spans="1:64" x14ac:dyDescent="0.2">
      <c r="A70" s="1">
        <v>47006</v>
      </c>
      <c r="B70" s="1" t="s">
        <v>72</v>
      </c>
      <c r="C70" s="1">
        <v>24</v>
      </c>
      <c r="D70" s="1">
        <v>677</v>
      </c>
      <c r="E70" s="1" t="s">
        <v>64</v>
      </c>
      <c r="F70" s="1">
        <v>998</v>
      </c>
      <c r="G70" s="1" t="s">
        <v>73</v>
      </c>
      <c r="H70" s="2">
        <v>20.635100000000001</v>
      </c>
      <c r="I70" s="2">
        <v>495.24239999999998</v>
      </c>
      <c r="J70" s="14">
        <f t="shared" si="2"/>
        <v>0</v>
      </c>
      <c r="K70" s="15">
        <f t="shared" si="13"/>
        <v>0</v>
      </c>
      <c r="L70" s="1">
        <v>0</v>
      </c>
      <c r="M70" s="1">
        <v>0</v>
      </c>
      <c r="N70" s="17">
        <f t="shared" si="14"/>
        <v>0</v>
      </c>
      <c r="O70" s="1"/>
      <c r="P70" s="1">
        <v>0</v>
      </c>
      <c r="Q70" s="1">
        <v>0</v>
      </c>
      <c r="R70" s="5">
        <v>0</v>
      </c>
      <c r="S70" s="1">
        <v>0</v>
      </c>
      <c r="T70" s="1">
        <v>0</v>
      </c>
      <c r="U70" s="17">
        <f t="shared" si="12"/>
        <v>0</v>
      </c>
      <c r="V70" s="1">
        <v>0</v>
      </c>
      <c r="W70" s="20">
        <v>0</v>
      </c>
      <c r="X70" s="2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</row>
    <row r="71" spans="1:64" x14ac:dyDescent="0.2">
      <c r="A71" s="1">
        <v>47007</v>
      </c>
      <c r="B71" s="1" t="s">
        <v>157</v>
      </c>
      <c r="C71" s="1">
        <v>12</v>
      </c>
      <c r="D71" s="1">
        <v>677</v>
      </c>
      <c r="E71" s="1" t="s">
        <v>64</v>
      </c>
      <c r="F71" s="1">
        <v>1</v>
      </c>
      <c r="G71" s="1" t="s">
        <v>149</v>
      </c>
      <c r="H71" s="2">
        <v>7.68</v>
      </c>
      <c r="I71" s="2">
        <v>92.16</v>
      </c>
      <c r="J71" s="14">
        <f t="shared" si="2"/>
        <v>0</v>
      </c>
      <c r="K71" s="15">
        <f t="shared" si="13"/>
        <v>0</v>
      </c>
      <c r="L71" s="1">
        <v>0</v>
      </c>
      <c r="M71" s="1">
        <v>0</v>
      </c>
      <c r="N71" s="17">
        <f t="shared" si="14"/>
        <v>0</v>
      </c>
      <c r="O71" s="1"/>
      <c r="P71" s="1">
        <v>0</v>
      </c>
      <c r="Q71" s="1">
        <v>0</v>
      </c>
      <c r="R71" s="5">
        <v>0</v>
      </c>
      <c r="S71" s="1">
        <v>0</v>
      </c>
      <c r="T71" s="1">
        <v>0</v>
      </c>
      <c r="U71" s="17">
        <f t="shared" si="12"/>
        <v>0</v>
      </c>
      <c r="V71" s="1">
        <v>0</v>
      </c>
      <c r="W71" s="20">
        <v>0</v>
      </c>
      <c r="X71" s="2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</row>
    <row r="72" spans="1:64" x14ac:dyDescent="0.2">
      <c r="A72" s="1">
        <v>47011</v>
      </c>
      <c r="B72" s="1" t="s">
        <v>158</v>
      </c>
      <c r="C72" s="1">
        <v>24</v>
      </c>
      <c r="D72" s="1">
        <v>677</v>
      </c>
      <c r="E72" s="1" t="s">
        <v>64</v>
      </c>
      <c r="F72" s="1">
        <v>677</v>
      </c>
      <c r="G72" s="1" t="s">
        <v>84</v>
      </c>
      <c r="H72" s="2">
        <v>21.65</v>
      </c>
      <c r="I72" s="2">
        <v>519.6</v>
      </c>
      <c r="J72" s="14">
        <f t="shared" si="2"/>
        <v>0</v>
      </c>
      <c r="K72" s="15">
        <f t="shared" si="13"/>
        <v>0</v>
      </c>
      <c r="L72" s="1">
        <v>0</v>
      </c>
      <c r="M72" s="1">
        <v>0</v>
      </c>
      <c r="N72" s="17">
        <f t="shared" si="14"/>
        <v>0</v>
      </c>
      <c r="O72" s="1"/>
      <c r="P72" s="1">
        <v>0</v>
      </c>
      <c r="Q72" s="1">
        <v>0</v>
      </c>
      <c r="R72" s="5">
        <v>0</v>
      </c>
      <c r="S72" s="1">
        <v>0</v>
      </c>
      <c r="T72" s="1">
        <v>0</v>
      </c>
      <c r="U72" s="17">
        <f t="shared" si="12"/>
        <v>0</v>
      </c>
      <c r="V72" s="1">
        <v>0</v>
      </c>
      <c r="W72" s="20">
        <v>0</v>
      </c>
      <c r="X72" s="2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</row>
    <row r="73" spans="1:64" x14ac:dyDescent="0.2">
      <c r="A73" s="1">
        <v>47013</v>
      </c>
      <c r="B73" s="1" t="s">
        <v>159</v>
      </c>
      <c r="C73" s="1">
        <v>4</v>
      </c>
      <c r="D73" s="1">
        <v>677</v>
      </c>
      <c r="E73" s="1" t="s">
        <v>64</v>
      </c>
      <c r="F73" s="1">
        <v>61</v>
      </c>
      <c r="G73" s="1" t="s">
        <v>66</v>
      </c>
      <c r="H73" s="2">
        <v>92.19</v>
      </c>
      <c r="I73" s="2">
        <v>368.76</v>
      </c>
      <c r="J73" s="14">
        <f t="shared" si="2"/>
        <v>0</v>
      </c>
      <c r="K73" s="15">
        <f t="shared" si="13"/>
        <v>0</v>
      </c>
      <c r="L73" s="1">
        <v>0</v>
      </c>
      <c r="M73" s="1">
        <v>0</v>
      </c>
      <c r="N73" s="17">
        <f t="shared" si="14"/>
        <v>0</v>
      </c>
      <c r="O73" s="1"/>
      <c r="P73" s="1">
        <v>0</v>
      </c>
      <c r="Q73" s="1">
        <v>0</v>
      </c>
      <c r="R73" s="5">
        <v>0</v>
      </c>
      <c r="S73" s="1">
        <v>0</v>
      </c>
      <c r="T73" s="1">
        <v>0</v>
      </c>
      <c r="U73" s="17">
        <f t="shared" si="12"/>
        <v>0</v>
      </c>
      <c r="V73" s="1">
        <v>0</v>
      </c>
      <c r="W73" s="20">
        <v>0</v>
      </c>
      <c r="X73" s="2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</row>
    <row r="74" spans="1:64" x14ac:dyDescent="0.2">
      <c r="A74" s="1">
        <v>47016</v>
      </c>
      <c r="B74" s="1" t="s">
        <v>160</v>
      </c>
      <c r="C74" s="1">
        <v>12</v>
      </c>
      <c r="D74" s="1">
        <v>677</v>
      </c>
      <c r="E74" s="1" t="s">
        <v>64</v>
      </c>
      <c r="F74" s="1">
        <v>1</v>
      </c>
      <c r="G74" s="1" t="s">
        <v>149</v>
      </c>
      <c r="H74" s="2">
        <v>7.68</v>
      </c>
      <c r="I74" s="2">
        <v>92.16</v>
      </c>
      <c r="J74" s="14">
        <f t="shared" si="2"/>
        <v>0</v>
      </c>
      <c r="K74" s="15">
        <f t="shared" si="13"/>
        <v>0</v>
      </c>
      <c r="L74" s="1">
        <v>0</v>
      </c>
      <c r="M74" s="1">
        <v>0</v>
      </c>
      <c r="N74" s="17">
        <f t="shared" si="14"/>
        <v>0</v>
      </c>
      <c r="O74" s="1"/>
      <c r="P74" s="1">
        <v>0</v>
      </c>
      <c r="Q74" s="1">
        <v>0</v>
      </c>
      <c r="R74" s="5">
        <v>0</v>
      </c>
      <c r="S74" s="1">
        <v>0</v>
      </c>
      <c r="T74" s="1">
        <v>0</v>
      </c>
      <c r="U74" s="17">
        <f t="shared" si="12"/>
        <v>0</v>
      </c>
      <c r="V74" s="1">
        <v>0</v>
      </c>
      <c r="W74" s="20">
        <v>0</v>
      </c>
      <c r="X74" s="2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</row>
    <row r="75" spans="1:64" x14ac:dyDescent="0.2">
      <c r="A75" s="1">
        <v>47017</v>
      </c>
      <c r="B75" s="1" t="s">
        <v>81</v>
      </c>
      <c r="C75" s="1">
        <v>6</v>
      </c>
      <c r="D75" s="1">
        <v>677</v>
      </c>
      <c r="E75" s="1" t="s">
        <v>64</v>
      </c>
      <c r="F75" s="1">
        <v>999</v>
      </c>
      <c r="G75" s="1" t="s">
        <v>67</v>
      </c>
      <c r="H75" s="2">
        <v>51.17</v>
      </c>
      <c r="I75" s="2">
        <v>307.02</v>
      </c>
      <c r="J75" s="14">
        <f t="shared" si="2"/>
        <v>0</v>
      </c>
      <c r="K75" s="15">
        <f t="shared" si="13"/>
        <v>0</v>
      </c>
      <c r="L75" s="1">
        <v>0</v>
      </c>
      <c r="M75" s="1">
        <v>0</v>
      </c>
      <c r="N75" s="17">
        <f t="shared" si="14"/>
        <v>0</v>
      </c>
      <c r="O75" s="1"/>
      <c r="P75" s="1">
        <v>0</v>
      </c>
      <c r="Q75" s="1">
        <v>0</v>
      </c>
      <c r="R75" s="5">
        <v>0</v>
      </c>
      <c r="S75" s="1">
        <v>0</v>
      </c>
      <c r="T75" s="1">
        <v>0</v>
      </c>
      <c r="U75" s="17">
        <f t="shared" si="12"/>
        <v>0</v>
      </c>
      <c r="V75" s="1">
        <v>0</v>
      </c>
      <c r="W75" s="20">
        <v>0</v>
      </c>
      <c r="X75" s="2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</row>
    <row r="76" spans="1:64" x14ac:dyDescent="0.2">
      <c r="A76" s="1">
        <v>47018</v>
      </c>
      <c r="B76" s="1" t="s">
        <v>161</v>
      </c>
      <c r="C76" s="1">
        <v>6</v>
      </c>
      <c r="D76" s="1">
        <v>677</v>
      </c>
      <c r="E76" s="1" t="s">
        <v>64</v>
      </c>
      <c r="F76" s="1">
        <v>61</v>
      </c>
      <c r="G76" s="1" t="s">
        <v>66</v>
      </c>
      <c r="H76" s="2">
        <v>77.28</v>
      </c>
      <c r="I76" s="2">
        <v>463.68</v>
      </c>
      <c r="J76" s="14">
        <f t="shared" si="2"/>
        <v>0</v>
      </c>
      <c r="K76" s="15">
        <f t="shared" si="13"/>
        <v>0</v>
      </c>
      <c r="L76" s="1">
        <v>0</v>
      </c>
      <c r="M76" s="1">
        <v>0</v>
      </c>
      <c r="N76" s="17">
        <f t="shared" si="14"/>
        <v>0</v>
      </c>
      <c r="O76" s="1"/>
      <c r="P76" s="1">
        <v>0</v>
      </c>
      <c r="Q76" s="1">
        <v>0</v>
      </c>
      <c r="R76" s="5">
        <v>0</v>
      </c>
      <c r="S76" s="1">
        <v>0</v>
      </c>
      <c r="T76" s="1">
        <v>0</v>
      </c>
      <c r="U76" s="17">
        <f t="shared" si="12"/>
        <v>0</v>
      </c>
      <c r="V76" s="1">
        <v>0</v>
      </c>
      <c r="W76" s="20">
        <v>0</v>
      </c>
      <c r="X76" s="2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</row>
    <row r="77" spans="1:64" x14ac:dyDescent="0.2">
      <c r="A77" s="1">
        <v>47021</v>
      </c>
      <c r="B77" s="1" t="s">
        <v>81</v>
      </c>
      <c r="C77" s="1">
        <v>10</v>
      </c>
      <c r="D77" s="1">
        <v>677</v>
      </c>
      <c r="E77" s="1" t="s">
        <v>64</v>
      </c>
      <c r="F77" s="1">
        <v>999</v>
      </c>
      <c r="G77" s="1" t="s">
        <v>67</v>
      </c>
      <c r="H77" s="2">
        <v>34.318800000000003</v>
      </c>
      <c r="I77" s="2">
        <v>343.18799999999999</v>
      </c>
      <c r="J77" s="14">
        <f t="shared" si="2"/>
        <v>0</v>
      </c>
      <c r="K77" s="15">
        <f t="shared" si="13"/>
        <v>0</v>
      </c>
      <c r="L77" s="1">
        <v>0</v>
      </c>
      <c r="M77" s="1">
        <v>0</v>
      </c>
      <c r="N77" s="17">
        <f t="shared" si="14"/>
        <v>0</v>
      </c>
      <c r="O77" s="1"/>
      <c r="P77" s="1">
        <v>0</v>
      </c>
      <c r="Q77" s="1">
        <v>0</v>
      </c>
      <c r="R77" s="5">
        <v>0</v>
      </c>
      <c r="S77" s="1">
        <v>0</v>
      </c>
      <c r="T77" s="1">
        <v>0</v>
      </c>
      <c r="U77" s="17">
        <f t="shared" si="12"/>
        <v>0</v>
      </c>
      <c r="V77" s="1">
        <v>0</v>
      </c>
      <c r="W77" s="20">
        <v>0</v>
      </c>
      <c r="X77" s="2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</row>
    <row r="78" spans="1:64" x14ac:dyDescent="0.2">
      <c r="A78" s="1">
        <v>47022</v>
      </c>
      <c r="B78" s="1" t="s">
        <v>75</v>
      </c>
      <c r="C78" s="1">
        <v>10</v>
      </c>
      <c r="D78" s="1">
        <v>677</v>
      </c>
      <c r="E78" s="1" t="s">
        <v>64</v>
      </c>
      <c r="F78" s="1">
        <v>998</v>
      </c>
      <c r="G78" s="1" t="s">
        <v>73</v>
      </c>
      <c r="H78" s="2">
        <v>127.43</v>
      </c>
      <c r="I78" s="2">
        <v>1274.3</v>
      </c>
      <c r="J78" s="14">
        <f t="shared" si="2"/>
        <v>0</v>
      </c>
      <c r="K78" s="15">
        <f t="shared" si="13"/>
        <v>0</v>
      </c>
      <c r="L78" s="1">
        <v>0</v>
      </c>
      <c r="M78" s="1">
        <v>0</v>
      </c>
      <c r="N78" s="17">
        <f t="shared" si="14"/>
        <v>0</v>
      </c>
      <c r="O78" s="1"/>
      <c r="P78" s="1">
        <v>0</v>
      </c>
      <c r="Q78" s="1">
        <v>0</v>
      </c>
      <c r="R78" s="5">
        <v>0</v>
      </c>
      <c r="S78" s="1">
        <v>0</v>
      </c>
      <c r="T78" s="1">
        <v>0</v>
      </c>
      <c r="U78" s="17">
        <f t="shared" si="12"/>
        <v>0</v>
      </c>
      <c r="V78" s="1">
        <v>0</v>
      </c>
      <c r="W78" s="20">
        <v>0</v>
      </c>
      <c r="X78" s="2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</row>
    <row r="79" spans="1:64" x14ac:dyDescent="0.2">
      <c r="A79" s="1">
        <v>47025</v>
      </c>
      <c r="B79" s="1" t="s">
        <v>162</v>
      </c>
      <c r="C79" s="1">
        <v>24</v>
      </c>
      <c r="D79" s="1">
        <v>677</v>
      </c>
      <c r="E79" s="1" t="s">
        <v>64</v>
      </c>
      <c r="F79" s="1">
        <v>677</v>
      </c>
      <c r="G79" s="1" t="s">
        <v>84</v>
      </c>
      <c r="H79" s="2">
        <v>48.56</v>
      </c>
      <c r="I79" s="2">
        <v>1165.44</v>
      </c>
      <c r="J79" s="14">
        <f t="shared" si="2"/>
        <v>0</v>
      </c>
      <c r="K79" s="15">
        <f t="shared" si="13"/>
        <v>0</v>
      </c>
      <c r="L79" s="1">
        <v>0</v>
      </c>
      <c r="M79" s="1">
        <v>0</v>
      </c>
      <c r="N79" s="17">
        <f t="shared" si="14"/>
        <v>0</v>
      </c>
      <c r="O79" s="1"/>
      <c r="P79" s="1">
        <v>0</v>
      </c>
      <c r="Q79" s="1">
        <v>0</v>
      </c>
      <c r="R79" s="5">
        <v>0</v>
      </c>
      <c r="S79" s="1">
        <v>0</v>
      </c>
      <c r="T79" s="1">
        <v>0</v>
      </c>
      <c r="U79" s="17">
        <f t="shared" si="12"/>
        <v>0</v>
      </c>
      <c r="V79" s="1">
        <v>0</v>
      </c>
      <c r="W79" s="20">
        <v>0</v>
      </c>
      <c r="X79" s="2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</row>
    <row r="80" spans="1:64" x14ac:dyDescent="0.2">
      <c r="A80" s="1">
        <v>47028</v>
      </c>
      <c r="B80" s="1" t="s">
        <v>81</v>
      </c>
      <c r="C80" s="1">
        <v>24</v>
      </c>
      <c r="D80" s="1">
        <v>677</v>
      </c>
      <c r="E80" s="1" t="s">
        <v>64</v>
      </c>
      <c r="F80" s="1">
        <v>999</v>
      </c>
      <c r="G80" s="1" t="s">
        <v>67</v>
      </c>
      <c r="H80" s="2">
        <v>37.9</v>
      </c>
      <c r="I80" s="2">
        <v>909.6</v>
      </c>
      <c r="J80" s="14">
        <f t="shared" si="2"/>
        <v>0</v>
      </c>
      <c r="K80" s="15">
        <f t="shared" si="13"/>
        <v>0</v>
      </c>
      <c r="L80" s="1">
        <v>0</v>
      </c>
      <c r="M80" s="1">
        <v>0</v>
      </c>
      <c r="N80" s="17">
        <f t="shared" si="14"/>
        <v>0</v>
      </c>
      <c r="O80" s="1"/>
      <c r="P80" s="1">
        <v>0</v>
      </c>
      <c r="Q80" s="1">
        <v>0</v>
      </c>
      <c r="R80" s="5">
        <v>0</v>
      </c>
      <c r="S80" s="1">
        <v>0</v>
      </c>
      <c r="T80" s="1">
        <v>0</v>
      </c>
      <c r="U80" s="17">
        <f t="shared" si="12"/>
        <v>0</v>
      </c>
      <c r="V80" s="1">
        <v>0</v>
      </c>
      <c r="W80" s="20">
        <v>0</v>
      </c>
      <c r="X80" s="2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</row>
    <row r="81" spans="1:64" x14ac:dyDescent="0.2">
      <c r="A81" s="1">
        <v>47030</v>
      </c>
      <c r="B81" s="1" t="s">
        <v>163</v>
      </c>
      <c r="C81" s="1">
        <v>12</v>
      </c>
      <c r="D81" s="1">
        <v>677</v>
      </c>
      <c r="E81" s="1" t="s">
        <v>64</v>
      </c>
      <c r="F81" s="1">
        <v>999</v>
      </c>
      <c r="G81" s="1" t="s">
        <v>67</v>
      </c>
      <c r="H81" s="2">
        <v>109.64</v>
      </c>
      <c r="I81" s="2">
        <v>1315.68</v>
      </c>
      <c r="J81" s="14">
        <f t="shared" si="2"/>
        <v>0</v>
      </c>
      <c r="K81" s="15">
        <f t="shared" si="13"/>
        <v>0</v>
      </c>
      <c r="L81" s="1">
        <v>0</v>
      </c>
      <c r="M81" s="1">
        <v>0</v>
      </c>
      <c r="N81" s="17">
        <f t="shared" si="14"/>
        <v>0</v>
      </c>
      <c r="O81" s="1"/>
      <c r="P81" s="1">
        <v>0</v>
      </c>
      <c r="Q81" s="1">
        <v>0</v>
      </c>
      <c r="R81" s="5">
        <v>0</v>
      </c>
      <c r="S81" s="1">
        <v>0</v>
      </c>
      <c r="T81" s="1">
        <v>0</v>
      </c>
      <c r="U81" s="17">
        <f t="shared" si="12"/>
        <v>0</v>
      </c>
      <c r="V81" s="1">
        <v>0</v>
      </c>
      <c r="W81" s="20">
        <v>0</v>
      </c>
      <c r="X81" s="2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</row>
    <row r="82" spans="1:64" x14ac:dyDescent="0.2">
      <c r="A82" s="1">
        <v>47031</v>
      </c>
      <c r="B82" s="1" t="s">
        <v>164</v>
      </c>
      <c r="C82" s="1">
        <v>4</v>
      </c>
      <c r="D82" s="1">
        <v>677</v>
      </c>
      <c r="E82" s="1" t="s">
        <v>64</v>
      </c>
      <c r="F82" s="1">
        <v>61</v>
      </c>
      <c r="G82" s="1" t="s">
        <v>66</v>
      </c>
      <c r="H82" s="2">
        <v>92.19</v>
      </c>
      <c r="I82" s="2">
        <v>368.76</v>
      </c>
      <c r="J82" s="14">
        <f t="shared" si="2"/>
        <v>0</v>
      </c>
      <c r="K82" s="15">
        <f t="shared" si="13"/>
        <v>0</v>
      </c>
      <c r="L82" s="1">
        <v>0</v>
      </c>
      <c r="M82" s="1">
        <v>0</v>
      </c>
      <c r="N82" s="17">
        <f t="shared" si="14"/>
        <v>0</v>
      </c>
      <c r="O82" s="1"/>
      <c r="P82" s="1">
        <v>0</v>
      </c>
      <c r="Q82" s="1">
        <v>0</v>
      </c>
      <c r="R82" s="5">
        <v>0</v>
      </c>
      <c r="S82" s="1">
        <v>0</v>
      </c>
      <c r="T82" s="1">
        <v>0</v>
      </c>
      <c r="U82" s="17">
        <f t="shared" si="12"/>
        <v>0</v>
      </c>
      <c r="V82" s="1">
        <v>0</v>
      </c>
      <c r="W82" s="20">
        <v>0</v>
      </c>
      <c r="X82" s="2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</row>
    <row r="83" spans="1:64" x14ac:dyDescent="0.2">
      <c r="A83" s="1">
        <v>47032</v>
      </c>
      <c r="B83" s="1" t="s">
        <v>81</v>
      </c>
      <c r="C83" s="1">
        <v>12</v>
      </c>
      <c r="D83" s="1">
        <v>677</v>
      </c>
      <c r="E83" s="1" t="s">
        <v>64</v>
      </c>
      <c r="F83" s="1">
        <v>999</v>
      </c>
      <c r="G83" s="1" t="s">
        <v>67</v>
      </c>
      <c r="H83" s="2">
        <v>22.49</v>
      </c>
      <c r="I83" s="2">
        <v>269.88</v>
      </c>
      <c r="J83" s="14">
        <f t="shared" si="2"/>
        <v>0</v>
      </c>
      <c r="K83" s="15">
        <f t="shared" si="13"/>
        <v>0</v>
      </c>
      <c r="L83" s="1">
        <v>0</v>
      </c>
      <c r="M83" s="1">
        <v>0</v>
      </c>
      <c r="N83" s="17">
        <f t="shared" si="14"/>
        <v>0</v>
      </c>
      <c r="O83" s="1"/>
      <c r="P83" s="1">
        <v>0</v>
      </c>
      <c r="Q83" s="1">
        <v>0</v>
      </c>
      <c r="R83" s="5">
        <v>0</v>
      </c>
      <c r="S83" s="1">
        <v>0</v>
      </c>
      <c r="T83" s="1">
        <v>0</v>
      </c>
      <c r="U83" s="17">
        <f t="shared" si="12"/>
        <v>0</v>
      </c>
      <c r="V83" s="1">
        <v>0</v>
      </c>
      <c r="W83" s="20">
        <v>0</v>
      </c>
      <c r="X83" s="2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</row>
    <row r="84" spans="1:64" x14ac:dyDescent="0.2">
      <c r="A84" s="1">
        <v>47034</v>
      </c>
      <c r="B84" s="1" t="s">
        <v>81</v>
      </c>
      <c r="C84" s="1">
        <v>12</v>
      </c>
      <c r="D84" s="1">
        <v>677</v>
      </c>
      <c r="E84" s="1" t="s">
        <v>64</v>
      </c>
      <c r="F84" s="1">
        <v>999</v>
      </c>
      <c r="G84" s="1" t="s">
        <v>67</v>
      </c>
      <c r="H84" s="2">
        <v>25.038699999999999</v>
      </c>
      <c r="I84" s="2">
        <v>300.46440000000001</v>
      </c>
      <c r="J84" s="14">
        <f t="shared" si="2"/>
        <v>0</v>
      </c>
      <c r="K84" s="15">
        <f t="shared" si="13"/>
        <v>0</v>
      </c>
      <c r="L84" s="1">
        <v>0</v>
      </c>
      <c r="M84" s="1">
        <v>0</v>
      </c>
      <c r="N84" s="17">
        <f t="shared" si="14"/>
        <v>0</v>
      </c>
      <c r="O84" s="1"/>
      <c r="P84" s="1">
        <v>0</v>
      </c>
      <c r="Q84" s="1">
        <v>0</v>
      </c>
      <c r="R84" s="5">
        <v>0</v>
      </c>
      <c r="S84" s="1">
        <v>0</v>
      </c>
      <c r="T84" s="1">
        <v>0</v>
      </c>
      <c r="U84" s="17">
        <f t="shared" si="12"/>
        <v>0</v>
      </c>
      <c r="V84" s="1">
        <v>0</v>
      </c>
      <c r="W84" s="20">
        <v>0</v>
      </c>
      <c r="X84" s="2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</row>
    <row r="85" spans="1:64" x14ac:dyDescent="0.2">
      <c r="A85" s="1">
        <v>47037</v>
      </c>
      <c r="B85" s="1" t="s">
        <v>81</v>
      </c>
      <c r="C85" s="1">
        <v>24</v>
      </c>
      <c r="D85" s="1">
        <v>677</v>
      </c>
      <c r="E85" s="1" t="s">
        <v>64</v>
      </c>
      <c r="F85" s="1">
        <v>999</v>
      </c>
      <c r="G85" s="1" t="s">
        <v>67</v>
      </c>
      <c r="H85" s="2">
        <v>20.088100000000001</v>
      </c>
      <c r="I85" s="2">
        <v>482.11439999999999</v>
      </c>
      <c r="J85" s="14">
        <f t="shared" si="2"/>
        <v>0</v>
      </c>
      <c r="K85" s="15">
        <f t="shared" si="13"/>
        <v>0</v>
      </c>
      <c r="L85" s="1">
        <v>0</v>
      </c>
      <c r="M85" s="1">
        <v>0</v>
      </c>
      <c r="N85" s="17">
        <f t="shared" si="14"/>
        <v>0</v>
      </c>
      <c r="O85" s="1"/>
      <c r="P85" s="1">
        <v>0</v>
      </c>
      <c r="Q85" s="1">
        <v>0</v>
      </c>
      <c r="R85" s="5">
        <v>0</v>
      </c>
      <c r="S85" s="1">
        <v>0</v>
      </c>
      <c r="T85" s="1">
        <v>0</v>
      </c>
      <c r="U85" s="17">
        <f t="shared" si="12"/>
        <v>0</v>
      </c>
      <c r="V85" s="1">
        <v>0</v>
      </c>
      <c r="W85" s="20">
        <v>0</v>
      </c>
      <c r="X85" s="2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</row>
    <row r="86" spans="1:64" x14ac:dyDescent="0.2">
      <c r="A86" s="1">
        <v>47044</v>
      </c>
      <c r="B86" s="1" t="s">
        <v>81</v>
      </c>
      <c r="C86" s="1">
        <v>12</v>
      </c>
      <c r="D86" s="1">
        <v>677</v>
      </c>
      <c r="E86" s="1" t="s">
        <v>64</v>
      </c>
      <c r="F86" s="1">
        <v>999</v>
      </c>
      <c r="G86" s="1" t="s">
        <v>67</v>
      </c>
      <c r="H86" s="2">
        <v>18.04</v>
      </c>
      <c r="I86" s="2">
        <v>216.48</v>
      </c>
      <c r="J86" s="14">
        <f t="shared" si="2"/>
        <v>0</v>
      </c>
      <c r="K86" s="15">
        <f t="shared" si="13"/>
        <v>0</v>
      </c>
      <c r="L86" s="1">
        <v>0</v>
      </c>
      <c r="M86" s="1">
        <v>0</v>
      </c>
      <c r="N86" s="17">
        <f t="shared" si="14"/>
        <v>0</v>
      </c>
      <c r="O86" s="1"/>
      <c r="P86" s="1">
        <v>0</v>
      </c>
      <c r="Q86" s="1">
        <v>0</v>
      </c>
      <c r="R86" s="5">
        <v>0</v>
      </c>
      <c r="S86" s="1">
        <v>0</v>
      </c>
      <c r="T86" s="1">
        <v>0</v>
      </c>
      <c r="U86" s="17">
        <f t="shared" si="12"/>
        <v>0</v>
      </c>
      <c r="V86" s="1">
        <v>0</v>
      </c>
      <c r="W86" s="20">
        <v>0</v>
      </c>
      <c r="X86" s="2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</row>
    <row r="87" spans="1:64" x14ac:dyDescent="0.2">
      <c r="A87" s="1">
        <v>47047</v>
      </c>
      <c r="B87" s="1">
        <v>47047</v>
      </c>
      <c r="C87" s="1">
        <v>15</v>
      </c>
      <c r="D87" s="1">
        <v>677</v>
      </c>
      <c r="E87" s="1" t="s">
        <v>64</v>
      </c>
      <c r="F87" s="1">
        <v>999</v>
      </c>
      <c r="G87" s="1" t="s">
        <v>67</v>
      </c>
      <c r="H87" s="2">
        <v>20.947700000000001</v>
      </c>
      <c r="I87" s="2">
        <v>314.21550000000002</v>
      </c>
      <c r="J87" s="14">
        <f t="shared" si="2"/>
        <v>0</v>
      </c>
      <c r="K87" s="15">
        <f t="shared" si="13"/>
        <v>0</v>
      </c>
      <c r="L87" s="1">
        <v>0</v>
      </c>
      <c r="M87" s="1">
        <v>0</v>
      </c>
      <c r="N87" s="17">
        <f t="shared" si="14"/>
        <v>0</v>
      </c>
      <c r="O87" s="1"/>
      <c r="P87" s="1">
        <v>0</v>
      </c>
      <c r="Q87" s="1">
        <v>0</v>
      </c>
      <c r="R87" s="5">
        <v>0</v>
      </c>
      <c r="S87" s="1">
        <v>0</v>
      </c>
      <c r="T87" s="1">
        <v>0</v>
      </c>
      <c r="U87" s="17">
        <f t="shared" si="12"/>
        <v>0</v>
      </c>
      <c r="V87" s="1">
        <v>0</v>
      </c>
      <c r="W87" s="20">
        <v>0</v>
      </c>
      <c r="X87" s="2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</row>
    <row r="88" spans="1:64" x14ac:dyDescent="0.2">
      <c r="A88" s="1">
        <v>47048</v>
      </c>
      <c r="B88" s="1" t="s">
        <v>166</v>
      </c>
      <c r="C88" s="1">
        <v>4</v>
      </c>
      <c r="D88" s="1">
        <v>677</v>
      </c>
      <c r="E88" s="1" t="s">
        <v>64</v>
      </c>
      <c r="F88" s="1">
        <v>677</v>
      </c>
      <c r="G88" s="1" t="s">
        <v>84</v>
      </c>
      <c r="H88" s="2">
        <v>119.16</v>
      </c>
      <c r="I88" s="2">
        <v>476.64</v>
      </c>
      <c r="J88" s="14">
        <f t="shared" si="2"/>
        <v>0</v>
      </c>
      <c r="K88" s="15">
        <f t="shared" si="13"/>
        <v>0</v>
      </c>
      <c r="L88" s="1">
        <v>0</v>
      </c>
      <c r="M88" s="1">
        <v>0</v>
      </c>
      <c r="N88" s="17">
        <f t="shared" si="14"/>
        <v>0</v>
      </c>
      <c r="O88" s="1"/>
      <c r="P88" s="1">
        <v>0</v>
      </c>
      <c r="Q88" s="1">
        <v>0</v>
      </c>
      <c r="R88" s="5">
        <v>0</v>
      </c>
      <c r="S88" s="1">
        <v>0</v>
      </c>
      <c r="T88" s="1">
        <v>0</v>
      </c>
      <c r="U88" s="17">
        <f t="shared" si="12"/>
        <v>0</v>
      </c>
      <c r="V88" s="1">
        <v>0</v>
      </c>
      <c r="W88" s="20">
        <v>0</v>
      </c>
      <c r="X88" s="2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</row>
    <row r="89" spans="1:64" x14ac:dyDescent="0.2">
      <c r="A89" s="1">
        <v>47049</v>
      </c>
      <c r="B89" s="1" t="s">
        <v>165</v>
      </c>
      <c r="C89" s="1">
        <v>12</v>
      </c>
      <c r="D89" s="1">
        <v>677</v>
      </c>
      <c r="E89" s="1" t="s">
        <v>64</v>
      </c>
      <c r="F89" s="1">
        <v>999</v>
      </c>
      <c r="G89" s="1" t="s">
        <v>67</v>
      </c>
      <c r="H89" s="2">
        <v>34.17</v>
      </c>
      <c r="I89" s="2">
        <v>410.04</v>
      </c>
      <c r="J89" s="14">
        <f t="shared" si="2"/>
        <v>0</v>
      </c>
      <c r="K89" s="15">
        <f t="shared" si="13"/>
        <v>0</v>
      </c>
      <c r="L89" s="1">
        <v>0</v>
      </c>
      <c r="M89" s="1">
        <v>0</v>
      </c>
      <c r="N89" s="17">
        <f t="shared" si="14"/>
        <v>0</v>
      </c>
      <c r="O89" s="1"/>
      <c r="P89" s="1">
        <v>0</v>
      </c>
      <c r="Q89" s="1">
        <v>0</v>
      </c>
      <c r="R89" s="5">
        <v>0</v>
      </c>
      <c r="S89" s="1">
        <v>0</v>
      </c>
      <c r="T89" s="1">
        <v>0</v>
      </c>
      <c r="U89" s="17">
        <f t="shared" si="12"/>
        <v>0</v>
      </c>
      <c r="V89" s="1">
        <v>0</v>
      </c>
      <c r="W89" s="20">
        <v>0</v>
      </c>
      <c r="X89" s="2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</row>
    <row r="90" spans="1:64" x14ac:dyDescent="0.2">
      <c r="A90" s="1">
        <v>47050</v>
      </c>
      <c r="B90" s="1" t="s">
        <v>81</v>
      </c>
      <c r="C90" s="1">
        <v>24</v>
      </c>
      <c r="D90" s="1">
        <v>677</v>
      </c>
      <c r="E90" s="1" t="s">
        <v>64</v>
      </c>
      <c r="F90" s="1">
        <v>999</v>
      </c>
      <c r="G90" s="1" t="s">
        <v>67</v>
      </c>
      <c r="H90" s="2">
        <v>16.470099999999999</v>
      </c>
      <c r="I90" s="2">
        <v>395.2824</v>
      </c>
      <c r="J90" s="14">
        <f t="shared" si="2"/>
        <v>0</v>
      </c>
      <c r="K90" s="15">
        <f t="shared" si="13"/>
        <v>0</v>
      </c>
      <c r="L90" s="1">
        <v>0</v>
      </c>
      <c r="M90" s="1">
        <v>0</v>
      </c>
      <c r="N90" s="17">
        <f t="shared" si="14"/>
        <v>0</v>
      </c>
      <c r="O90" s="1"/>
      <c r="P90" s="1">
        <v>0</v>
      </c>
      <c r="Q90" s="1">
        <v>0</v>
      </c>
      <c r="R90" s="5">
        <v>0</v>
      </c>
      <c r="S90" s="1">
        <v>0</v>
      </c>
      <c r="T90" s="1">
        <v>0</v>
      </c>
      <c r="U90" s="17">
        <f t="shared" si="12"/>
        <v>0</v>
      </c>
      <c r="V90" s="1">
        <v>0</v>
      </c>
      <c r="W90" s="20">
        <v>0</v>
      </c>
      <c r="X90" s="2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</row>
    <row r="91" spans="1:64" x14ac:dyDescent="0.2">
      <c r="A91" s="1">
        <v>47125</v>
      </c>
      <c r="B91" s="1" t="s">
        <v>81</v>
      </c>
      <c r="C91" s="1">
        <v>15</v>
      </c>
      <c r="D91" s="1">
        <v>677</v>
      </c>
      <c r="E91" s="1" t="s">
        <v>64</v>
      </c>
      <c r="F91" s="1">
        <v>999</v>
      </c>
      <c r="G91" s="1" t="s">
        <v>67</v>
      </c>
      <c r="H91" s="2">
        <v>37.9</v>
      </c>
      <c r="I91" s="2">
        <v>568.5</v>
      </c>
      <c r="J91" s="14">
        <f t="shared" si="2"/>
        <v>0</v>
      </c>
      <c r="K91" s="15">
        <f t="shared" si="13"/>
        <v>0</v>
      </c>
      <c r="L91" s="1">
        <v>0</v>
      </c>
      <c r="M91" s="1">
        <v>0</v>
      </c>
      <c r="N91" s="17">
        <f t="shared" si="14"/>
        <v>0</v>
      </c>
      <c r="O91" s="1"/>
      <c r="P91" s="1">
        <v>0</v>
      </c>
      <c r="Q91" s="1">
        <v>0</v>
      </c>
      <c r="R91" s="5">
        <v>0</v>
      </c>
      <c r="S91" s="1">
        <v>0</v>
      </c>
      <c r="T91" s="1">
        <v>0</v>
      </c>
      <c r="U91" s="17">
        <f t="shared" si="12"/>
        <v>0</v>
      </c>
      <c r="V91" s="1">
        <v>0</v>
      </c>
      <c r="W91" s="20">
        <v>0</v>
      </c>
      <c r="X91" s="2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</row>
    <row r="92" spans="1:64" x14ac:dyDescent="0.2">
      <c r="H92" s="26"/>
      <c r="I92" s="26"/>
      <c r="J92" s="26"/>
      <c r="R92" s="5">
        <v>0</v>
      </c>
      <c r="W92" s="26"/>
      <c r="X92" s="26"/>
    </row>
    <row r="93" spans="1:64" x14ac:dyDescent="0.2">
      <c r="B93" s="1" t="s">
        <v>167</v>
      </c>
      <c r="H93" s="26"/>
      <c r="I93" s="26"/>
      <c r="J93" s="26"/>
      <c r="R93" s="5">
        <v>0</v>
      </c>
      <c r="W93" s="26"/>
      <c r="X93" s="26"/>
    </row>
    <row r="94" spans="1:64" x14ac:dyDescent="0.2">
      <c r="H94" s="26"/>
      <c r="I94" s="26"/>
      <c r="J94" s="26"/>
      <c r="R94" s="5">
        <v>0</v>
      </c>
      <c r="W94" s="26"/>
      <c r="X94" s="26"/>
    </row>
    <row r="95" spans="1:64" x14ac:dyDescent="0.2">
      <c r="H95" s="26"/>
      <c r="I95" s="26"/>
      <c r="J95" s="26"/>
      <c r="R95" s="5">
        <v>0</v>
      </c>
      <c r="W95" s="26"/>
      <c r="X95" s="26"/>
    </row>
    <row r="96" spans="1:64" x14ac:dyDescent="0.2">
      <c r="H96" s="26"/>
      <c r="I96" s="26"/>
      <c r="J96" s="26"/>
      <c r="R96" s="5">
        <v>0</v>
      </c>
      <c r="W96" s="26"/>
      <c r="X96" s="26"/>
    </row>
    <row r="97" spans="8:24" x14ac:dyDescent="0.2">
      <c r="H97" s="26"/>
      <c r="I97" s="26"/>
      <c r="J97" s="26"/>
      <c r="R97" s="5">
        <v>0</v>
      </c>
      <c r="W97" s="26"/>
      <c r="X97" s="26"/>
    </row>
    <row r="98" spans="8:24" x14ac:dyDescent="0.2">
      <c r="H98" s="26"/>
      <c r="I98" s="26"/>
      <c r="J98" s="26"/>
      <c r="R98" s="5">
        <v>0</v>
      </c>
      <c r="W98" s="26"/>
      <c r="X98" s="26"/>
    </row>
    <row r="99" spans="8:24" x14ac:dyDescent="0.2">
      <c r="H99" s="26"/>
      <c r="I99" s="26"/>
      <c r="J99" s="26"/>
      <c r="R99" s="5">
        <v>0</v>
      </c>
      <c r="W99" s="26"/>
      <c r="X99" s="26"/>
    </row>
    <row r="100" spans="8:24" x14ac:dyDescent="0.2">
      <c r="H100" s="26"/>
      <c r="I100" s="26"/>
      <c r="J100" s="26"/>
      <c r="R100" s="5">
        <v>0</v>
      </c>
      <c r="W100" s="26"/>
      <c r="X100" s="26"/>
    </row>
    <row r="101" spans="8:24" x14ac:dyDescent="0.2">
      <c r="H101" s="26"/>
      <c r="I101" s="26"/>
      <c r="J101" s="26"/>
      <c r="R101" s="5">
        <v>0</v>
      </c>
      <c r="W101" s="26"/>
      <c r="X101" s="26"/>
    </row>
    <row r="102" spans="8:24" x14ac:dyDescent="0.2">
      <c r="H102" s="26"/>
      <c r="I102" s="26"/>
      <c r="J102" s="26"/>
      <c r="R102" s="5">
        <v>0</v>
      </c>
      <c r="W102" s="26"/>
      <c r="X102" s="26"/>
    </row>
    <row r="103" spans="8:24" x14ac:dyDescent="0.2">
      <c r="H103" s="26"/>
      <c r="I103" s="26"/>
      <c r="J103" s="26"/>
      <c r="R103" s="5">
        <v>0</v>
      </c>
      <c r="W103" s="26"/>
      <c r="X103" s="26"/>
    </row>
    <row r="104" spans="8:24" x14ac:dyDescent="0.2">
      <c r="H104" s="26"/>
      <c r="I104" s="26"/>
      <c r="J104" s="26"/>
      <c r="R104" s="5">
        <v>0</v>
      </c>
      <c r="W104" s="26"/>
      <c r="X104" s="26"/>
    </row>
    <row r="105" spans="8:24" x14ac:dyDescent="0.2">
      <c r="H105" s="26"/>
      <c r="I105" s="26"/>
      <c r="J105" s="26"/>
      <c r="R105" s="5">
        <v>0</v>
      </c>
      <c r="W105" s="26"/>
      <c r="X105" s="26"/>
    </row>
    <row r="106" spans="8:24" x14ac:dyDescent="0.2">
      <c r="H106" s="26"/>
      <c r="I106" s="26"/>
      <c r="J106" s="26"/>
      <c r="R106" s="5">
        <v>0</v>
      </c>
      <c r="W106" s="26"/>
      <c r="X106" s="26"/>
    </row>
    <row r="107" spans="8:24" x14ac:dyDescent="0.2">
      <c r="H107" s="26"/>
      <c r="I107" s="26"/>
      <c r="J107" s="26"/>
      <c r="R107" s="5">
        <v>0</v>
      </c>
      <c r="W107" s="26"/>
      <c r="X107" s="26"/>
    </row>
    <row r="108" spans="8:24" x14ac:dyDescent="0.2">
      <c r="H108" s="26"/>
      <c r="I108" s="26"/>
      <c r="J108" s="26"/>
      <c r="R108" s="5">
        <v>0</v>
      </c>
      <c r="W108" s="26"/>
      <c r="X108" s="26"/>
    </row>
    <row r="109" spans="8:24" x14ac:dyDescent="0.2">
      <c r="H109" s="26"/>
      <c r="I109" s="26"/>
      <c r="J109" s="26"/>
      <c r="R109" s="5">
        <v>0</v>
      </c>
      <c r="W109" s="26"/>
      <c r="X109" s="26"/>
    </row>
    <row r="110" spans="8:24" x14ac:dyDescent="0.2">
      <c r="H110" s="26"/>
      <c r="I110" s="26"/>
      <c r="J110" s="26"/>
      <c r="R110" s="5">
        <v>0</v>
      </c>
      <c r="W110" s="26"/>
      <c r="X110" s="26"/>
    </row>
    <row r="111" spans="8:24" x14ac:dyDescent="0.2">
      <c r="H111" s="26"/>
      <c r="I111" s="26"/>
      <c r="J111" s="26"/>
      <c r="W111" s="26"/>
      <c r="X111" s="26"/>
    </row>
    <row r="112" spans="8:24" x14ac:dyDescent="0.2">
      <c r="H112" s="26"/>
      <c r="I112" s="26"/>
      <c r="J112" s="26"/>
      <c r="W112" s="26"/>
      <c r="X112" s="26"/>
    </row>
    <row r="113" spans="8:24" x14ac:dyDescent="0.2">
      <c r="H113" s="26"/>
      <c r="I113" s="26"/>
      <c r="J113" s="26"/>
      <c r="W113" s="26"/>
      <c r="X113" s="26"/>
    </row>
    <row r="114" spans="8:24" x14ac:dyDescent="0.2">
      <c r="H114" s="26"/>
      <c r="I114" s="26"/>
      <c r="J114" s="26"/>
      <c r="W114" s="26"/>
      <c r="X114" s="26"/>
    </row>
    <row r="115" spans="8:24" x14ac:dyDescent="0.2">
      <c r="H115" s="26"/>
      <c r="I115" s="26"/>
      <c r="J115" s="26"/>
      <c r="W115" s="26"/>
      <c r="X115" s="26"/>
    </row>
    <row r="116" spans="8:24" x14ac:dyDescent="0.2">
      <c r="H116" s="26"/>
      <c r="I116" s="26"/>
      <c r="J116" s="26"/>
      <c r="W116" s="26"/>
      <c r="X116" s="26"/>
    </row>
    <row r="117" spans="8:24" x14ac:dyDescent="0.2">
      <c r="H117" s="26"/>
      <c r="I117" s="26"/>
      <c r="J117" s="26"/>
      <c r="W117" s="26"/>
      <c r="X117" s="26"/>
    </row>
    <row r="118" spans="8:24" x14ac:dyDescent="0.2">
      <c r="H118" s="26"/>
      <c r="I118" s="26"/>
      <c r="J118" s="26"/>
      <c r="W118" s="26"/>
      <c r="X118" s="26"/>
    </row>
    <row r="119" spans="8:24" x14ac:dyDescent="0.2">
      <c r="H119" s="26"/>
      <c r="I119" s="26"/>
      <c r="J119" s="26"/>
      <c r="W119" s="26"/>
      <c r="X119" s="26"/>
    </row>
    <row r="120" spans="8:24" x14ac:dyDescent="0.2">
      <c r="H120" s="26"/>
      <c r="I120" s="26"/>
      <c r="J120" s="26"/>
      <c r="W120" s="26"/>
      <c r="X120" s="26"/>
    </row>
    <row r="121" spans="8:24" x14ac:dyDescent="0.2">
      <c r="H121" s="26"/>
      <c r="I121" s="26"/>
      <c r="J121" s="26"/>
      <c r="W121" s="26"/>
      <c r="X121" s="26"/>
    </row>
    <row r="122" spans="8:24" x14ac:dyDescent="0.2">
      <c r="H122" s="26"/>
      <c r="I122" s="26"/>
      <c r="J122" s="26"/>
      <c r="W122" s="26"/>
      <c r="X122" s="26"/>
    </row>
    <row r="123" spans="8:24" x14ac:dyDescent="0.2">
      <c r="H123" s="26"/>
      <c r="I123" s="26"/>
      <c r="J123" s="26"/>
      <c r="W123" s="26"/>
      <c r="X123" s="26"/>
    </row>
    <row r="124" spans="8:24" x14ac:dyDescent="0.2">
      <c r="H124" s="26"/>
      <c r="I124" s="26"/>
      <c r="J124" s="26"/>
      <c r="W124" s="26"/>
      <c r="X124" s="26"/>
    </row>
    <row r="125" spans="8:24" x14ac:dyDescent="0.2">
      <c r="H125" s="26"/>
      <c r="I125" s="26"/>
      <c r="J125" s="26"/>
      <c r="W125" s="26"/>
      <c r="X125" s="26"/>
    </row>
    <row r="126" spans="8:24" x14ac:dyDescent="0.2">
      <c r="H126" s="26"/>
      <c r="I126" s="26"/>
      <c r="J126" s="26"/>
      <c r="W126" s="26"/>
      <c r="X126" s="26"/>
    </row>
    <row r="127" spans="8:24" x14ac:dyDescent="0.2">
      <c r="H127" s="26"/>
      <c r="I127" s="26"/>
      <c r="J127" s="26"/>
      <c r="W127" s="26"/>
      <c r="X127" s="26"/>
    </row>
    <row r="128" spans="8:24" x14ac:dyDescent="0.2">
      <c r="H128" s="26"/>
      <c r="I128" s="26"/>
      <c r="J128" s="26"/>
      <c r="W128" s="26"/>
      <c r="X128" s="26"/>
    </row>
    <row r="129" spans="8:24" x14ac:dyDescent="0.2">
      <c r="H129" s="26"/>
      <c r="I129" s="26"/>
      <c r="J129" s="26"/>
      <c r="W129" s="26"/>
      <c r="X129" s="26"/>
    </row>
    <row r="130" spans="8:24" x14ac:dyDescent="0.2">
      <c r="H130" s="26"/>
      <c r="I130" s="26"/>
      <c r="J130" s="26"/>
      <c r="W130" s="26"/>
      <c r="X130" s="26"/>
    </row>
    <row r="131" spans="8:24" x14ac:dyDescent="0.2">
      <c r="H131" s="26"/>
      <c r="I131" s="26"/>
      <c r="J131" s="26"/>
      <c r="W131" s="26"/>
      <c r="X131" s="26"/>
    </row>
    <row r="132" spans="8:24" x14ac:dyDescent="0.2">
      <c r="H132" s="26"/>
      <c r="I132" s="26"/>
      <c r="J132" s="26"/>
      <c r="W132" s="26"/>
      <c r="X132" s="26"/>
    </row>
    <row r="133" spans="8:24" x14ac:dyDescent="0.2">
      <c r="H133" s="26"/>
      <c r="I133" s="26"/>
      <c r="J133" s="26"/>
      <c r="W133" s="26"/>
      <c r="X133" s="26"/>
    </row>
    <row r="134" spans="8:24" x14ac:dyDescent="0.2">
      <c r="H134" s="26"/>
      <c r="I134" s="26"/>
      <c r="J134" s="26"/>
      <c r="W134" s="26"/>
      <c r="X134" s="26"/>
    </row>
    <row r="135" spans="8:24" x14ac:dyDescent="0.2">
      <c r="H135" s="26"/>
      <c r="I135" s="26"/>
      <c r="J135" s="26"/>
      <c r="W135" s="26"/>
      <c r="X135" s="26"/>
    </row>
    <row r="136" spans="8:24" x14ac:dyDescent="0.2">
      <c r="H136" s="26"/>
      <c r="I136" s="26"/>
      <c r="J136" s="26"/>
      <c r="W136" s="26"/>
      <c r="X136" s="26"/>
    </row>
    <row r="137" spans="8:24" x14ac:dyDescent="0.2">
      <c r="H137" s="26"/>
      <c r="I137" s="26"/>
      <c r="J137" s="26"/>
      <c r="W137" s="26"/>
      <c r="X137" s="26"/>
    </row>
    <row r="138" spans="8:24" x14ac:dyDescent="0.2">
      <c r="H138" s="26"/>
      <c r="I138" s="26"/>
      <c r="J138" s="26"/>
      <c r="W138" s="26"/>
      <c r="X138" s="26"/>
    </row>
    <row r="139" spans="8:24" x14ac:dyDescent="0.2">
      <c r="H139" s="26"/>
      <c r="I139" s="26"/>
      <c r="J139" s="26"/>
      <c r="W139" s="26"/>
      <c r="X139" s="26"/>
    </row>
    <row r="140" spans="8:24" x14ac:dyDescent="0.2">
      <c r="H140" s="26"/>
      <c r="I140" s="26"/>
      <c r="J140" s="26"/>
      <c r="W140" s="26"/>
      <c r="X140" s="26"/>
    </row>
    <row r="141" spans="8:24" x14ac:dyDescent="0.2">
      <c r="H141" s="26"/>
      <c r="I141" s="26"/>
      <c r="J141" s="26"/>
      <c r="W141" s="26"/>
      <c r="X141" s="26"/>
    </row>
    <row r="142" spans="8:24" x14ac:dyDescent="0.2">
      <c r="H142" s="26"/>
      <c r="I142" s="26"/>
      <c r="J142" s="26"/>
      <c r="W142" s="26"/>
      <c r="X142" s="26"/>
    </row>
    <row r="143" spans="8:24" x14ac:dyDescent="0.2">
      <c r="H143" s="26"/>
      <c r="I143" s="26"/>
      <c r="J143" s="26"/>
      <c r="W143" s="26"/>
      <c r="X143" s="26"/>
    </row>
    <row r="144" spans="8:24" x14ac:dyDescent="0.2">
      <c r="H144" s="26"/>
      <c r="I144" s="26"/>
      <c r="J144" s="26"/>
      <c r="W144" s="26"/>
      <c r="X144" s="26"/>
    </row>
    <row r="145" spans="8:24" x14ac:dyDescent="0.2">
      <c r="H145" s="26"/>
      <c r="I145" s="26"/>
      <c r="J145" s="26"/>
      <c r="W145" s="26"/>
      <c r="X145" s="26"/>
    </row>
    <row r="146" spans="8:24" x14ac:dyDescent="0.2">
      <c r="H146" s="26"/>
      <c r="I146" s="26"/>
      <c r="J146" s="26"/>
      <c r="W146" s="26"/>
      <c r="X146" s="26"/>
    </row>
    <row r="147" spans="8:24" x14ac:dyDescent="0.2">
      <c r="H147" s="26"/>
      <c r="I147" s="26"/>
      <c r="J147" s="26"/>
      <c r="W147" s="26"/>
      <c r="X147" s="26"/>
    </row>
    <row r="148" spans="8:24" x14ac:dyDescent="0.2">
      <c r="H148" s="26"/>
      <c r="I148" s="26"/>
      <c r="J148" s="26"/>
      <c r="W148" s="26"/>
      <c r="X148" s="26"/>
    </row>
    <row r="149" spans="8:24" x14ac:dyDescent="0.2">
      <c r="H149" s="26"/>
      <c r="I149" s="26"/>
      <c r="J149" s="26"/>
      <c r="W149" s="26"/>
      <c r="X149" s="26"/>
    </row>
    <row r="150" spans="8:24" x14ac:dyDescent="0.2">
      <c r="H150" s="26"/>
      <c r="I150" s="26"/>
      <c r="J150" s="26"/>
      <c r="W150" s="26"/>
      <c r="X150" s="26"/>
    </row>
    <row r="151" spans="8:24" x14ac:dyDescent="0.2">
      <c r="H151" s="26"/>
      <c r="I151" s="26"/>
      <c r="J151" s="26"/>
      <c r="W151" s="26"/>
      <c r="X151" s="26"/>
    </row>
    <row r="152" spans="8:24" x14ac:dyDescent="0.2">
      <c r="H152" s="26"/>
      <c r="I152" s="26"/>
      <c r="J152" s="26"/>
      <c r="W152" s="26"/>
      <c r="X152" s="26"/>
    </row>
    <row r="153" spans="8:24" x14ac:dyDescent="0.2">
      <c r="H153" s="26"/>
      <c r="I153" s="26"/>
      <c r="J153" s="26"/>
      <c r="W153" s="26"/>
      <c r="X153" s="26"/>
    </row>
    <row r="154" spans="8:24" x14ac:dyDescent="0.2">
      <c r="H154" s="26"/>
      <c r="I154" s="26"/>
      <c r="J154" s="26"/>
      <c r="W154" s="26"/>
      <c r="X154" s="26"/>
    </row>
    <row r="155" spans="8:24" x14ac:dyDescent="0.2">
      <c r="H155" s="26"/>
      <c r="I155" s="26"/>
      <c r="J155" s="26"/>
      <c r="W155" s="26"/>
      <c r="X155" s="26"/>
    </row>
    <row r="156" spans="8:24" x14ac:dyDescent="0.2">
      <c r="H156" s="26"/>
      <c r="I156" s="26"/>
      <c r="J156" s="26"/>
      <c r="W156" s="26"/>
      <c r="X156" s="26"/>
    </row>
    <row r="157" spans="8:24" x14ac:dyDescent="0.2">
      <c r="H157" s="26"/>
      <c r="I157" s="26"/>
      <c r="J157" s="26"/>
      <c r="W157" s="26"/>
      <c r="X157" s="26"/>
    </row>
    <row r="158" spans="8:24" x14ac:dyDescent="0.2">
      <c r="H158" s="26"/>
      <c r="I158" s="26"/>
      <c r="J158" s="26"/>
      <c r="W158" s="26"/>
      <c r="X158" s="26"/>
    </row>
    <row r="159" spans="8:24" x14ac:dyDescent="0.2">
      <c r="H159" s="26"/>
      <c r="I159" s="26"/>
      <c r="J159" s="26"/>
      <c r="W159" s="26"/>
      <c r="X159" s="26"/>
    </row>
    <row r="160" spans="8:24" x14ac:dyDescent="0.2">
      <c r="H160" s="26"/>
      <c r="I160" s="26"/>
      <c r="J160" s="26"/>
      <c r="W160" s="26"/>
      <c r="X160" s="26"/>
    </row>
    <row r="161" spans="8:24" x14ac:dyDescent="0.2">
      <c r="H161" s="26"/>
      <c r="I161" s="26"/>
      <c r="J161" s="26"/>
      <c r="W161" s="26"/>
      <c r="X161" s="26"/>
    </row>
    <row r="162" spans="8:24" x14ac:dyDescent="0.2">
      <c r="H162" s="26"/>
      <c r="I162" s="26"/>
      <c r="J162" s="26"/>
      <c r="W162" s="26"/>
      <c r="X162" s="26"/>
    </row>
    <row r="163" spans="8:24" x14ac:dyDescent="0.2">
      <c r="H163" s="26"/>
      <c r="I163" s="26"/>
      <c r="J163" s="26"/>
      <c r="W163" s="26"/>
      <c r="X163" s="26"/>
    </row>
    <row r="164" spans="8:24" x14ac:dyDescent="0.2">
      <c r="H164" s="26"/>
      <c r="I164" s="26"/>
      <c r="J164" s="26"/>
      <c r="W164" s="26"/>
      <c r="X164" s="26"/>
    </row>
    <row r="165" spans="8:24" x14ac:dyDescent="0.2">
      <c r="H165" s="26"/>
      <c r="I165" s="26"/>
      <c r="J165" s="26"/>
      <c r="W165" s="26"/>
      <c r="X165" s="26"/>
    </row>
    <row r="166" spans="8:24" x14ac:dyDescent="0.2">
      <c r="H166" s="26"/>
      <c r="I166" s="26"/>
      <c r="J166" s="26"/>
      <c r="W166" s="26"/>
      <c r="X166" s="26"/>
    </row>
    <row r="167" spans="8:24" x14ac:dyDescent="0.2">
      <c r="H167" s="26"/>
      <c r="I167" s="26"/>
      <c r="J167" s="26"/>
      <c r="W167" s="26"/>
      <c r="X167" s="26"/>
    </row>
    <row r="168" spans="8:24" x14ac:dyDescent="0.2">
      <c r="H168" s="26"/>
      <c r="I168" s="26"/>
      <c r="J168" s="26"/>
      <c r="W168" s="26"/>
      <c r="X168" s="26"/>
    </row>
    <row r="169" spans="8:24" x14ac:dyDescent="0.2">
      <c r="H169" s="26"/>
      <c r="I169" s="26"/>
      <c r="J169" s="26"/>
      <c r="W169" s="26"/>
      <c r="X169" s="26"/>
    </row>
    <row r="170" spans="8:24" x14ac:dyDescent="0.2">
      <c r="H170" s="26"/>
      <c r="I170" s="26"/>
      <c r="J170" s="26"/>
      <c r="W170" s="26"/>
      <c r="X170" s="26"/>
    </row>
    <row r="171" spans="8:24" x14ac:dyDescent="0.2">
      <c r="H171" s="26"/>
      <c r="I171" s="26"/>
      <c r="J171" s="26"/>
      <c r="W171" s="26"/>
      <c r="X171" s="26"/>
    </row>
    <row r="172" spans="8:24" x14ac:dyDescent="0.2">
      <c r="H172" s="26"/>
      <c r="I172" s="26"/>
      <c r="J172" s="26"/>
      <c r="W172" s="26"/>
      <c r="X172" s="26"/>
    </row>
    <row r="173" spans="8:24" x14ac:dyDescent="0.2">
      <c r="H173" s="26"/>
      <c r="I173" s="26"/>
      <c r="J173" s="26"/>
      <c r="W173" s="26"/>
      <c r="X173" s="26"/>
    </row>
    <row r="174" spans="8:24" x14ac:dyDescent="0.2">
      <c r="H174" s="26"/>
      <c r="I174" s="26"/>
      <c r="J174" s="26"/>
      <c r="W174" s="26"/>
      <c r="X174" s="26"/>
    </row>
    <row r="175" spans="8:24" x14ac:dyDescent="0.2">
      <c r="H175" s="26"/>
      <c r="I175" s="26"/>
      <c r="J175" s="26"/>
      <c r="W175" s="26"/>
      <c r="X175" s="26"/>
    </row>
    <row r="176" spans="8:24" x14ac:dyDescent="0.2">
      <c r="H176" s="26"/>
      <c r="I176" s="26"/>
      <c r="J176" s="26"/>
      <c r="W176" s="26"/>
      <c r="X176" s="26"/>
    </row>
    <row r="177" spans="8:24" x14ac:dyDescent="0.2">
      <c r="H177" s="26"/>
      <c r="I177" s="26"/>
      <c r="J177" s="26"/>
      <c r="W177" s="26"/>
      <c r="X177" s="26"/>
    </row>
    <row r="178" spans="8:24" x14ac:dyDescent="0.2">
      <c r="H178" s="26"/>
      <c r="I178" s="26"/>
      <c r="J178" s="26"/>
      <c r="W178" s="26"/>
      <c r="X178" s="26"/>
    </row>
    <row r="179" spans="8:24" x14ac:dyDescent="0.2">
      <c r="H179" s="26"/>
      <c r="I179" s="26"/>
      <c r="J179" s="26"/>
      <c r="W179" s="26"/>
      <c r="X179" s="26"/>
    </row>
    <row r="180" spans="8:24" x14ac:dyDescent="0.2">
      <c r="H180" s="26"/>
      <c r="I180" s="26"/>
      <c r="J180" s="26"/>
      <c r="W180" s="26"/>
      <c r="X180" s="26"/>
    </row>
    <row r="181" spans="8:24" x14ac:dyDescent="0.2">
      <c r="H181" s="26"/>
      <c r="I181" s="26"/>
      <c r="J181" s="26"/>
      <c r="W181" s="26"/>
      <c r="X181" s="26"/>
    </row>
    <row r="182" spans="8:24" x14ac:dyDescent="0.2">
      <c r="H182" s="26"/>
      <c r="I182" s="26"/>
      <c r="J182" s="26"/>
      <c r="W182" s="26"/>
      <c r="X182" s="26"/>
    </row>
    <row r="183" spans="8:24" x14ac:dyDescent="0.2">
      <c r="H183" s="26"/>
      <c r="I183" s="26"/>
      <c r="J183" s="26"/>
      <c r="W183" s="26"/>
      <c r="X183" s="26"/>
    </row>
    <row r="184" spans="8:24" x14ac:dyDescent="0.2">
      <c r="H184" s="26"/>
      <c r="I184" s="26"/>
      <c r="J184" s="26"/>
      <c r="W184" s="26"/>
      <c r="X184" s="26"/>
    </row>
    <row r="185" spans="8:24" x14ac:dyDescent="0.2">
      <c r="H185" s="26"/>
      <c r="I185" s="26"/>
      <c r="J185" s="26"/>
      <c r="W185" s="26"/>
      <c r="X185" s="26"/>
    </row>
    <row r="186" spans="8:24" x14ac:dyDescent="0.2">
      <c r="H186" s="26"/>
      <c r="I186" s="26"/>
      <c r="J186" s="26"/>
      <c r="W186" s="26"/>
      <c r="X186" s="26"/>
    </row>
    <row r="187" spans="8:24" x14ac:dyDescent="0.2">
      <c r="H187" s="26"/>
      <c r="I187" s="26"/>
      <c r="J187" s="26"/>
      <c r="W187" s="26"/>
      <c r="X187" s="26"/>
    </row>
    <row r="188" spans="8:24" x14ac:dyDescent="0.2">
      <c r="H188" s="26"/>
      <c r="I188" s="26"/>
      <c r="J188" s="26"/>
      <c r="W188" s="26"/>
      <c r="X188" s="26"/>
    </row>
    <row r="189" spans="8:24" x14ac:dyDescent="0.2">
      <c r="H189" s="26"/>
      <c r="I189" s="26"/>
      <c r="J189" s="26"/>
      <c r="W189" s="26"/>
      <c r="X189" s="26"/>
    </row>
    <row r="190" spans="8:24" x14ac:dyDescent="0.2">
      <c r="H190" s="26"/>
      <c r="I190" s="26"/>
      <c r="J190" s="26"/>
      <c r="W190" s="26"/>
      <c r="X190" s="26"/>
    </row>
    <row r="191" spans="8:24" x14ac:dyDescent="0.2">
      <c r="H191" s="26"/>
      <c r="I191" s="26"/>
      <c r="J191" s="26"/>
      <c r="W191" s="26"/>
      <c r="X191" s="26"/>
    </row>
    <row r="192" spans="8:24" x14ac:dyDescent="0.2">
      <c r="H192" s="26"/>
      <c r="I192" s="26"/>
      <c r="J192" s="26"/>
      <c r="W192" s="26"/>
      <c r="X192" s="26"/>
    </row>
    <row r="193" spans="8:24" x14ac:dyDescent="0.2">
      <c r="H193" s="26"/>
      <c r="I193" s="26"/>
      <c r="J193" s="26"/>
      <c r="W193" s="26"/>
      <c r="X193" s="26"/>
    </row>
    <row r="194" spans="8:24" x14ac:dyDescent="0.2">
      <c r="H194" s="26"/>
      <c r="I194" s="26"/>
      <c r="J194" s="26"/>
      <c r="W194" s="26"/>
      <c r="X194" s="26"/>
    </row>
    <row r="195" spans="8:24" x14ac:dyDescent="0.2">
      <c r="H195" s="26"/>
      <c r="I195" s="26"/>
      <c r="J195" s="26"/>
      <c r="W195" s="26"/>
      <c r="X195" s="26"/>
    </row>
    <row r="196" spans="8:24" x14ac:dyDescent="0.2">
      <c r="H196" s="26"/>
      <c r="I196" s="26"/>
      <c r="J196" s="26"/>
      <c r="W196" s="26"/>
      <c r="X196" s="26"/>
    </row>
    <row r="197" spans="8:24" x14ac:dyDescent="0.2">
      <c r="H197" s="26"/>
      <c r="I197" s="26"/>
      <c r="J197" s="26"/>
      <c r="W197" s="26"/>
      <c r="X197" s="26"/>
    </row>
    <row r="198" spans="8:24" x14ac:dyDescent="0.2">
      <c r="H198" s="26"/>
      <c r="I198" s="26"/>
      <c r="J198" s="26"/>
      <c r="W198" s="26"/>
      <c r="X198" s="26"/>
    </row>
    <row r="199" spans="8:24" x14ac:dyDescent="0.2">
      <c r="H199" s="26"/>
      <c r="I199" s="26"/>
      <c r="J199" s="26"/>
      <c r="W199" s="26"/>
      <c r="X199" s="26"/>
    </row>
    <row r="200" spans="8:24" x14ac:dyDescent="0.2">
      <c r="H200" s="26"/>
      <c r="I200" s="26"/>
      <c r="J200" s="26"/>
      <c r="W200" s="26"/>
      <c r="X200" s="26"/>
    </row>
    <row r="201" spans="8:24" x14ac:dyDescent="0.2">
      <c r="H201" s="26"/>
      <c r="I201" s="26"/>
      <c r="J201" s="26"/>
      <c r="W201" s="26"/>
      <c r="X201" s="26"/>
    </row>
    <row r="202" spans="8:24" x14ac:dyDescent="0.2">
      <c r="H202" s="26"/>
      <c r="I202" s="26"/>
      <c r="J202" s="26"/>
      <c r="W202" s="26"/>
      <c r="X202" s="26"/>
    </row>
    <row r="203" spans="8:24" x14ac:dyDescent="0.2">
      <c r="H203" s="26"/>
      <c r="I203" s="26"/>
      <c r="J203" s="26"/>
      <c r="W203" s="26"/>
      <c r="X203" s="26"/>
    </row>
    <row r="204" spans="8:24" x14ac:dyDescent="0.2">
      <c r="H204" s="26"/>
      <c r="I204" s="26"/>
      <c r="J204" s="26"/>
      <c r="W204" s="26"/>
      <c r="X204" s="26"/>
    </row>
    <row r="205" spans="8:24" x14ac:dyDescent="0.2">
      <c r="H205" s="26"/>
      <c r="I205" s="26"/>
      <c r="J205" s="26"/>
      <c r="W205" s="26"/>
      <c r="X205" s="26"/>
    </row>
    <row r="206" spans="8:24" x14ac:dyDescent="0.2">
      <c r="H206" s="26"/>
      <c r="I206" s="26"/>
      <c r="J206" s="26"/>
      <c r="W206" s="26"/>
      <c r="X206" s="26"/>
    </row>
    <row r="207" spans="8:24" x14ac:dyDescent="0.2">
      <c r="H207" s="26"/>
      <c r="I207" s="26"/>
      <c r="J207" s="26"/>
      <c r="W207" s="26"/>
      <c r="X207" s="26"/>
    </row>
    <row r="208" spans="8:24" x14ac:dyDescent="0.2">
      <c r="H208" s="26"/>
      <c r="I208" s="26"/>
      <c r="J208" s="26"/>
      <c r="W208" s="26"/>
      <c r="X208" s="26"/>
    </row>
    <row r="209" spans="8:24" x14ac:dyDescent="0.2">
      <c r="H209" s="26"/>
      <c r="I209" s="26"/>
      <c r="J209" s="26"/>
      <c r="W209" s="26"/>
      <c r="X209" s="26"/>
    </row>
    <row r="210" spans="8:24" x14ac:dyDescent="0.2">
      <c r="H210" s="26"/>
      <c r="I210" s="26"/>
      <c r="J210" s="26"/>
      <c r="W210" s="26"/>
      <c r="X210" s="26"/>
    </row>
    <row r="211" spans="8:24" x14ac:dyDescent="0.2">
      <c r="H211" s="26"/>
      <c r="I211" s="26"/>
      <c r="J211" s="26"/>
      <c r="W211" s="26"/>
      <c r="X211" s="26"/>
    </row>
    <row r="212" spans="8:24" x14ac:dyDescent="0.2">
      <c r="H212" s="26"/>
      <c r="I212" s="26"/>
      <c r="J212" s="26"/>
      <c r="W212" s="26"/>
      <c r="X212" s="26"/>
    </row>
    <row r="213" spans="8:24" x14ac:dyDescent="0.2">
      <c r="H213" s="26"/>
      <c r="I213" s="26"/>
      <c r="J213" s="26"/>
      <c r="W213" s="26"/>
      <c r="X213" s="26"/>
    </row>
    <row r="214" spans="8:24" x14ac:dyDescent="0.2">
      <c r="H214" s="26"/>
      <c r="I214" s="26"/>
      <c r="J214" s="26"/>
      <c r="W214" s="26"/>
      <c r="X214" s="26"/>
    </row>
    <row r="215" spans="8:24" x14ac:dyDescent="0.2">
      <c r="H215" s="26"/>
      <c r="I215" s="26"/>
      <c r="J215" s="26"/>
      <c r="W215" s="26"/>
      <c r="X215" s="26"/>
    </row>
    <row r="216" spans="8:24" x14ac:dyDescent="0.2">
      <c r="H216" s="26"/>
      <c r="I216" s="26"/>
      <c r="J216" s="26"/>
      <c r="W216" s="26"/>
      <c r="X216" s="26"/>
    </row>
    <row r="217" spans="8:24" x14ac:dyDescent="0.2">
      <c r="H217" s="26"/>
      <c r="I217" s="26"/>
      <c r="J217" s="26"/>
      <c r="W217" s="26"/>
      <c r="X217" s="26"/>
    </row>
    <row r="218" spans="8:24" x14ac:dyDescent="0.2">
      <c r="H218" s="26"/>
      <c r="I218" s="26"/>
      <c r="J218" s="26"/>
      <c r="W218" s="26"/>
      <c r="X218" s="26"/>
    </row>
    <row r="219" spans="8:24" x14ac:dyDescent="0.2">
      <c r="H219" s="26"/>
      <c r="I219" s="26"/>
      <c r="J219" s="26"/>
      <c r="W219" s="26"/>
      <c r="X219" s="26"/>
    </row>
    <row r="220" spans="8:24" x14ac:dyDescent="0.2">
      <c r="H220" s="26"/>
      <c r="I220" s="26"/>
      <c r="J220" s="26"/>
      <c r="W220" s="26"/>
      <c r="X220" s="26"/>
    </row>
    <row r="221" spans="8:24" x14ac:dyDescent="0.2">
      <c r="H221" s="26"/>
      <c r="I221" s="26"/>
      <c r="J221" s="26"/>
      <c r="W221" s="26"/>
      <c r="X221" s="26"/>
    </row>
    <row r="222" spans="8:24" x14ac:dyDescent="0.2">
      <c r="H222" s="26"/>
      <c r="I222" s="26"/>
      <c r="J222" s="26"/>
      <c r="W222" s="26"/>
      <c r="X222" s="26"/>
    </row>
    <row r="223" spans="8:24" x14ac:dyDescent="0.2">
      <c r="H223" s="26"/>
      <c r="I223" s="26"/>
      <c r="J223" s="26"/>
      <c r="W223" s="26"/>
      <c r="X223" s="26"/>
    </row>
    <row r="224" spans="8:24" x14ac:dyDescent="0.2">
      <c r="H224" s="26"/>
      <c r="I224" s="26"/>
      <c r="J224" s="26"/>
      <c r="W224" s="26"/>
      <c r="X224" s="26"/>
    </row>
    <row r="225" spans="8:24" x14ac:dyDescent="0.2">
      <c r="H225" s="26"/>
      <c r="I225" s="26"/>
      <c r="J225" s="26"/>
      <c r="W225" s="26"/>
      <c r="X225" s="26"/>
    </row>
    <row r="226" spans="8:24" x14ac:dyDescent="0.2">
      <c r="H226" s="26"/>
      <c r="I226" s="26"/>
      <c r="J226" s="26"/>
      <c r="W226" s="26"/>
      <c r="X226" s="26"/>
    </row>
    <row r="227" spans="8:24" x14ac:dyDescent="0.2">
      <c r="H227" s="26"/>
      <c r="I227" s="26"/>
      <c r="J227" s="26"/>
      <c r="W227" s="26"/>
      <c r="X227" s="26"/>
    </row>
    <row r="228" spans="8:24" x14ac:dyDescent="0.2">
      <c r="H228" s="26"/>
      <c r="I228" s="26"/>
      <c r="J228" s="26"/>
      <c r="W228" s="26"/>
      <c r="X228" s="26"/>
    </row>
    <row r="229" spans="8:24" x14ac:dyDescent="0.2">
      <c r="H229" s="26"/>
      <c r="I229" s="26"/>
      <c r="J229" s="26"/>
      <c r="W229" s="26"/>
      <c r="X229" s="26"/>
    </row>
    <row r="230" spans="8:24" x14ac:dyDescent="0.2">
      <c r="H230" s="26"/>
      <c r="I230" s="26"/>
      <c r="J230" s="26"/>
      <c r="W230" s="26"/>
      <c r="X230" s="26"/>
    </row>
    <row r="231" spans="8:24" x14ac:dyDescent="0.2">
      <c r="H231" s="26"/>
      <c r="I231" s="26"/>
      <c r="J231" s="26"/>
      <c r="W231" s="26"/>
      <c r="X231" s="26"/>
    </row>
    <row r="232" spans="8:24" x14ac:dyDescent="0.2">
      <c r="H232" s="26"/>
      <c r="I232" s="26"/>
      <c r="J232" s="26"/>
      <c r="W232" s="26"/>
      <c r="X232" s="26"/>
    </row>
    <row r="233" spans="8:24" x14ac:dyDescent="0.2">
      <c r="H233" s="26"/>
      <c r="I233" s="26"/>
      <c r="J233" s="26"/>
      <c r="W233" s="26"/>
      <c r="X233" s="26"/>
    </row>
    <row r="234" spans="8:24" x14ac:dyDescent="0.2">
      <c r="H234" s="26"/>
      <c r="I234" s="26"/>
      <c r="J234" s="26"/>
      <c r="W234" s="26"/>
      <c r="X234" s="26"/>
    </row>
    <row r="235" spans="8:24" x14ac:dyDescent="0.2">
      <c r="H235" s="26"/>
      <c r="I235" s="26"/>
      <c r="J235" s="26"/>
      <c r="W235" s="26"/>
      <c r="X235" s="26"/>
    </row>
    <row r="236" spans="8:24" x14ac:dyDescent="0.2">
      <c r="H236" s="26"/>
      <c r="I236" s="26"/>
      <c r="J236" s="26"/>
      <c r="W236" s="26"/>
      <c r="X236" s="26"/>
    </row>
    <row r="237" spans="8:24" x14ac:dyDescent="0.2">
      <c r="H237" s="26"/>
      <c r="I237" s="26"/>
      <c r="J237" s="26"/>
      <c r="W237" s="26"/>
      <c r="X237" s="26"/>
    </row>
    <row r="238" spans="8:24" x14ac:dyDescent="0.2">
      <c r="H238" s="26"/>
      <c r="I238" s="26"/>
      <c r="J238" s="26"/>
      <c r="W238" s="26"/>
      <c r="X238" s="26"/>
    </row>
    <row r="239" spans="8:24" x14ac:dyDescent="0.2">
      <c r="H239" s="26"/>
      <c r="I239" s="26"/>
      <c r="J239" s="26"/>
      <c r="W239" s="26"/>
      <c r="X239" s="26"/>
    </row>
    <row r="240" spans="8:24" x14ac:dyDescent="0.2">
      <c r="H240" s="26"/>
      <c r="I240" s="26"/>
      <c r="J240" s="26"/>
      <c r="W240" s="26"/>
      <c r="X240" s="26"/>
    </row>
    <row r="241" spans="8:24" x14ac:dyDescent="0.2">
      <c r="H241" s="26"/>
      <c r="I241" s="26"/>
      <c r="J241" s="26"/>
      <c r="W241" s="26"/>
      <c r="X241" s="26"/>
    </row>
    <row r="242" spans="8:24" x14ac:dyDescent="0.2">
      <c r="H242" s="26"/>
      <c r="I242" s="26"/>
      <c r="J242" s="26"/>
      <c r="W242" s="26"/>
      <c r="X242" s="26"/>
    </row>
    <row r="243" spans="8:24" x14ac:dyDescent="0.2">
      <c r="H243" s="26"/>
      <c r="I243" s="26"/>
      <c r="J243" s="26"/>
      <c r="W243" s="26"/>
      <c r="X243" s="26"/>
    </row>
    <row r="244" spans="8:24" x14ac:dyDescent="0.2">
      <c r="H244" s="26"/>
      <c r="I244" s="26"/>
      <c r="J244" s="26"/>
      <c r="W244" s="26"/>
      <c r="X244" s="26"/>
    </row>
    <row r="245" spans="8:24" x14ac:dyDescent="0.2">
      <c r="H245" s="26"/>
      <c r="I245" s="26"/>
      <c r="J245" s="26"/>
      <c r="W245" s="26"/>
      <c r="X245" s="26"/>
    </row>
    <row r="246" spans="8:24" x14ac:dyDescent="0.2">
      <c r="H246" s="26"/>
      <c r="I246" s="26"/>
      <c r="J246" s="26"/>
      <c r="W246" s="26"/>
      <c r="X246" s="26"/>
    </row>
    <row r="247" spans="8:24" x14ac:dyDescent="0.2">
      <c r="H247" s="26"/>
      <c r="I247" s="26"/>
      <c r="J247" s="26"/>
      <c r="W247" s="26"/>
      <c r="X247" s="26"/>
    </row>
    <row r="248" spans="8:24" x14ac:dyDescent="0.2">
      <c r="H248" s="26"/>
      <c r="I248" s="26"/>
      <c r="J248" s="26"/>
      <c r="W248" s="26"/>
      <c r="X248" s="26"/>
    </row>
    <row r="249" spans="8:24" x14ac:dyDescent="0.2">
      <c r="H249" s="26"/>
      <c r="I249" s="26"/>
      <c r="J249" s="26"/>
      <c r="W249" s="26"/>
      <c r="X249" s="26"/>
    </row>
    <row r="250" spans="8:24" x14ac:dyDescent="0.2">
      <c r="H250" s="26"/>
      <c r="I250" s="26"/>
      <c r="J250" s="26"/>
      <c r="W250" s="26"/>
      <c r="X250" s="26"/>
    </row>
    <row r="251" spans="8:24" x14ac:dyDescent="0.2">
      <c r="H251" s="26"/>
      <c r="I251" s="26"/>
      <c r="J251" s="26"/>
      <c r="W251" s="26"/>
      <c r="X251" s="26"/>
    </row>
    <row r="252" spans="8:24" x14ac:dyDescent="0.2">
      <c r="H252" s="26"/>
      <c r="I252" s="26"/>
      <c r="J252" s="26"/>
      <c r="W252" s="26"/>
      <c r="X252" s="26"/>
    </row>
    <row r="253" spans="8:24" x14ac:dyDescent="0.2">
      <c r="H253" s="26"/>
      <c r="I253" s="26"/>
      <c r="J253" s="26"/>
      <c r="W253" s="26"/>
      <c r="X253" s="26"/>
    </row>
    <row r="254" spans="8:24" x14ac:dyDescent="0.2">
      <c r="H254" s="26"/>
      <c r="I254" s="26"/>
      <c r="J254" s="26"/>
      <c r="W254" s="26"/>
      <c r="X254" s="26"/>
    </row>
    <row r="255" spans="8:24" x14ac:dyDescent="0.2">
      <c r="H255" s="26"/>
      <c r="I255" s="26"/>
      <c r="J255" s="26"/>
      <c r="W255" s="26"/>
      <c r="X255" s="26"/>
    </row>
    <row r="256" spans="8:24" x14ac:dyDescent="0.2">
      <c r="H256" s="26"/>
      <c r="I256" s="26"/>
      <c r="J256" s="26"/>
      <c r="W256" s="26"/>
      <c r="X256" s="26"/>
    </row>
    <row r="257" spans="8:24" x14ac:dyDescent="0.2">
      <c r="H257" s="26"/>
      <c r="I257" s="26"/>
      <c r="J257" s="26"/>
      <c r="W257" s="26"/>
      <c r="X257" s="26"/>
    </row>
    <row r="258" spans="8:24" x14ac:dyDescent="0.2">
      <c r="H258" s="26"/>
      <c r="I258" s="26"/>
      <c r="J258" s="26"/>
      <c r="W258" s="26"/>
      <c r="X258" s="26"/>
    </row>
    <row r="259" spans="8:24" x14ac:dyDescent="0.2">
      <c r="H259" s="26"/>
      <c r="I259" s="26"/>
      <c r="J259" s="26"/>
      <c r="W259" s="26"/>
      <c r="X259" s="26"/>
    </row>
    <row r="260" spans="8:24" x14ac:dyDescent="0.2">
      <c r="H260" s="26"/>
      <c r="I260" s="26"/>
      <c r="J260" s="26"/>
      <c r="W260" s="26"/>
      <c r="X260" s="26"/>
    </row>
    <row r="261" spans="8:24" x14ac:dyDescent="0.2">
      <c r="H261" s="26"/>
      <c r="I261" s="26"/>
      <c r="J261" s="26"/>
      <c r="W261" s="26"/>
      <c r="X261" s="26"/>
    </row>
    <row r="262" spans="8:24" x14ac:dyDescent="0.2">
      <c r="H262" s="26"/>
      <c r="I262" s="26"/>
      <c r="J262" s="26"/>
      <c r="W262" s="26"/>
      <c r="X262" s="26"/>
    </row>
    <row r="263" spans="8:24" x14ac:dyDescent="0.2">
      <c r="H263" s="26"/>
      <c r="I263" s="26"/>
      <c r="J263" s="26"/>
      <c r="W263" s="26"/>
      <c r="X263" s="26"/>
    </row>
    <row r="264" spans="8:24" x14ac:dyDescent="0.2">
      <c r="H264" s="26"/>
      <c r="I264" s="26"/>
      <c r="J264" s="26"/>
      <c r="W264" s="26"/>
      <c r="X264" s="26"/>
    </row>
    <row r="265" spans="8:24" x14ac:dyDescent="0.2">
      <c r="H265" s="26"/>
      <c r="I265" s="26"/>
      <c r="J265" s="26"/>
      <c r="W265" s="26"/>
      <c r="X265" s="26"/>
    </row>
    <row r="266" spans="8:24" x14ac:dyDescent="0.2">
      <c r="H266" s="26"/>
      <c r="I266" s="26"/>
      <c r="J266" s="26"/>
      <c r="W266" s="26"/>
      <c r="X266" s="26"/>
    </row>
    <row r="267" spans="8:24" x14ac:dyDescent="0.2">
      <c r="H267" s="26"/>
      <c r="I267" s="26"/>
      <c r="J267" s="26"/>
      <c r="W267" s="26"/>
      <c r="X267" s="26"/>
    </row>
    <row r="268" spans="8:24" x14ac:dyDescent="0.2">
      <c r="H268" s="26"/>
      <c r="I268" s="26"/>
      <c r="J268" s="26"/>
      <c r="W268" s="26"/>
      <c r="X268" s="26"/>
    </row>
    <row r="269" spans="8:24" x14ac:dyDescent="0.2">
      <c r="H269" s="26"/>
      <c r="I269" s="26"/>
      <c r="J269" s="26"/>
      <c r="W269" s="26"/>
      <c r="X269" s="26"/>
    </row>
    <row r="270" spans="8:24" x14ac:dyDescent="0.2">
      <c r="H270" s="26"/>
      <c r="I270" s="26"/>
      <c r="J270" s="26"/>
      <c r="W270" s="26"/>
      <c r="X270" s="26"/>
    </row>
    <row r="271" spans="8:24" x14ac:dyDescent="0.2">
      <c r="H271" s="26"/>
      <c r="I271" s="26"/>
      <c r="J271" s="26"/>
      <c r="W271" s="26"/>
      <c r="X271" s="26"/>
    </row>
    <row r="272" spans="8:24" x14ac:dyDescent="0.2">
      <c r="H272" s="26"/>
      <c r="I272" s="26"/>
      <c r="J272" s="26"/>
      <c r="W272" s="26"/>
      <c r="X272" s="26"/>
    </row>
    <row r="273" spans="8:24" x14ac:dyDescent="0.2">
      <c r="H273" s="26"/>
      <c r="I273" s="26"/>
      <c r="J273" s="26"/>
      <c r="W273" s="26"/>
      <c r="X273" s="26"/>
    </row>
    <row r="274" spans="8:24" x14ac:dyDescent="0.2">
      <c r="H274" s="26"/>
      <c r="I274" s="26"/>
      <c r="J274" s="26"/>
      <c r="W274" s="26"/>
      <c r="X274" s="26"/>
    </row>
    <row r="275" spans="8:24" x14ac:dyDescent="0.2">
      <c r="H275" s="26"/>
      <c r="I275" s="26"/>
      <c r="J275" s="26"/>
      <c r="W275" s="26"/>
      <c r="X275" s="26"/>
    </row>
    <row r="276" spans="8:24" x14ac:dyDescent="0.2">
      <c r="H276" s="26"/>
      <c r="I276" s="26"/>
      <c r="J276" s="26"/>
      <c r="W276" s="26"/>
      <c r="X276" s="26"/>
    </row>
    <row r="277" spans="8:24" x14ac:dyDescent="0.2">
      <c r="H277" s="26"/>
      <c r="I277" s="26"/>
      <c r="J277" s="26"/>
      <c r="W277" s="26"/>
      <c r="X277" s="26"/>
    </row>
    <row r="278" spans="8:24" x14ac:dyDescent="0.2">
      <c r="H278" s="26"/>
      <c r="I278" s="26"/>
      <c r="J278" s="26"/>
      <c r="W278" s="26"/>
      <c r="X278" s="26"/>
    </row>
    <row r="279" spans="8:24" x14ac:dyDescent="0.2">
      <c r="H279" s="26"/>
      <c r="I279" s="26"/>
      <c r="J279" s="26"/>
      <c r="W279" s="26"/>
      <c r="X279" s="26"/>
    </row>
    <row r="280" spans="8:24" x14ac:dyDescent="0.2">
      <c r="H280" s="26"/>
      <c r="I280" s="26"/>
      <c r="J280" s="26"/>
      <c r="W280" s="26"/>
      <c r="X280" s="26"/>
    </row>
    <row r="281" spans="8:24" x14ac:dyDescent="0.2">
      <c r="H281" s="26"/>
      <c r="I281" s="26"/>
      <c r="J281" s="26"/>
      <c r="W281" s="26"/>
      <c r="X281" s="26"/>
    </row>
    <row r="282" spans="8:24" x14ac:dyDescent="0.2">
      <c r="H282" s="26"/>
      <c r="I282" s="26"/>
      <c r="J282" s="26"/>
      <c r="W282" s="26"/>
      <c r="X282" s="26"/>
    </row>
    <row r="283" spans="8:24" x14ac:dyDescent="0.2">
      <c r="H283" s="26"/>
      <c r="I283" s="26"/>
      <c r="J283" s="26"/>
      <c r="W283" s="26"/>
      <c r="X283" s="26"/>
    </row>
    <row r="284" spans="8:24" x14ac:dyDescent="0.2">
      <c r="H284" s="26"/>
      <c r="I284" s="26"/>
      <c r="J284" s="26"/>
      <c r="W284" s="26"/>
      <c r="X284" s="26"/>
    </row>
    <row r="285" spans="8:24" x14ac:dyDescent="0.2">
      <c r="H285" s="26"/>
      <c r="I285" s="26"/>
      <c r="J285" s="26"/>
      <c r="W285" s="26"/>
      <c r="X285" s="26"/>
    </row>
    <row r="286" spans="8:24" x14ac:dyDescent="0.2">
      <c r="H286" s="26"/>
      <c r="I286" s="26"/>
      <c r="J286" s="26"/>
      <c r="W286" s="26"/>
      <c r="X286" s="26"/>
    </row>
    <row r="287" spans="8:24" x14ac:dyDescent="0.2">
      <c r="H287" s="26"/>
      <c r="I287" s="26"/>
      <c r="J287" s="26"/>
      <c r="W287" s="26"/>
      <c r="X287" s="26"/>
    </row>
    <row r="288" spans="8:24" x14ac:dyDescent="0.2">
      <c r="H288" s="26"/>
      <c r="I288" s="26"/>
      <c r="J288" s="26"/>
      <c r="W288" s="26"/>
      <c r="X288" s="26"/>
    </row>
    <row r="289" spans="8:24" x14ac:dyDescent="0.2">
      <c r="H289" s="26"/>
      <c r="I289" s="26"/>
      <c r="J289" s="26"/>
      <c r="W289" s="26"/>
      <c r="X289" s="26"/>
    </row>
    <row r="290" spans="8:24" x14ac:dyDescent="0.2">
      <c r="H290" s="26"/>
      <c r="I290" s="26"/>
      <c r="J290" s="26"/>
      <c r="W290" s="26"/>
      <c r="X290" s="26"/>
    </row>
    <row r="291" spans="8:24" x14ac:dyDescent="0.2">
      <c r="H291" s="26"/>
      <c r="I291" s="26"/>
      <c r="J291" s="26"/>
      <c r="W291" s="26"/>
      <c r="X291" s="26"/>
    </row>
    <row r="292" spans="8:24" x14ac:dyDescent="0.2">
      <c r="H292" s="26"/>
      <c r="I292" s="26"/>
      <c r="J292" s="26"/>
      <c r="W292" s="26"/>
      <c r="X292" s="26"/>
    </row>
    <row r="293" spans="8:24" x14ac:dyDescent="0.2">
      <c r="H293" s="26"/>
      <c r="I293" s="26"/>
      <c r="J293" s="26"/>
      <c r="W293" s="26"/>
      <c r="X293" s="26"/>
    </row>
    <row r="294" spans="8:24" x14ac:dyDescent="0.2">
      <c r="H294" s="26"/>
      <c r="I294" s="26"/>
      <c r="J294" s="26"/>
      <c r="W294" s="26"/>
      <c r="X294" s="26"/>
    </row>
    <row r="295" spans="8:24" x14ac:dyDescent="0.2">
      <c r="H295" s="26"/>
      <c r="I295" s="26"/>
      <c r="J295" s="26"/>
      <c r="W295" s="26"/>
      <c r="X295" s="26"/>
    </row>
    <row r="296" spans="8:24" x14ac:dyDescent="0.2">
      <c r="H296" s="26"/>
      <c r="I296" s="26"/>
      <c r="J296" s="26"/>
      <c r="W296" s="26"/>
      <c r="X296" s="26"/>
    </row>
    <row r="297" spans="8:24" x14ac:dyDescent="0.2">
      <c r="H297" s="26"/>
      <c r="I297" s="26"/>
      <c r="J297" s="26"/>
      <c r="W297" s="26"/>
      <c r="X297" s="26"/>
    </row>
    <row r="298" spans="8:24" x14ac:dyDescent="0.2">
      <c r="H298" s="26"/>
      <c r="I298" s="26"/>
      <c r="J298" s="26"/>
      <c r="W298" s="26"/>
      <c r="X298" s="26"/>
    </row>
    <row r="299" spans="8:24" x14ac:dyDescent="0.2">
      <c r="H299" s="26"/>
      <c r="I299" s="26"/>
      <c r="J299" s="26"/>
      <c r="W299" s="26"/>
      <c r="X299" s="26"/>
    </row>
    <row r="300" spans="8:24" x14ac:dyDescent="0.2">
      <c r="H300" s="26"/>
      <c r="I300" s="26"/>
      <c r="J300" s="26"/>
      <c r="W300" s="26"/>
      <c r="X300" s="26"/>
    </row>
    <row r="301" spans="8:24" x14ac:dyDescent="0.2">
      <c r="H301" s="26"/>
      <c r="I301" s="26"/>
      <c r="J301" s="26"/>
      <c r="W301" s="26"/>
      <c r="X301" s="26"/>
    </row>
    <row r="302" spans="8:24" x14ac:dyDescent="0.2">
      <c r="H302" s="26"/>
      <c r="I302" s="26"/>
      <c r="J302" s="26"/>
      <c r="W302" s="26"/>
      <c r="X302" s="26"/>
    </row>
    <row r="303" spans="8:24" x14ac:dyDescent="0.2">
      <c r="H303" s="26"/>
      <c r="I303" s="26"/>
      <c r="J303" s="26"/>
      <c r="W303" s="26"/>
      <c r="X303" s="26"/>
    </row>
    <row r="304" spans="8:24" x14ac:dyDescent="0.2">
      <c r="H304" s="26"/>
      <c r="I304" s="26"/>
      <c r="J304" s="26"/>
      <c r="W304" s="26"/>
      <c r="X304" s="26"/>
    </row>
    <row r="305" spans="8:24" x14ac:dyDescent="0.2">
      <c r="H305" s="26"/>
      <c r="I305" s="26"/>
      <c r="J305" s="26"/>
      <c r="W305" s="26"/>
      <c r="X305" s="26"/>
    </row>
    <row r="306" spans="8:24" x14ac:dyDescent="0.2">
      <c r="H306" s="26"/>
      <c r="I306" s="26"/>
      <c r="J306" s="26"/>
      <c r="W306" s="26"/>
      <c r="X306" s="26"/>
    </row>
    <row r="307" spans="8:24" x14ac:dyDescent="0.2">
      <c r="H307" s="26"/>
      <c r="I307" s="26"/>
      <c r="J307" s="26"/>
      <c r="W307" s="26"/>
      <c r="X307" s="26"/>
    </row>
    <row r="308" spans="8:24" x14ac:dyDescent="0.2">
      <c r="H308" s="26"/>
      <c r="I308" s="26"/>
      <c r="J308" s="26"/>
      <c r="W308" s="26"/>
      <c r="X308" s="26"/>
    </row>
    <row r="309" spans="8:24" x14ac:dyDescent="0.2">
      <c r="H309" s="26"/>
      <c r="I309" s="26"/>
      <c r="J309" s="26"/>
      <c r="W309" s="26"/>
      <c r="X309" s="26"/>
    </row>
    <row r="310" spans="8:24" x14ac:dyDescent="0.2">
      <c r="H310" s="26"/>
      <c r="I310" s="26"/>
      <c r="J310" s="26"/>
      <c r="W310" s="26"/>
      <c r="X310" s="26"/>
    </row>
    <row r="311" spans="8:24" x14ac:dyDescent="0.2">
      <c r="H311" s="26"/>
      <c r="I311" s="26"/>
      <c r="J311" s="26"/>
      <c r="W311" s="26"/>
      <c r="X311" s="26"/>
    </row>
    <row r="312" spans="8:24" x14ac:dyDescent="0.2">
      <c r="H312" s="26"/>
      <c r="I312" s="26"/>
      <c r="J312" s="26"/>
      <c r="W312" s="26"/>
      <c r="X312" s="26"/>
    </row>
    <row r="313" spans="8:24" x14ac:dyDescent="0.2">
      <c r="H313" s="26"/>
      <c r="I313" s="26"/>
      <c r="J313" s="26"/>
      <c r="W313" s="26"/>
      <c r="X313" s="26"/>
    </row>
    <row r="314" spans="8:24" x14ac:dyDescent="0.2">
      <c r="H314" s="26"/>
      <c r="I314" s="26"/>
      <c r="J314" s="26"/>
      <c r="W314" s="26"/>
      <c r="X314" s="26"/>
    </row>
    <row r="315" spans="8:24" x14ac:dyDescent="0.2">
      <c r="H315" s="26"/>
      <c r="I315" s="26"/>
      <c r="J315" s="26"/>
      <c r="W315" s="26"/>
      <c r="X315" s="26"/>
    </row>
    <row r="316" spans="8:24" x14ac:dyDescent="0.2">
      <c r="H316" s="26"/>
      <c r="I316" s="26"/>
      <c r="J316" s="26"/>
      <c r="W316" s="26"/>
      <c r="X316" s="26"/>
    </row>
    <row r="317" spans="8:24" x14ac:dyDescent="0.2">
      <c r="H317" s="26"/>
      <c r="I317" s="26"/>
      <c r="J317" s="26"/>
      <c r="W317" s="26"/>
      <c r="X317" s="26"/>
    </row>
    <row r="318" spans="8:24" x14ac:dyDescent="0.2">
      <c r="H318" s="26"/>
      <c r="I318" s="26"/>
      <c r="J318" s="26"/>
      <c r="W318" s="26"/>
      <c r="X318" s="26"/>
    </row>
    <row r="319" spans="8:24" x14ac:dyDescent="0.2">
      <c r="H319" s="26"/>
      <c r="I319" s="26"/>
      <c r="J319" s="26"/>
      <c r="W319" s="26"/>
      <c r="X319" s="26"/>
    </row>
    <row r="320" spans="8:24" x14ac:dyDescent="0.2">
      <c r="H320" s="26"/>
      <c r="I320" s="26"/>
      <c r="J320" s="26"/>
      <c r="W320" s="26"/>
      <c r="X320" s="26"/>
    </row>
    <row r="321" spans="8:24" x14ac:dyDescent="0.2">
      <c r="H321" s="26"/>
      <c r="I321" s="26"/>
      <c r="J321" s="26"/>
      <c r="W321" s="26"/>
      <c r="X321" s="26"/>
    </row>
    <row r="322" spans="8:24" x14ac:dyDescent="0.2">
      <c r="H322" s="26"/>
      <c r="I322" s="26"/>
      <c r="J322" s="26"/>
      <c r="W322" s="26"/>
      <c r="X322" s="26"/>
    </row>
    <row r="323" spans="8:24" x14ac:dyDescent="0.2">
      <c r="H323" s="26"/>
      <c r="I323" s="26"/>
      <c r="J323" s="26"/>
      <c r="W323" s="26"/>
      <c r="X323" s="26"/>
    </row>
    <row r="324" spans="8:24" x14ac:dyDescent="0.2">
      <c r="H324" s="26"/>
      <c r="I324" s="26"/>
      <c r="J324" s="26"/>
      <c r="W324" s="26"/>
      <c r="X324" s="26"/>
    </row>
    <row r="325" spans="8:24" x14ac:dyDescent="0.2">
      <c r="H325" s="26"/>
      <c r="I325" s="26"/>
      <c r="J325" s="26"/>
      <c r="W325" s="26"/>
      <c r="X325" s="26"/>
    </row>
    <row r="326" spans="8:24" x14ac:dyDescent="0.2">
      <c r="H326" s="26"/>
      <c r="I326" s="26"/>
      <c r="J326" s="26"/>
      <c r="W326" s="26"/>
      <c r="X326" s="26"/>
    </row>
    <row r="327" spans="8:24" x14ac:dyDescent="0.2">
      <c r="H327" s="26"/>
      <c r="I327" s="26"/>
      <c r="J327" s="26"/>
      <c r="W327" s="26"/>
      <c r="X327" s="26"/>
    </row>
    <row r="328" spans="8:24" x14ac:dyDescent="0.2">
      <c r="H328" s="26"/>
      <c r="I328" s="26"/>
      <c r="J328" s="26"/>
      <c r="W328" s="26"/>
      <c r="X328" s="26"/>
    </row>
    <row r="329" spans="8:24" x14ac:dyDescent="0.2">
      <c r="H329" s="26"/>
      <c r="I329" s="26"/>
      <c r="J329" s="26"/>
      <c r="W329" s="26"/>
      <c r="X329" s="26"/>
    </row>
    <row r="330" spans="8:24" x14ac:dyDescent="0.2">
      <c r="H330" s="26"/>
      <c r="I330" s="26"/>
      <c r="J330" s="26"/>
      <c r="W330" s="26"/>
      <c r="X330" s="26"/>
    </row>
    <row r="331" spans="8:24" x14ac:dyDescent="0.2">
      <c r="H331" s="26"/>
      <c r="I331" s="26"/>
      <c r="J331" s="26"/>
      <c r="W331" s="26"/>
      <c r="X331" s="26"/>
    </row>
    <row r="332" spans="8:24" x14ac:dyDescent="0.2">
      <c r="H332" s="26"/>
      <c r="I332" s="26"/>
      <c r="J332" s="26"/>
      <c r="W332" s="26"/>
      <c r="X332" s="26"/>
    </row>
    <row r="333" spans="8:24" x14ac:dyDescent="0.2">
      <c r="H333" s="26"/>
      <c r="I333" s="26"/>
      <c r="J333" s="26"/>
      <c r="W333" s="26"/>
      <c r="X333" s="26"/>
    </row>
    <row r="334" spans="8:24" x14ac:dyDescent="0.2">
      <c r="H334" s="26"/>
      <c r="I334" s="26"/>
      <c r="J334" s="26"/>
      <c r="W334" s="26"/>
      <c r="X334" s="26"/>
    </row>
    <row r="335" spans="8:24" x14ac:dyDescent="0.2">
      <c r="H335" s="26"/>
      <c r="I335" s="26"/>
      <c r="J335" s="26"/>
      <c r="W335" s="26"/>
      <c r="X335" s="26"/>
    </row>
    <row r="336" spans="8:24" x14ac:dyDescent="0.2">
      <c r="H336" s="26"/>
      <c r="I336" s="26"/>
      <c r="J336" s="26"/>
      <c r="W336" s="26"/>
      <c r="X336" s="26"/>
    </row>
    <row r="337" spans="8:24" x14ac:dyDescent="0.2">
      <c r="H337" s="26"/>
      <c r="I337" s="26"/>
      <c r="J337" s="26"/>
      <c r="W337" s="26"/>
      <c r="X337" s="26"/>
    </row>
    <row r="338" spans="8:24" x14ac:dyDescent="0.2">
      <c r="H338" s="26"/>
      <c r="I338" s="26"/>
      <c r="J338" s="26"/>
      <c r="W338" s="26"/>
      <c r="X338" s="26"/>
    </row>
    <row r="339" spans="8:24" x14ac:dyDescent="0.2">
      <c r="H339" s="26"/>
      <c r="I339" s="26"/>
      <c r="J339" s="26"/>
      <c r="W339" s="26"/>
      <c r="X339" s="26"/>
    </row>
    <row r="340" spans="8:24" x14ac:dyDescent="0.2">
      <c r="H340" s="26"/>
      <c r="I340" s="26"/>
      <c r="J340" s="26"/>
      <c r="W340" s="26"/>
      <c r="X340" s="26"/>
    </row>
    <row r="341" spans="8:24" x14ac:dyDescent="0.2">
      <c r="H341" s="26"/>
      <c r="I341" s="26"/>
      <c r="J341" s="26"/>
      <c r="W341" s="26"/>
      <c r="X341" s="26"/>
    </row>
    <row r="342" spans="8:24" x14ac:dyDescent="0.2">
      <c r="H342" s="26"/>
      <c r="I342" s="26"/>
      <c r="J342" s="26"/>
      <c r="W342" s="26"/>
      <c r="X342" s="26"/>
    </row>
    <row r="343" spans="8:24" x14ac:dyDescent="0.2">
      <c r="H343" s="26"/>
      <c r="I343" s="26"/>
      <c r="J343" s="26"/>
      <c r="W343" s="26"/>
      <c r="X343" s="26"/>
    </row>
    <row r="344" spans="8:24" x14ac:dyDescent="0.2">
      <c r="H344" s="26"/>
      <c r="I344" s="26"/>
      <c r="J344" s="26"/>
      <c r="W344" s="26"/>
      <c r="X344" s="26"/>
    </row>
    <row r="345" spans="8:24" x14ac:dyDescent="0.2">
      <c r="H345" s="26"/>
      <c r="I345" s="26"/>
      <c r="J345" s="26"/>
      <c r="W345" s="26"/>
      <c r="X345" s="26"/>
    </row>
    <row r="346" spans="8:24" x14ac:dyDescent="0.2">
      <c r="H346" s="26"/>
      <c r="I346" s="26"/>
      <c r="J346" s="26"/>
      <c r="W346" s="26"/>
      <c r="X346" s="26"/>
    </row>
    <row r="347" spans="8:24" x14ac:dyDescent="0.2">
      <c r="H347" s="26"/>
      <c r="I347" s="26"/>
      <c r="J347" s="26"/>
      <c r="W347" s="26"/>
      <c r="X347" s="26"/>
    </row>
    <row r="348" spans="8:24" x14ac:dyDescent="0.2">
      <c r="H348" s="26"/>
      <c r="I348" s="26"/>
      <c r="J348" s="26"/>
      <c r="W348" s="26"/>
      <c r="X348" s="26"/>
    </row>
    <row r="349" spans="8:24" x14ac:dyDescent="0.2">
      <c r="H349" s="26"/>
      <c r="I349" s="26"/>
      <c r="J349" s="26"/>
      <c r="W349" s="26"/>
      <c r="X349" s="26"/>
    </row>
    <row r="350" spans="8:24" x14ac:dyDescent="0.2">
      <c r="H350" s="26"/>
      <c r="I350" s="26"/>
      <c r="J350" s="26"/>
      <c r="W350" s="26"/>
      <c r="X350" s="26"/>
    </row>
    <row r="351" spans="8:24" x14ac:dyDescent="0.2">
      <c r="H351" s="26"/>
      <c r="I351" s="26"/>
      <c r="J351" s="26"/>
      <c r="W351" s="26"/>
      <c r="X351" s="26"/>
    </row>
    <row r="352" spans="8:24" x14ac:dyDescent="0.2">
      <c r="H352" s="26"/>
      <c r="I352" s="26"/>
      <c r="J352" s="26"/>
      <c r="W352" s="26"/>
      <c r="X352" s="26"/>
    </row>
    <row r="353" spans="8:24" x14ac:dyDescent="0.2">
      <c r="H353" s="26"/>
      <c r="I353" s="26"/>
      <c r="J353" s="26"/>
      <c r="W353" s="26"/>
      <c r="X353" s="26"/>
    </row>
    <row r="354" spans="8:24" x14ac:dyDescent="0.2">
      <c r="H354" s="26"/>
      <c r="I354" s="26"/>
      <c r="J354" s="26"/>
      <c r="W354" s="26"/>
      <c r="X354" s="26"/>
    </row>
    <row r="355" spans="8:24" x14ac:dyDescent="0.2">
      <c r="H355" s="26"/>
      <c r="I355" s="26"/>
      <c r="J355" s="26"/>
      <c r="W355" s="26"/>
      <c r="X355" s="26"/>
    </row>
    <row r="356" spans="8:24" x14ac:dyDescent="0.2">
      <c r="H356" s="26"/>
      <c r="I356" s="26"/>
      <c r="J356" s="26"/>
      <c r="W356" s="26"/>
      <c r="X356" s="26"/>
    </row>
    <row r="357" spans="8:24" x14ac:dyDescent="0.2">
      <c r="H357" s="26"/>
      <c r="I357" s="26"/>
      <c r="J357" s="26"/>
      <c r="W357" s="26"/>
      <c r="X357" s="26"/>
    </row>
    <row r="358" spans="8:24" x14ac:dyDescent="0.2">
      <c r="H358" s="26"/>
      <c r="I358" s="26"/>
      <c r="J358" s="26"/>
      <c r="W358" s="26"/>
      <c r="X358" s="26"/>
    </row>
    <row r="359" spans="8:24" x14ac:dyDescent="0.2">
      <c r="H359" s="26"/>
      <c r="I359" s="26"/>
      <c r="J359" s="26"/>
      <c r="W359" s="26"/>
      <c r="X359" s="26"/>
    </row>
    <row r="360" spans="8:24" x14ac:dyDescent="0.2">
      <c r="H360" s="26"/>
      <c r="I360" s="26"/>
      <c r="J360" s="26"/>
      <c r="W360" s="26"/>
      <c r="X360" s="26"/>
    </row>
    <row r="361" spans="8:24" x14ac:dyDescent="0.2">
      <c r="H361" s="26"/>
      <c r="I361" s="26"/>
      <c r="J361" s="26"/>
      <c r="W361" s="26"/>
      <c r="X361" s="26"/>
    </row>
    <row r="362" spans="8:24" x14ac:dyDescent="0.2">
      <c r="H362" s="26"/>
      <c r="I362" s="26"/>
      <c r="J362" s="26"/>
      <c r="W362" s="26"/>
      <c r="X362" s="26"/>
    </row>
    <row r="363" spans="8:24" x14ac:dyDescent="0.2">
      <c r="H363" s="26"/>
      <c r="I363" s="26"/>
      <c r="J363" s="26"/>
      <c r="W363" s="26"/>
      <c r="X363" s="26"/>
    </row>
    <row r="364" spans="8:24" x14ac:dyDescent="0.2">
      <c r="H364" s="26"/>
      <c r="I364" s="26"/>
      <c r="J364" s="26"/>
      <c r="W364" s="26"/>
      <c r="X364" s="26"/>
    </row>
    <row r="365" spans="8:24" x14ac:dyDescent="0.2">
      <c r="H365" s="26"/>
      <c r="I365" s="26"/>
      <c r="J365" s="26"/>
      <c r="W365" s="26"/>
      <c r="X365" s="26"/>
    </row>
    <row r="366" spans="8:24" x14ac:dyDescent="0.2">
      <c r="H366" s="26"/>
      <c r="I366" s="26"/>
      <c r="J366" s="26"/>
      <c r="W366" s="26"/>
      <c r="X366" s="26"/>
    </row>
    <row r="367" spans="8:24" x14ac:dyDescent="0.2">
      <c r="H367" s="26"/>
      <c r="I367" s="26"/>
      <c r="J367" s="26"/>
      <c r="W367" s="26"/>
      <c r="X367" s="26"/>
    </row>
    <row r="368" spans="8:24" x14ac:dyDescent="0.2">
      <c r="H368" s="26"/>
      <c r="I368" s="26"/>
      <c r="J368" s="26"/>
      <c r="W368" s="26"/>
      <c r="X368" s="26"/>
    </row>
    <row r="369" spans="8:24" x14ac:dyDescent="0.2">
      <c r="H369" s="26"/>
      <c r="I369" s="26"/>
      <c r="J369" s="26"/>
      <c r="W369" s="26"/>
      <c r="X369" s="26"/>
    </row>
    <row r="370" spans="8:24" x14ac:dyDescent="0.2">
      <c r="H370" s="26"/>
      <c r="I370" s="26"/>
      <c r="J370" s="26"/>
      <c r="W370" s="26"/>
      <c r="X370" s="26"/>
    </row>
    <row r="371" spans="8:24" x14ac:dyDescent="0.2">
      <c r="H371" s="26"/>
      <c r="I371" s="26"/>
      <c r="J371" s="26"/>
      <c r="W371" s="26"/>
      <c r="X371" s="26"/>
    </row>
    <row r="372" spans="8:24" x14ac:dyDescent="0.2">
      <c r="H372" s="26"/>
      <c r="I372" s="26"/>
      <c r="J372" s="26"/>
      <c r="W372" s="26"/>
      <c r="X372" s="26"/>
    </row>
    <row r="373" spans="8:24" x14ac:dyDescent="0.2">
      <c r="H373" s="26"/>
      <c r="I373" s="26"/>
      <c r="J373" s="26"/>
      <c r="W373" s="26"/>
      <c r="X373" s="26"/>
    </row>
    <row r="374" spans="8:24" x14ac:dyDescent="0.2">
      <c r="H374" s="26"/>
      <c r="I374" s="26"/>
      <c r="J374" s="26"/>
      <c r="W374" s="26"/>
      <c r="X374" s="26"/>
    </row>
    <row r="375" spans="8:24" x14ac:dyDescent="0.2">
      <c r="H375" s="26"/>
      <c r="I375" s="26"/>
      <c r="J375" s="26"/>
      <c r="W375" s="26"/>
      <c r="X375" s="26"/>
    </row>
    <row r="376" spans="8:24" x14ac:dyDescent="0.2">
      <c r="H376" s="26"/>
      <c r="I376" s="26"/>
      <c r="J376" s="26"/>
      <c r="W376" s="26"/>
      <c r="X376" s="26"/>
    </row>
    <row r="377" spans="8:24" x14ac:dyDescent="0.2">
      <c r="H377" s="26"/>
      <c r="I377" s="26"/>
      <c r="J377" s="26"/>
      <c r="W377" s="26"/>
      <c r="X377" s="26"/>
    </row>
    <row r="378" spans="8:24" x14ac:dyDescent="0.2">
      <c r="H378" s="26"/>
      <c r="I378" s="26"/>
      <c r="J378" s="26"/>
      <c r="W378" s="26"/>
      <c r="X378" s="26"/>
    </row>
    <row r="379" spans="8:24" x14ac:dyDescent="0.2">
      <c r="H379" s="26"/>
      <c r="I379" s="26"/>
      <c r="J379" s="26"/>
      <c r="W379" s="26"/>
      <c r="X379" s="26"/>
    </row>
    <row r="380" spans="8:24" x14ac:dyDescent="0.2">
      <c r="H380" s="26"/>
      <c r="I380" s="26"/>
      <c r="J380" s="26"/>
      <c r="W380" s="26"/>
      <c r="X380" s="26"/>
    </row>
    <row r="381" spans="8:24" x14ac:dyDescent="0.2">
      <c r="H381" s="26"/>
      <c r="I381" s="26"/>
      <c r="J381" s="26"/>
      <c r="W381" s="26"/>
      <c r="X381" s="26"/>
    </row>
    <row r="382" spans="8:24" x14ac:dyDescent="0.2">
      <c r="H382" s="26"/>
      <c r="I382" s="26"/>
      <c r="J382" s="26"/>
      <c r="W382" s="26"/>
      <c r="X382" s="26"/>
    </row>
    <row r="383" spans="8:24" x14ac:dyDescent="0.2">
      <c r="H383" s="26"/>
      <c r="I383" s="26"/>
      <c r="J383" s="26"/>
      <c r="W383" s="26"/>
      <c r="X383" s="26"/>
    </row>
    <row r="384" spans="8:24" x14ac:dyDescent="0.2">
      <c r="H384" s="26"/>
      <c r="I384" s="26"/>
      <c r="J384" s="26"/>
      <c r="W384" s="26"/>
      <c r="X384" s="26"/>
    </row>
    <row r="385" spans="8:24" x14ac:dyDescent="0.2">
      <c r="H385" s="26"/>
      <c r="I385" s="26"/>
      <c r="J385" s="26"/>
      <c r="W385" s="26"/>
      <c r="X385" s="26"/>
    </row>
    <row r="386" spans="8:24" x14ac:dyDescent="0.2">
      <c r="H386" s="26"/>
      <c r="I386" s="26"/>
      <c r="J386" s="26"/>
      <c r="W386" s="26"/>
      <c r="X386" s="26"/>
    </row>
    <row r="387" spans="8:24" x14ac:dyDescent="0.2">
      <c r="H387" s="26"/>
      <c r="I387" s="26"/>
      <c r="J387" s="26"/>
      <c r="W387" s="26"/>
      <c r="X387" s="26"/>
    </row>
    <row r="388" spans="8:24" x14ac:dyDescent="0.2">
      <c r="H388" s="26"/>
      <c r="I388" s="26"/>
      <c r="J388" s="26"/>
      <c r="W388" s="26"/>
      <c r="X388" s="26"/>
    </row>
    <row r="389" spans="8:24" x14ac:dyDescent="0.2">
      <c r="H389" s="26"/>
      <c r="I389" s="26"/>
      <c r="J389" s="26"/>
      <c r="W389" s="26"/>
      <c r="X389" s="26"/>
    </row>
    <row r="390" spans="8:24" x14ac:dyDescent="0.2">
      <c r="H390" s="26"/>
      <c r="I390" s="26"/>
      <c r="J390" s="26"/>
      <c r="W390" s="26"/>
      <c r="X390" s="26"/>
    </row>
    <row r="391" spans="8:24" x14ac:dyDescent="0.2">
      <c r="H391" s="26"/>
      <c r="I391" s="26"/>
      <c r="J391" s="26"/>
      <c r="W391" s="26"/>
      <c r="X391" s="26"/>
    </row>
    <row r="392" spans="8:24" x14ac:dyDescent="0.2">
      <c r="H392" s="26"/>
      <c r="I392" s="26"/>
      <c r="J392" s="26"/>
      <c r="W392" s="26"/>
      <c r="X392" s="26"/>
    </row>
    <row r="393" spans="8:24" x14ac:dyDescent="0.2">
      <c r="H393" s="26"/>
      <c r="I393" s="26"/>
      <c r="J393" s="26"/>
      <c r="W393" s="26"/>
      <c r="X393" s="26"/>
    </row>
    <row r="394" spans="8:24" x14ac:dyDescent="0.2">
      <c r="H394" s="26"/>
      <c r="I394" s="26"/>
      <c r="J394" s="26"/>
      <c r="W394" s="26"/>
      <c r="X394" s="26"/>
    </row>
    <row r="395" spans="8:24" x14ac:dyDescent="0.2">
      <c r="H395" s="26"/>
      <c r="I395" s="26"/>
      <c r="J395" s="26"/>
      <c r="W395" s="26"/>
      <c r="X395" s="26"/>
    </row>
    <row r="396" spans="8:24" x14ac:dyDescent="0.2">
      <c r="H396" s="26"/>
      <c r="I396" s="26"/>
      <c r="J396" s="26"/>
      <c r="W396" s="26"/>
      <c r="X396" s="26"/>
    </row>
    <row r="397" spans="8:24" x14ac:dyDescent="0.2">
      <c r="H397" s="26"/>
      <c r="I397" s="26"/>
      <c r="J397" s="26"/>
      <c r="W397" s="26"/>
      <c r="X397" s="26"/>
    </row>
    <row r="398" spans="8:24" x14ac:dyDescent="0.2">
      <c r="H398" s="26"/>
      <c r="I398" s="26"/>
      <c r="J398" s="26"/>
      <c r="W398" s="26"/>
      <c r="X398" s="26"/>
    </row>
    <row r="399" spans="8:24" x14ac:dyDescent="0.2">
      <c r="H399" s="26"/>
      <c r="I399" s="26"/>
      <c r="J399" s="26"/>
      <c r="W399" s="26"/>
      <c r="X399" s="26"/>
    </row>
    <row r="400" spans="8:24" x14ac:dyDescent="0.2">
      <c r="H400" s="26"/>
      <c r="I400" s="26"/>
      <c r="J400" s="26"/>
      <c r="W400" s="26"/>
      <c r="X400" s="26"/>
    </row>
    <row r="401" spans="8:24" x14ac:dyDescent="0.2">
      <c r="H401" s="26"/>
      <c r="I401" s="26"/>
      <c r="J401" s="26"/>
      <c r="W401" s="26"/>
      <c r="X401" s="26"/>
    </row>
    <row r="402" spans="8:24" x14ac:dyDescent="0.2">
      <c r="H402" s="26"/>
      <c r="I402" s="26"/>
      <c r="J402" s="26"/>
      <c r="W402" s="26"/>
      <c r="X402" s="26"/>
    </row>
    <row r="403" spans="8:24" x14ac:dyDescent="0.2">
      <c r="H403" s="26"/>
      <c r="I403" s="26"/>
      <c r="J403" s="26"/>
      <c r="W403" s="26"/>
      <c r="X403" s="26"/>
    </row>
    <row r="404" spans="8:24" x14ac:dyDescent="0.2">
      <c r="H404" s="26"/>
      <c r="I404" s="26"/>
      <c r="J404" s="26"/>
      <c r="W404" s="26"/>
      <c r="X404" s="26"/>
    </row>
    <row r="405" spans="8:24" x14ac:dyDescent="0.2">
      <c r="H405" s="26"/>
      <c r="I405" s="26"/>
      <c r="J405" s="26"/>
      <c r="W405" s="26"/>
      <c r="X405" s="26"/>
    </row>
    <row r="406" spans="8:24" x14ac:dyDescent="0.2">
      <c r="H406" s="26"/>
      <c r="I406" s="26"/>
      <c r="J406" s="26"/>
      <c r="W406" s="26"/>
      <c r="X406" s="26"/>
    </row>
    <row r="407" spans="8:24" x14ac:dyDescent="0.2">
      <c r="H407" s="26"/>
      <c r="I407" s="26"/>
      <c r="J407" s="26"/>
      <c r="W407" s="26"/>
      <c r="X407" s="26"/>
    </row>
    <row r="408" spans="8:24" x14ac:dyDescent="0.2">
      <c r="H408" s="26"/>
      <c r="I408" s="26"/>
      <c r="J408" s="26"/>
      <c r="W408" s="26"/>
      <c r="X408" s="26"/>
    </row>
    <row r="409" spans="8:24" x14ac:dyDescent="0.2">
      <c r="H409" s="26"/>
      <c r="I409" s="26"/>
      <c r="J409" s="26"/>
      <c r="W409" s="26"/>
      <c r="X409" s="26"/>
    </row>
    <row r="410" spans="8:24" x14ac:dyDescent="0.2">
      <c r="H410" s="26"/>
      <c r="I410" s="26"/>
      <c r="J410" s="26"/>
      <c r="W410" s="26"/>
      <c r="X410" s="26"/>
    </row>
    <row r="411" spans="8:24" x14ac:dyDescent="0.2">
      <c r="H411" s="26"/>
      <c r="I411" s="26"/>
      <c r="J411" s="26"/>
      <c r="W411" s="26"/>
      <c r="X411" s="26"/>
    </row>
    <row r="412" spans="8:24" x14ac:dyDescent="0.2">
      <c r="H412" s="26"/>
      <c r="I412" s="26"/>
      <c r="J412" s="26"/>
      <c r="W412" s="26"/>
      <c r="X412" s="26"/>
    </row>
    <row r="413" spans="8:24" x14ac:dyDescent="0.2">
      <c r="H413" s="26"/>
      <c r="I413" s="26"/>
      <c r="J413" s="26"/>
      <c r="W413" s="26"/>
      <c r="X413" s="26"/>
    </row>
    <row r="414" spans="8:24" x14ac:dyDescent="0.2">
      <c r="H414" s="26"/>
      <c r="I414" s="26"/>
      <c r="J414" s="26"/>
      <c r="W414" s="26"/>
      <c r="X414" s="26"/>
    </row>
    <row r="415" spans="8:24" x14ac:dyDescent="0.2">
      <c r="H415" s="26"/>
      <c r="I415" s="26"/>
      <c r="J415" s="26"/>
      <c r="W415" s="26"/>
      <c r="X415" s="26"/>
    </row>
    <row r="416" spans="8:24" x14ac:dyDescent="0.2">
      <c r="H416" s="26"/>
      <c r="I416" s="26"/>
      <c r="J416" s="26"/>
      <c r="W416" s="26"/>
      <c r="X416" s="26"/>
    </row>
    <row r="417" spans="8:24" x14ac:dyDescent="0.2">
      <c r="H417" s="26"/>
      <c r="I417" s="26"/>
      <c r="J417" s="26"/>
      <c r="W417" s="26"/>
      <c r="X417" s="26"/>
    </row>
    <row r="418" spans="8:24" x14ac:dyDescent="0.2">
      <c r="H418" s="26"/>
      <c r="I418" s="26"/>
      <c r="J418" s="26"/>
      <c r="W418" s="26"/>
      <c r="X418" s="26"/>
    </row>
    <row r="419" spans="8:24" x14ac:dyDescent="0.2">
      <c r="H419" s="26"/>
      <c r="I419" s="26"/>
      <c r="J419" s="26"/>
      <c r="W419" s="26"/>
      <c r="X419" s="26"/>
    </row>
    <row r="420" spans="8:24" x14ac:dyDescent="0.2">
      <c r="H420" s="26"/>
      <c r="I420" s="26"/>
      <c r="J420" s="26"/>
      <c r="W420" s="26"/>
      <c r="X420" s="26"/>
    </row>
    <row r="421" spans="8:24" x14ac:dyDescent="0.2">
      <c r="H421" s="26"/>
      <c r="I421" s="26"/>
      <c r="J421" s="26"/>
      <c r="W421" s="26"/>
      <c r="X421" s="26"/>
    </row>
    <row r="422" spans="8:24" x14ac:dyDescent="0.2">
      <c r="H422" s="26"/>
      <c r="I422" s="26"/>
      <c r="J422" s="26"/>
      <c r="W422" s="26"/>
      <c r="X422" s="26"/>
    </row>
    <row r="423" spans="8:24" x14ac:dyDescent="0.2">
      <c r="H423" s="26"/>
      <c r="I423" s="26"/>
      <c r="J423" s="26"/>
      <c r="W423" s="26"/>
      <c r="X423" s="26"/>
    </row>
    <row r="424" spans="8:24" x14ac:dyDescent="0.2">
      <c r="H424" s="26"/>
      <c r="I424" s="26"/>
      <c r="J424" s="26"/>
      <c r="W424" s="26"/>
      <c r="X424" s="26"/>
    </row>
    <row r="425" spans="8:24" x14ac:dyDescent="0.2">
      <c r="H425" s="26"/>
      <c r="I425" s="26"/>
      <c r="J425" s="26"/>
      <c r="W425" s="26"/>
      <c r="X425" s="26"/>
    </row>
    <row r="426" spans="8:24" x14ac:dyDescent="0.2">
      <c r="H426" s="26"/>
      <c r="I426" s="26"/>
      <c r="J426" s="26"/>
      <c r="W426" s="26"/>
      <c r="X426" s="26"/>
    </row>
    <row r="427" spans="8:24" x14ac:dyDescent="0.2">
      <c r="H427" s="26"/>
      <c r="I427" s="26"/>
      <c r="J427" s="26"/>
      <c r="W427" s="26"/>
      <c r="X427" s="26"/>
    </row>
    <row r="428" spans="8:24" x14ac:dyDescent="0.2">
      <c r="H428" s="26"/>
      <c r="I428" s="26"/>
      <c r="J428" s="26"/>
      <c r="W428" s="26"/>
      <c r="X428" s="26"/>
    </row>
    <row r="429" spans="8:24" x14ac:dyDescent="0.2">
      <c r="H429" s="26"/>
      <c r="I429" s="26"/>
      <c r="J429" s="26"/>
      <c r="W429" s="26"/>
      <c r="X429" s="26"/>
    </row>
    <row r="430" spans="8:24" x14ac:dyDescent="0.2">
      <c r="H430" s="26"/>
      <c r="I430" s="26"/>
      <c r="J430" s="26"/>
      <c r="W430" s="26"/>
      <c r="X430" s="26"/>
    </row>
    <row r="431" spans="8:24" x14ac:dyDescent="0.2">
      <c r="H431" s="26"/>
      <c r="I431" s="26"/>
      <c r="J431" s="26"/>
      <c r="W431" s="26"/>
      <c r="X431" s="26"/>
    </row>
    <row r="432" spans="8:24" x14ac:dyDescent="0.2">
      <c r="H432" s="26"/>
      <c r="I432" s="26"/>
      <c r="J432" s="26"/>
      <c r="W432" s="26"/>
      <c r="X432" s="26"/>
    </row>
    <row r="433" spans="8:24" x14ac:dyDescent="0.2">
      <c r="H433" s="26"/>
      <c r="I433" s="26"/>
      <c r="J433" s="26"/>
      <c r="W433" s="26"/>
      <c r="X433" s="26"/>
    </row>
    <row r="434" spans="8:24" x14ac:dyDescent="0.2">
      <c r="H434" s="26"/>
      <c r="I434" s="26"/>
      <c r="J434" s="26"/>
      <c r="W434" s="26"/>
      <c r="X434" s="26"/>
    </row>
    <row r="435" spans="8:24" x14ac:dyDescent="0.2">
      <c r="H435" s="26"/>
      <c r="I435" s="26"/>
      <c r="J435" s="26"/>
      <c r="W435" s="26"/>
      <c r="X435" s="26"/>
    </row>
    <row r="436" spans="8:24" x14ac:dyDescent="0.2">
      <c r="H436" s="26"/>
      <c r="I436" s="26"/>
      <c r="J436" s="26"/>
      <c r="W436" s="26"/>
      <c r="X436" s="26"/>
    </row>
    <row r="437" spans="8:24" x14ac:dyDescent="0.2">
      <c r="H437" s="26"/>
      <c r="I437" s="26"/>
      <c r="J437" s="26"/>
      <c r="W437" s="26"/>
      <c r="X437" s="26"/>
    </row>
    <row r="438" spans="8:24" x14ac:dyDescent="0.2">
      <c r="H438" s="26"/>
      <c r="I438" s="26"/>
      <c r="J438" s="26"/>
      <c r="W438" s="26"/>
      <c r="X438" s="26"/>
    </row>
    <row r="439" spans="8:24" x14ac:dyDescent="0.2">
      <c r="H439" s="26"/>
      <c r="I439" s="26"/>
      <c r="J439" s="26"/>
      <c r="W439" s="26"/>
      <c r="X439" s="26"/>
    </row>
    <row r="440" spans="8:24" x14ac:dyDescent="0.2">
      <c r="H440" s="26"/>
      <c r="I440" s="26"/>
      <c r="J440" s="26"/>
      <c r="W440" s="26"/>
      <c r="X440" s="26"/>
    </row>
    <row r="441" spans="8:24" x14ac:dyDescent="0.2">
      <c r="H441" s="26"/>
      <c r="I441" s="26"/>
      <c r="J441" s="26"/>
      <c r="W441" s="26"/>
      <c r="X441" s="26"/>
    </row>
    <row r="442" spans="8:24" x14ac:dyDescent="0.2">
      <c r="H442" s="26"/>
      <c r="I442" s="26"/>
      <c r="J442" s="26"/>
      <c r="W442" s="26"/>
      <c r="X442" s="26"/>
    </row>
    <row r="443" spans="8:24" x14ac:dyDescent="0.2">
      <c r="H443" s="26"/>
      <c r="I443" s="26"/>
      <c r="J443" s="26"/>
      <c r="W443" s="26"/>
      <c r="X443" s="26"/>
    </row>
    <row r="444" spans="8:24" x14ac:dyDescent="0.2">
      <c r="H444" s="26"/>
      <c r="I444" s="26"/>
      <c r="J444" s="26"/>
      <c r="W444" s="26"/>
      <c r="X444" s="26"/>
    </row>
    <row r="445" spans="8:24" x14ac:dyDescent="0.2">
      <c r="H445" s="26"/>
      <c r="I445" s="26"/>
      <c r="J445" s="26"/>
      <c r="W445" s="26"/>
      <c r="X445" s="26"/>
    </row>
    <row r="446" spans="8:24" x14ac:dyDescent="0.2">
      <c r="H446" s="26"/>
      <c r="I446" s="26"/>
      <c r="J446" s="26"/>
      <c r="W446" s="26"/>
      <c r="X446" s="26"/>
    </row>
    <row r="447" spans="8:24" x14ac:dyDescent="0.2">
      <c r="H447" s="26"/>
      <c r="I447" s="26"/>
      <c r="J447" s="26"/>
      <c r="W447" s="26"/>
      <c r="X447" s="26"/>
    </row>
    <row r="448" spans="8:24" x14ac:dyDescent="0.2">
      <c r="H448" s="26"/>
      <c r="I448" s="26"/>
      <c r="J448" s="26"/>
      <c r="W448" s="26"/>
      <c r="X448" s="26"/>
    </row>
    <row r="449" spans="8:24" x14ac:dyDescent="0.2">
      <c r="H449" s="26"/>
      <c r="I449" s="26"/>
      <c r="J449" s="26"/>
      <c r="W449" s="26"/>
      <c r="X449" s="26"/>
    </row>
    <row r="450" spans="8:24" x14ac:dyDescent="0.2">
      <c r="H450" s="26"/>
      <c r="I450" s="26"/>
      <c r="J450" s="26"/>
      <c r="W450" s="26"/>
      <c r="X450" s="26"/>
    </row>
    <row r="451" spans="8:24" x14ac:dyDescent="0.2">
      <c r="H451" s="26"/>
      <c r="I451" s="26"/>
      <c r="J451" s="26"/>
      <c r="W451" s="26"/>
      <c r="X451" s="26"/>
    </row>
    <row r="452" spans="8:24" x14ac:dyDescent="0.2">
      <c r="H452" s="26"/>
      <c r="I452" s="26"/>
      <c r="J452" s="26"/>
      <c r="W452" s="26"/>
      <c r="X452" s="26"/>
    </row>
    <row r="453" spans="8:24" x14ac:dyDescent="0.2">
      <c r="H453" s="26"/>
      <c r="I453" s="26"/>
      <c r="J453" s="26"/>
      <c r="W453" s="26"/>
      <c r="X453" s="26"/>
    </row>
    <row r="454" spans="8:24" x14ac:dyDescent="0.2">
      <c r="H454" s="26"/>
      <c r="I454" s="26"/>
      <c r="J454" s="26"/>
      <c r="W454" s="26"/>
      <c r="X454" s="26"/>
    </row>
    <row r="455" spans="8:24" x14ac:dyDescent="0.2">
      <c r="H455" s="26"/>
      <c r="I455" s="26"/>
      <c r="J455" s="26"/>
      <c r="W455" s="26"/>
      <c r="X455" s="26"/>
    </row>
    <row r="456" spans="8:24" x14ac:dyDescent="0.2">
      <c r="H456" s="26"/>
      <c r="I456" s="26"/>
      <c r="J456" s="26"/>
      <c r="W456" s="26"/>
      <c r="X456" s="26"/>
    </row>
    <row r="457" spans="8:24" x14ac:dyDescent="0.2">
      <c r="H457" s="26"/>
      <c r="I457" s="26"/>
      <c r="J457" s="26"/>
      <c r="W457" s="26"/>
      <c r="X457" s="26"/>
    </row>
    <row r="458" spans="8:24" x14ac:dyDescent="0.2">
      <c r="H458" s="26"/>
      <c r="I458" s="26"/>
      <c r="J458" s="26"/>
      <c r="W458" s="26"/>
      <c r="X458" s="26"/>
    </row>
    <row r="459" spans="8:24" x14ac:dyDescent="0.2">
      <c r="H459" s="26"/>
      <c r="I459" s="26"/>
      <c r="J459" s="26"/>
      <c r="W459" s="26"/>
      <c r="X459" s="26"/>
    </row>
    <row r="460" spans="8:24" x14ac:dyDescent="0.2">
      <c r="H460" s="26"/>
      <c r="I460" s="26"/>
      <c r="J460" s="26"/>
      <c r="W460" s="26"/>
      <c r="X460" s="26"/>
    </row>
    <row r="461" spans="8:24" x14ac:dyDescent="0.2">
      <c r="H461" s="26"/>
      <c r="I461" s="26"/>
      <c r="J461" s="26"/>
      <c r="W461" s="26"/>
      <c r="X461" s="26"/>
    </row>
    <row r="462" spans="8:24" x14ac:dyDescent="0.2">
      <c r="H462" s="26"/>
      <c r="I462" s="26"/>
      <c r="J462" s="26"/>
      <c r="W462" s="26"/>
      <c r="X462" s="26"/>
    </row>
    <row r="463" spans="8:24" x14ac:dyDescent="0.2">
      <c r="H463" s="26"/>
      <c r="I463" s="26"/>
      <c r="J463" s="26"/>
      <c r="W463" s="26"/>
      <c r="X463" s="26"/>
    </row>
    <row r="464" spans="8:24" x14ac:dyDescent="0.2">
      <c r="H464" s="26"/>
      <c r="I464" s="26"/>
      <c r="J464" s="26"/>
      <c r="W464" s="26"/>
      <c r="X464" s="26"/>
    </row>
    <row r="465" spans="8:24" x14ac:dyDescent="0.2">
      <c r="H465" s="26"/>
      <c r="I465" s="26"/>
      <c r="J465" s="26"/>
      <c r="W465" s="26"/>
      <c r="X465" s="26"/>
    </row>
    <row r="466" spans="8:24" x14ac:dyDescent="0.2">
      <c r="H466" s="26"/>
      <c r="I466" s="26"/>
      <c r="J466" s="26"/>
      <c r="W466" s="26"/>
      <c r="X466" s="26"/>
    </row>
    <row r="467" spans="8:24" x14ac:dyDescent="0.2">
      <c r="H467" s="26"/>
      <c r="I467" s="26"/>
      <c r="J467" s="26"/>
      <c r="W467" s="26"/>
      <c r="X467" s="26"/>
    </row>
    <row r="468" spans="8:24" x14ac:dyDescent="0.2">
      <c r="H468" s="26"/>
      <c r="I468" s="26"/>
      <c r="J468" s="26"/>
      <c r="W468" s="26"/>
      <c r="X468" s="26"/>
    </row>
    <row r="469" spans="8:24" x14ac:dyDescent="0.2">
      <c r="H469" s="26"/>
      <c r="I469" s="26"/>
      <c r="J469" s="26"/>
      <c r="W469" s="26"/>
      <c r="X469" s="26"/>
    </row>
    <row r="470" spans="8:24" x14ac:dyDescent="0.2">
      <c r="H470" s="26"/>
      <c r="I470" s="26"/>
      <c r="J470" s="26"/>
      <c r="W470" s="26"/>
      <c r="X470" s="26"/>
    </row>
    <row r="471" spans="8:24" x14ac:dyDescent="0.2">
      <c r="H471" s="26"/>
      <c r="I471" s="26"/>
      <c r="J471" s="26"/>
      <c r="W471" s="26"/>
      <c r="X471" s="26"/>
    </row>
    <row r="472" spans="8:24" x14ac:dyDescent="0.2">
      <c r="H472" s="26"/>
      <c r="I472" s="26"/>
      <c r="J472" s="26"/>
      <c r="W472" s="26"/>
      <c r="X472" s="26"/>
    </row>
    <row r="473" spans="8:24" x14ac:dyDescent="0.2">
      <c r="H473" s="26"/>
      <c r="I473" s="26"/>
      <c r="J473" s="26"/>
      <c r="W473" s="26"/>
      <c r="X473" s="26"/>
    </row>
    <row r="474" spans="8:24" x14ac:dyDescent="0.2">
      <c r="H474" s="26"/>
      <c r="I474" s="26"/>
      <c r="J474" s="26"/>
      <c r="W474" s="26"/>
      <c r="X474" s="26"/>
    </row>
    <row r="475" spans="8:24" x14ac:dyDescent="0.2">
      <c r="H475" s="26"/>
      <c r="I475" s="26"/>
      <c r="J475" s="26"/>
      <c r="W475" s="26"/>
      <c r="X475" s="26"/>
    </row>
    <row r="476" spans="8:24" x14ac:dyDescent="0.2">
      <c r="H476" s="26"/>
      <c r="I476" s="26"/>
      <c r="J476" s="26"/>
      <c r="W476" s="26"/>
      <c r="X476" s="26"/>
    </row>
    <row r="477" spans="8:24" x14ac:dyDescent="0.2">
      <c r="H477" s="26"/>
      <c r="I477" s="26"/>
      <c r="J477" s="26"/>
      <c r="W477" s="26"/>
      <c r="X477" s="26"/>
    </row>
    <row r="478" spans="8:24" x14ac:dyDescent="0.2">
      <c r="H478" s="26"/>
      <c r="I478" s="26"/>
      <c r="J478" s="26"/>
      <c r="W478" s="26"/>
      <c r="X478" s="26"/>
    </row>
    <row r="479" spans="8:24" x14ac:dyDescent="0.2">
      <c r="H479" s="26"/>
      <c r="I479" s="26"/>
      <c r="J479" s="26"/>
      <c r="W479" s="26"/>
      <c r="X479" s="26"/>
    </row>
    <row r="480" spans="8:24" x14ac:dyDescent="0.2">
      <c r="H480" s="26"/>
      <c r="I480" s="26"/>
      <c r="J480" s="26"/>
      <c r="W480" s="26"/>
      <c r="X480" s="26"/>
    </row>
    <row r="481" spans="8:24" x14ac:dyDescent="0.2">
      <c r="H481" s="26"/>
      <c r="I481" s="26"/>
      <c r="J481" s="26"/>
      <c r="W481" s="26"/>
      <c r="X481" s="26"/>
    </row>
    <row r="482" spans="8:24" x14ac:dyDescent="0.2">
      <c r="H482" s="26"/>
      <c r="I482" s="26"/>
      <c r="J482" s="26"/>
      <c r="W482" s="26"/>
      <c r="X482" s="26"/>
    </row>
    <row r="483" spans="8:24" x14ac:dyDescent="0.2">
      <c r="H483" s="26"/>
      <c r="I483" s="26"/>
      <c r="J483" s="26"/>
      <c r="W483" s="26"/>
      <c r="X483" s="26"/>
    </row>
    <row r="484" spans="8:24" x14ac:dyDescent="0.2">
      <c r="H484" s="26"/>
      <c r="I484" s="26"/>
      <c r="J484" s="26"/>
      <c r="W484" s="26"/>
      <c r="X484" s="26"/>
    </row>
    <row r="485" spans="8:24" x14ac:dyDescent="0.2">
      <c r="H485" s="26"/>
      <c r="I485" s="26"/>
      <c r="J485" s="26"/>
      <c r="W485" s="26"/>
      <c r="X485" s="26"/>
    </row>
    <row r="486" spans="8:24" x14ac:dyDescent="0.2">
      <c r="H486" s="26"/>
      <c r="I486" s="26"/>
      <c r="J486" s="26"/>
      <c r="W486" s="26"/>
      <c r="X486" s="26"/>
    </row>
    <row r="487" spans="8:24" x14ac:dyDescent="0.2">
      <c r="H487" s="26"/>
      <c r="I487" s="26"/>
      <c r="J487" s="26"/>
      <c r="W487" s="26"/>
      <c r="X487" s="26"/>
    </row>
    <row r="488" spans="8:24" x14ac:dyDescent="0.2">
      <c r="H488" s="26"/>
      <c r="I488" s="26"/>
      <c r="J488" s="26"/>
      <c r="W488" s="26"/>
      <c r="X488" s="26"/>
    </row>
    <row r="489" spans="8:24" x14ac:dyDescent="0.2">
      <c r="H489" s="26"/>
      <c r="I489" s="26"/>
      <c r="J489" s="26"/>
      <c r="W489" s="26"/>
      <c r="X489" s="26"/>
    </row>
    <row r="490" spans="8:24" x14ac:dyDescent="0.2">
      <c r="H490" s="26"/>
      <c r="I490" s="26"/>
      <c r="J490" s="26"/>
      <c r="W490" s="26"/>
      <c r="X490" s="26"/>
    </row>
    <row r="491" spans="8:24" x14ac:dyDescent="0.2">
      <c r="H491" s="26"/>
      <c r="I491" s="26"/>
      <c r="J491" s="26"/>
      <c r="W491" s="26"/>
      <c r="X491" s="26"/>
    </row>
    <row r="492" spans="8:24" x14ac:dyDescent="0.2">
      <c r="H492" s="26"/>
      <c r="I492" s="26"/>
      <c r="J492" s="26"/>
      <c r="W492" s="26"/>
      <c r="X492" s="26"/>
    </row>
    <row r="493" spans="8:24" x14ac:dyDescent="0.2">
      <c r="H493" s="26"/>
      <c r="I493" s="26"/>
      <c r="J493" s="26"/>
      <c r="W493" s="26"/>
      <c r="X493" s="26"/>
    </row>
    <row r="494" spans="8:24" x14ac:dyDescent="0.2">
      <c r="H494" s="26"/>
      <c r="I494" s="26"/>
      <c r="J494" s="26"/>
      <c r="W494" s="26"/>
      <c r="X494" s="26"/>
    </row>
    <row r="495" spans="8:24" x14ac:dyDescent="0.2">
      <c r="H495" s="26"/>
      <c r="I495" s="26"/>
      <c r="J495" s="26"/>
      <c r="W495" s="26"/>
      <c r="X495" s="26"/>
    </row>
    <row r="496" spans="8:24" x14ac:dyDescent="0.2">
      <c r="H496" s="26"/>
      <c r="I496" s="26"/>
      <c r="J496" s="26"/>
      <c r="W496" s="26"/>
      <c r="X496" s="26"/>
    </row>
    <row r="497" spans="8:24" x14ac:dyDescent="0.2">
      <c r="H497" s="26"/>
      <c r="I497" s="26"/>
      <c r="J497" s="26"/>
      <c r="W497" s="26"/>
      <c r="X497" s="26"/>
    </row>
    <row r="498" spans="8:24" x14ac:dyDescent="0.2">
      <c r="H498" s="26"/>
      <c r="I498" s="26"/>
      <c r="J498" s="26"/>
      <c r="W498" s="26"/>
      <c r="X498" s="26"/>
    </row>
    <row r="499" spans="8:24" x14ac:dyDescent="0.2">
      <c r="H499" s="26"/>
      <c r="I499" s="26"/>
      <c r="J499" s="26"/>
      <c r="W499" s="26"/>
      <c r="X499" s="26"/>
    </row>
    <row r="500" spans="8:24" x14ac:dyDescent="0.2">
      <c r="H500" s="26"/>
      <c r="I500" s="26"/>
      <c r="J500" s="26"/>
      <c r="W500" s="26"/>
      <c r="X500" s="26"/>
    </row>
    <row r="501" spans="8:24" x14ac:dyDescent="0.2">
      <c r="H501" s="26"/>
      <c r="I501" s="26"/>
      <c r="J501" s="26"/>
      <c r="W501" s="26"/>
      <c r="X501" s="26"/>
    </row>
    <row r="502" spans="8:24" x14ac:dyDescent="0.2">
      <c r="H502" s="26"/>
      <c r="I502" s="26"/>
      <c r="J502" s="26"/>
      <c r="W502" s="26"/>
      <c r="X502" s="26"/>
    </row>
    <row r="503" spans="8:24" x14ac:dyDescent="0.2">
      <c r="H503" s="26"/>
      <c r="I503" s="26"/>
      <c r="J503" s="26"/>
      <c r="W503" s="26"/>
      <c r="X503" s="26"/>
    </row>
    <row r="504" spans="8:24" x14ac:dyDescent="0.2">
      <c r="H504" s="26"/>
      <c r="I504" s="26"/>
      <c r="J504" s="26"/>
      <c r="W504" s="26"/>
      <c r="X504" s="26"/>
    </row>
    <row r="505" spans="8:24" x14ac:dyDescent="0.2">
      <c r="H505" s="26"/>
      <c r="I505" s="26"/>
      <c r="J505" s="26"/>
      <c r="W505" s="26"/>
      <c r="X505" s="26"/>
    </row>
    <row r="506" spans="8:24" x14ac:dyDescent="0.2">
      <c r="H506" s="26"/>
      <c r="I506" s="26"/>
      <c r="J506" s="26"/>
      <c r="W506" s="26"/>
      <c r="X506" s="26"/>
    </row>
    <row r="507" spans="8:24" x14ac:dyDescent="0.2">
      <c r="H507" s="26"/>
      <c r="I507" s="26"/>
      <c r="J507" s="26"/>
      <c r="W507" s="26"/>
      <c r="X507" s="26"/>
    </row>
    <row r="508" spans="8:24" x14ac:dyDescent="0.2">
      <c r="H508" s="26"/>
      <c r="I508" s="26"/>
      <c r="J508" s="26"/>
      <c r="W508" s="26"/>
      <c r="X508" s="26"/>
    </row>
    <row r="509" spans="8:24" x14ac:dyDescent="0.2">
      <c r="H509" s="26"/>
      <c r="I509" s="26"/>
      <c r="J509" s="26"/>
      <c r="W509" s="26"/>
      <c r="X509" s="26"/>
    </row>
    <row r="510" spans="8:24" x14ac:dyDescent="0.2">
      <c r="H510" s="26"/>
      <c r="I510" s="26"/>
      <c r="J510" s="26"/>
      <c r="W510" s="26"/>
      <c r="X510" s="26"/>
    </row>
    <row r="511" spans="8:24" x14ac:dyDescent="0.2">
      <c r="H511" s="26"/>
      <c r="I511" s="26"/>
      <c r="J511" s="26"/>
      <c r="W511" s="26"/>
      <c r="X511" s="26"/>
    </row>
    <row r="512" spans="8:24" x14ac:dyDescent="0.2">
      <c r="H512" s="26"/>
      <c r="I512" s="26"/>
      <c r="J512" s="26"/>
      <c r="W512" s="26"/>
      <c r="X512" s="26"/>
    </row>
    <row r="513" spans="8:24" x14ac:dyDescent="0.2">
      <c r="H513" s="26"/>
      <c r="I513" s="26"/>
      <c r="J513" s="26"/>
      <c r="W513" s="26"/>
      <c r="X513" s="26"/>
    </row>
    <row r="514" spans="8:24" x14ac:dyDescent="0.2">
      <c r="H514" s="26"/>
      <c r="I514" s="26"/>
      <c r="J514" s="26"/>
      <c r="W514" s="26"/>
      <c r="X514" s="26"/>
    </row>
    <row r="515" spans="8:24" x14ac:dyDescent="0.2">
      <c r="H515" s="26"/>
      <c r="I515" s="26"/>
      <c r="J515" s="26"/>
      <c r="W515" s="26"/>
      <c r="X515" s="26"/>
    </row>
    <row r="516" spans="8:24" x14ac:dyDescent="0.2">
      <c r="H516" s="26"/>
      <c r="I516" s="26"/>
      <c r="J516" s="26"/>
      <c r="W516" s="26"/>
      <c r="X516" s="26"/>
    </row>
    <row r="517" spans="8:24" x14ac:dyDescent="0.2">
      <c r="H517" s="26"/>
      <c r="I517" s="26"/>
      <c r="J517" s="26"/>
      <c r="W517" s="26"/>
      <c r="X517" s="26"/>
    </row>
    <row r="518" spans="8:24" x14ac:dyDescent="0.2">
      <c r="H518" s="26"/>
      <c r="I518" s="26"/>
      <c r="J518" s="26"/>
      <c r="W518" s="26"/>
      <c r="X518" s="26"/>
    </row>
    <row r="519" spans="8:24" x14ac:dyDescent="0.2">
      <c r="H519" s="26"/>
      <c r="I519" s="26"/>
      <c r="J519" s="26"/>
      <c r="W519" s="26"/>
      <c r="X519" s="26"/>
    </row>
    <row r="520" spans="8:24" x14ac:dyDescent="0.2">
      <c r="H520" s="26"/>
      <c r="I520" s="26"/>
      <c r="J520" s="26"/>
      <c r="W520" s="26"/>
      <c r="X520" s="26"/>
    </row>
    <row r="521" spans="8:24" x14ac:dyDescent="0.2">
      <c r="H521" s="26"/>
      <c r="I521" s="26"/>
      <c r="J521" s="26"/>
      <c r="W521" s="26"/>
      <c r="X521" s="26"/>
    </row>
    <row r="522" spans="8:24" x14ac:dyDescent="0.2">
      <c r="H522" s="26"/>
      <c r="I522" s="26"/>
      <c r="J522" s="26"/>
      <c r="W522" s="26"/>
      <c r="X522" s="26"/>
    </row>
    <row r="523" spans="8:24" x14ac:dyDescent="0.2">
      <c r="H523" s="26"/>
      <c r="I523" s="26"/>
      <c r="J523" s="26"/>
      <c r="W523" s="26"/>
      <c r="X523" s="26"/>
    </row>
    <row r="524" spans="8:24" x14ac:dyDescent="0.2">
      <c r="H524" s="26"/>
      <c r="I524" s="26"/>
      <c r="J524" s="26"/>
      <c r="W524" s="26"/>
      <c r="X524" s="26"/>
    </row>
    <row r="525" spans="8:24" x14ac:dyDescent="0.2">
      <c r="H525" s="26"/>
      <c r="I525" s="26"/>
      <c r="J525" s="26"/>
      <c r="W525" s="26"/>
      <c r="X525" s="26"/>
    </row>
    <row r="526" spans="8:24" x14ac:dyDescent="0.2">
      <c r="H526" s="26"/>
      <c r="I526" s="26"/>
      <c r="J526" s="26"/>
      <c r="W526" s="26"/>
      <c r="X526" s="26"/>
    </row>
    <row r="527" spans="8:24" x14ac:dyDescent="0.2">
      <c r="H527" s="26"/>
      <c r="I527" s="26"/>
      <c r="J527" s="26"/>
      <c r="W527" s="26"/>
      <c r="X527" s="26"/>
    </row>
    <row r="528" spans="8:24" x14ac:dyDescent="0.2">
      <c r="H528" s="26"/>
      <c r="I528" s="26"/>
      <c r="J528" s="26"/>
      <c r="W528" s="26"/>
      <c r="X528" s="26"/>
    </row>
    <row r="529" spans="8:24" x14ac:dyDescent="0.2">
      <c r="H529" s="26"/>
      <c r="I529" s="26"/>
      <c r="J529" s="26"/>
      <c r="W529" s="26"/>
      <c r="X529" s="26"/>
    </row>
    <row r="530" spans="8:24" x14ac:dyDescent="0.2">
      <c r="H530" s="26"/>
      <c r="I530" s="26"/>
      <c r="J530" s="26"/>
      <c r="W530" s="26"/>
      <c r="X530" s="26"/>
    </row>
    <row r="531" spans="8:24" x14ac:dyDescent="0.2">
      <c r="H531" s="26"/>
      <c r="I531" s="26"/>
      <c r="J531" s="26"/>
      <c r="W531" s="26"/>
      <c r="X531" s="26"/>
    </row>
    <row r="532" spans="8:24" x14ac:dyDescent="0.2">
      <c r="H532" s="26"/>
      <c r="I532" s="26"/>
      <c r="J532" s="26"/>
      <c r="W532" s="26"/>
      <c r="X532" s="26"/>
    </row>
    <row r="533" spans="8:24" x14ac:dyDescent="0.2">
      <c r="H533" s="26"/>
      <c r="I533" s="26"/>
      <c r="J533" s="26"/>
      <c r="W533" s="26"/>
      <c r="X533" s="26"/>
    </row>
    <row r="534" spans="8:24" x14ac:dyDescent="0.2">
      <c r="H534" s="26"/>
      <c r="I534" s="26"/>
      <c r="J534" s="26"/>
      <c r="W534" s="26"/>
      <c r="X534" s="26"/>
    </row>
    <row r="535" spans="8:24" x14ac:dyDescent="0.2">
      <c r="H535" s="26"/>
      <c r="I535" s="26"/>
      <c r="J535" s="26"/>
      <c r="W535" s="26"/>
      <c r="X535" s="26"/>
    </row>
    <row r="536" spans="8:24" x14ac:dyDescent="0.2">
      <c r="H536" s="26"/>
      <c r="I536" s="26"/>
      <c r="J536" s="26"/>
      <c r="W536" s="26"/>
      <c r="X536" s="26"/>
    </row>
    <row r="537" spans="8:24" x14ac:dyDescent="0.2">
      <c r="H537" s="26"/>
      <c r="I537" s="26"/>
      <c r="J537" s="26"/>
      <c r="W537" s="26"/>
      <c r="X537" s="26"/>
    </row>
    <row r="538" spans="8:24" x14ac:dyDescent="0.2">
      <c r="H538" s="26"/>
      <c r="I538" s="26"/>
      <c r="J538" s="26"/>
      <c r="W538" s="26"/>
      <c r="X538" s="26"/>
    </row>
    <row r="539" spans="8:24" x14ac:dyDescent="0.2">
      <c r="H539" s="26"/>
      <c r="I539" s="26"/>
      <c r="J539" s="26"/>
      <c r="W539" s="26"/>
      <c r="X539" s="26"/>
    </row>
    <row r="540" spans="8:24" x14ac:dyDescent="0.2">
      <c r="H540" s="26"/>
      <c r="I540" s="26"/>
      <c r="J540" s="26"/>
      <c r="W540" s="26"/>
      <c r="X540" s="26"/>
    </row>
    <row r="541" spans="8:24" x14ac:dyDescent="0.2">
      <c r="H541" s="26"/>
      <c r="I541" s="26"/>
      <c r="J541" s="26"/>
      <c r="W541" s="26"/>
      <c r="X541" s="26"/>
    </row>
    <row r="542" spans="8:24" x14ac:dyDescent="0.2">
      <c r="H542" s="26"/>
      <c r="I542" s="26"/>
      <c r="J542" s="26"/>
      <c r="W542" s="26"/>
      <c r="X542" s="26"/>
    </row>
    <row r="543" spans="8:24" x14ac:dyDescent="0.2">
      <c r="H543" s="26"/>
      <c r="I543" s="26"/>
      <c r="J543" s="26"/>
      <c r="W543" s="26"/>
      <c r="X543" s="26"/>
    </row>
    <row r="544" spans="8:24" x14ac:dyDescent="0.2">
      <c r="H544" s="26"/>
      <c r="I544" s="26"/>
      <c r="J544" s="26"/>
      <c r="W544" s="26"/>
      <c r="X544" s="26"/>
    </row>
    <row r="545" spans="8:24" x14ac:dyDescent="0.2">
      <c r="H545" s="26"/>
      <c r="I545" s="26"/>
      <c r="J545" s="26"/>
      <c r="W545" s="26"/>
      <c r="X545" s="26"/>
    </row>
    <row r="546" spans="8:24" x14ac:dyDescent="0.2">
      <c r="H546" s="26"/>
      <c r="I546" s="26"/>
      <c r="J546" s="26"/>
      <c r="W546" s="26"/>
      <c r="X546" s="26"/>
    </row>
    <row r="547" spans="8:24" x14ac:dyDescent="0.2">
      <c r="H547" s="26"/>
      <c r="I547" s="26"/>
      <c r="J547" s="26"/>
      <c r="W547" s="26"/>
      <c r="X547" s="26"/>
    </row>
    <row r="548" spans="8:24" x14ac:dyDescent="0.2">
      <c r="H548" s="26"/>
      <c r="I548" s="26"/>
      <c r="J548" s="26"/>
      <c r="W548" s="26"/>
      <c r="X548" s="26"/>
    </row>
    <row r="549" spans="8:24" x14ac:dyDescent="0.2">
      <c r="H549" s="26"/>
      <c r="I549" s="26"/>
      <c r="J549" s="26"/>
      <c r="W549" s="26"/>
      <c r="X549" s="26"/>
    </row>
    <row r="550" spans="8:24" x14ac:dyDescent="0.2">
      <c r="H550" s="26"/>
      <c r="I550" s="26"/>
      <c r="J550" s="26"/>
      <c r="W550" s="26"/>
      <c r="X550" s="26"/>
    </row>
    <row r="551" spans="8:24" x14ac:dyDescent="0.2">
      <c r="H551" s="26"/>
      <c r="I551" s="26"/>
      <c r="J551" s="26"/>
      <c r="W551" s="26"/>
      <c r="X551" s="26"/>
    </row>
    <row r="552" spans="8:24" x14ac:dyDescent="0.2">
      <c r="H552" s="26"/>
      <c r="I552" s="26"/>
      <c r="J552" s="26"/>
      <c r="W552" s="26"/>
      <c r="X552" s="26"/>
    </row>
    <row r="553" spans="8:24" x14ac:dyDescent="0.2">
      <c r="H553" s="26"/>
      <c r="I553" s="26"/>
      <c r="J553" s="26"/>
      <c r="W553" s="26"/>
      <c r="X553" s="26"/>
    </row>
    <row r="554" spans="8:24" x14ac:dyDescent="0.2">
      <c r="H554" s="26"/>
      <c r="I554" s="26"/>
      <c r="J554" s="26"/>
      <c r="W554" s="26"/>
      <c r="X554" s="26"/>
    </row>
    <row r="555" spans="8:24" x14ac:dyDescent="0.2">
      <c r="H555" s="26"/>
      <c r="I555" s="26"/>
      <c r="J555" s="26"/>
      <c r="W555" s="26"/>
      <c r="X555" s="26"/>
    </row>
    <row r="556" spans="8:24" x14ac:dyDescent="0.2">
      <c r="H556" s="26"/>
      <c r="I556" s="26"/>
      <c r="J556" s="26"/>
      <c r="W556" s="26"/>
      <c r="X556" s="26"/>
    </row>
    <row r="557" spans="8:24" x14ac:dyDescent="0.2">
      <c r="H557" s="26"/>
      <c r="I557" s="26"/>
      <c r="J557" s="26"/>
      <c r="W557" s="26"/>
      <c r="X557" s="26"/>
    </row>
    <row r="558" spans="8:24" x14ac:dyDescent="0.2">
      <c r="H558" s="26"/>
      <c r="I558" s="26"/>
      <c r="J558" s="26"/>
      <c r="W558" s="26"/>
      <c r="X558" s="26"/>
    </row>
    <row r="559" spans="8:24" x14ac:dyDescent="0.2">
      <c r="H559" s="26"/>
      <c r="I559" s="26"/>
      <c r="J559" s="26"/>
      <c r="W559" s="26"/>
      <c r="X559" s="26"/>
    </row>
    <row r="560" spans="8:24" x14ac:dyDescent="0.2">
      <c r="H560" s="26"/>
      <c r="I560" s="26"/>
      <c r="J560" s="26"/>
      <c r="W560" s="26"/>
      <c r="X560" s="26"/>
    </row>
    <row r="561" spans="8:24" x14ac:dyDescent="0.2">
      <c r="H561" s="26"/>
      <c r="I561" s="26"/>
      <c r="J561" s="26"/>
      <c r="W561" s="26"/>
      <c r="X561" s="26"/>
    </row>
    <row r="562" spans="8:24" x14ac:dyDescent="0.2">
      <c r="H562" s="26"/>
      <c r="I562" s="26"/>
      <c r="J562" s="26"/>
      <c r="W562" s="26"/>
      <c r="X562" s="26"/>
    </row>
    <row r="563" spans="8:24" x14ac:dyDescent="0.2">
      <c r="H563" s="26"/>
      <c r="I563" s="26"/>
      <c r="J563" s="26"/>
      <c r="W563" s="26"/>
      <c r="X563" s="26"/>
    </row>
    <row r="564" spans="8:24" x14ac:dyDescent="0.2">
      <c r="H564" s="26"/>
      <c r="I564" s="26"/>
      <c r="J564" s="26"/>
      <c r="W564" s="26"/>
      <c r="X564" s="26"/>
    </row>
    <row r="565" spans="8:24" x14ac:dyDescent="0.2">
      <c r="H565" s="26"/>
      <c r="I565" s="26"/>
      <c r="J565" s="26"/>
      <c r="W565" s="26"/>
      <c r="X565" s="26"/>
    </row>
    <row r="566" spans="8:24" x14ac:dyDescent="0.2">
      <c r="H566" s="26"/>
      <c r="I566" s="26"/>
      <c r="J566" s="26"/>
      <c r="W566" s="26"/>
      <c r="X566" s="26"/>
    </row>
    <row r="567" spans="8:24" x14ac:dyDescent="0.2">
      <c r="H567" s="26"/>
      <c r="I567" s="26"/>
      <c r="J567" s="26"/>
      <c r="W567" s="26"/>
      <c r="X567" s="26"/>
    </row>
    <row r="568" spans="8:24" x14ac:dyDescent="0.2">
      <c r="H568" s="26"/>
      <c r="I568" s="26"/>
      <c r="J568" s="26"/>
      <c r="W568" s="26"/>
      <c r="X568" s="26"/>
    </row>
    <row r="569" spans="8:24" x14ac:dyDescent="0.2">
      <c r="H569" s="26"/>
      <c r="I569" s="26"/>
      <c r="J569" s="26"/>
      <c r="W569" s="26"/>
      <c r="X569" s="26"/>
    </row>
    <row r="570" spans="8:24" x14ac:dyDescent="0.2">
      <c r="H570" s="26"/>
      <c r="I570" s="26"/>
      <c r="J570" s="26"/>
      <c r="W570" s="26"/>
      <c r="X570" s="26"/>
    </row>
    <row r="571" spans="8:24" x14ac:dyDescent="0.2">
      <c r="H571" s="26"/>
      <c r="I571" s="26"/>
      <c r="J571" s="26"/>
      <c r="W571" s="26"/>
      <c r="X571" s="26"/>
    </row>
    <row r="572" spans="8:24" x14ac:dyDescent="0.2">
      <c r="H572" s="26"/>
      <c r="I572" s="26"/>
      <c r="J572" s="26"/>
      <c r="W572" s="26"/>
      <c r="X572" s="26"/>
    </row>
    <row r="573" spans="8:24" x14ac:dyDescent="0.2">
      <c r="H573" s="26"/>
      <c r="I573" s="26"/>
      <c r="J573" s="26"/>
      <c r="W573" s="26"/>
      <c r="X573" s="26"/>
    </row>
    <row r="574" spans="8:24" x14ac:dyDescent="0.2">
      <c r="H574" s="26"/>
      <c r="I574" s="26"/>
      <c r="J574" s="26"/>
      <c r="W574" s="26"/>
      <c r="X574" s="26"/>
    </row>
    <row r="575" spans="8:24" x14ac:dyDescent="0.2">
      <c r="H575" s="26"/>
      <c r="I575" s="26"/>
      <c r="J575" s="26"/>
      <c r="W575" s="26"/>
      <c r="X575" s="26"/>
    </row>
    <row r="576" spans="8:24" x14ac:dyDescent="0.2">
      <c r="H576" s="26"/>
      <c r="I576" s="26"/>
      <c r="J576" s="26"/>
      <c r="W576" s="26"/>
      <c r="X576" s="26"/>
    </row>
    <row r="577" spans="8:24" x14ac:dyDescent="0.2">
      <c r="H577" s="26"/>
      <c r="I577" s="26"/>
      <c r="J577" s="26"/>
      <c r="W577" s="26"/>
      <c r="X577" s="26"/>
    </row>
    <row r="578" spans="8:24" x14ac:dyDescent="0.2">
      <c r="H578" s="26"/>
      <c r="I578" s="26"/>
      <c r="J578" s="26"/>
      <c r="W578" s="26"/>
      <c r="X578" s="26"/>
    </row>
    <row r="579" spans="8:24" x14ac:dyDescent="0.2">
      <c r="H579" s="26"/>
      <c r="I579" s="26"/>
      <c r="J579" s="26"/>
      <c r="W579" s="26"/>
      <c r="X579" s="26"/>
    </row>
    <row r="580" spans="8:24" x14ac:dyDescent="0.2">
      <c r="H580" s="26"/>
      <c r="I580" s="26"/>
      <c r="J580" s="26"/>
      <c r="W580" s="26"/>
      <c r="X580" s="26"/>
    </row>
    <row r="581" spans="8:24" x14ac:dyDescent="0.2">
      <c r="H581" s="26"/>
      <c r="I581" s="26"/>
      <c r="J581" s="26"/>
      <c r="W581" s="26"/>
      <c r="X581" s="26"/>
    </row>
    <row r="582" spans="8:24" x14ac:dyDescent="0.2">
      <c r="H582" s="26"/>
      <c r="I582" s="26"/>
      <c r="J582" s="26"/>
      <c r="W582" s="26"/>
      <c r="X582" s="26"/>
    </row>
    <row r="583" spans="8:24" x14ac:dyDescent="0.2">
      <c r="H583" s="26"/>
      <c r="I583" s="26"/>
      <c r="J583" s="26"/>
      <c r="W583" s="26"/>
      <c r="X583" s="26"/>
    </row>
    <row r="584" spans="8:24" x14ac:dyDescent="0.2">
      <c r="H584" s="26"/>
      <c r="I584" s="26"/>
      <c r="J584" s="26"/>
      <c r="W584" s="26"/>
      <c r="X584" s="26"/>
    </row>
    <row r="585" spans="8:24" x14ac:dyDescent="0.2">
      <c r="H585" s="26"/>
      <c r="I585" s="26"/>
      <c r="J585" s="26"/>
      <c r="W585" s="26"/>
      <c r="X585" s="26"/>
    </row>
    <row r="586" spans="8:24" x14ac:dyDescent="0.2">
      <c r="H586" s="26"/>
      <c r="I586" s="26"/>
      <c r="J586" s="26"/>
      <c r="W586" s="26"/>
      <c r="X586" s="26"/>
    </row>
    <row r="587" spans="8:24" x14ac:dyDescent="0.2">
      <c r="H587" s="26"/>
      <c r="I587" s="26"/>
      <c r="J587" s="26"/>
      <c r="W587" s="26"/>
      <c r="X587" s="26"/>
    </row>
    <row r="588" spans="8:24" x14ac:dyDescent="0.2">
      <c r="H588" s="26"/>
      <c r="I588" s="26"/>
      <c r="J588" s="26"/>
      <c r="W588" s="26"/>
      <c r="X588" s="26"/>
    </row>
    <row r="589" spans="8:24" x14ac:dyDescent="0.2">
      <c r="H589" s="26"/>
      <c r="I589" s="26"/>
      <c r="J589" s="26"/>
      <c r="W589" s="26"/>
      <c r="X589" s="26"/>
    </row>
    <row r="590" spans="8:24" x14ac:dyDescent="0.2">
      <c r="H590" s="26"/>
      <c r="I590" s="26"/>
      <c r="J590" s="26"/>
      <c r="W590" s="26"/>
      <c r="X590" s="26"/>
    </row>
    <row r="591" spans="8:24" x14ac:dyDescent="0.2">
      <c r="H591" s="26"/>
      <c r="I591" s="26"/>
      <c r="J591" s="26"/>
      <c r="W591" s="26"/>
      <c r="X591" s="26"/>
    </row>
    <row r="592" spans="8:24" x14ac:dyDescent="0.2">
      <c r="H592" s="26"/>
      <c r="I592" s="26"/>
      <c r="J592" s="26"/>
      <c r="W592" s="26"/>
      <c r="X592" s="26"/>
    </row>
    <row r="593" spans="8:24" x14ac:dyDescent="0.2">
      <c r="H593" s="26"/>
      <c r="I593" s="26"/>
      <c r="J593" s="26"/>
      <c r="W593" s="26"/>
      <c r="X593" s="26"/>
    </row>
    <row r="594" spans="8:24" x14ac:dyDescent="0.2">
      <c r="H594" s="26"/>
      <c r="I594" s="26"/>
      <c r="J594" s="26"/>
      <c r="W594" s="26"/>
      <c r="X594" s="26"/>
    </row>
    <row r="595" spans="8:24" x14ac:dyDescent="0.2">
      <c r="H595" s="26"/>
      <c r="I595" s="26"/>
      <c r="J595" s="26"/>
      <c r="W595" s="26"/>
      <c r="X595" s="26"/>
    </row>
    <row r="596" spans="8:24" x14ac:dyDescent="0.2">
      <c r="H596" s="26"/>
      <c r="I596" s="26"/>
      <c r="J596" s="26"/>
      <c r="W596" s="26"/>
      <c r="X596" s="26"/>
    </row>
    <row r="597" spans="8:24" x14ac:dyDescent="0.2">
      <c r="H597" s="26"/>
      <c r="I597" s="26"/>
      <c r="J597" s="26"/>
      <c r="W597" s="26"/>
      <c r="X597" s="26"/>
    </row>
    <row r="598" spans="8:24" x14ac:dyDescent="0.2">
      <c r="H598" s="26"/>
      <c r="I598" s="26"/>
      <c r="J598" s="26"/>
      <c r="W598" s="26"/>
      <c r="X598" s="26"/>
    </row>
    <row r="599" spans="8:24" x14ac:dyDescent="0.2">
      <c r="H599" s="26"/>
      <c r="I599" s="26"/>
      <c r="J599" s="26"/>
      <c r="W599" s="26"/>
      <c r="X599" s="26"/>
    </row>
    <row r="600" spans="8:24" x14ac:dyDescent="0.2">
      <c r="H600" s="26"/>
      <c r="I600" s="26"/>
      <c r="J600" s="26"/>
      <c r="W600" s="26"/>
      <c r="X600" s="26"/>
    </row>
    <row r="601" spans="8:24" x14ac:dyDescent="0.2">
      <c r="H601" s="26"/>
      <c r="I601" s="26"/>
      <c r="J601" s="26"/>
      <c r="W601" s="26"/>
      <c r="X601" s="26"/>
    </row>
    <row r="602" spans="8:24" x14ac:dyDescent="0.2">
      <c r="H602" s="26"/>
      <c r="I602" s="26"/>
      <c r="J602" s="26"/>
      <c r="W602" s="26"/>
      <c r="X602" s="26"/>
    </row>
    <row r="603" spans="8:24" x14ac:dyDescent="0.2">
      <c r="H603" s="26"/>
      <c r="I603" s="26"/>
      <c r="J603" s="26"/>
      <c r="W603" s="26"/>
      <c r="X603" s="26"/>
    </row>
    <row r="604" spans="8:24" x14ac:dyDescent="0.2">
      <c r="H604" s="26"/>
      <c r="I604" s="26"/>
      <c r="J604" s="26"/>
      <c r="W604" s="26"/>
      <c r="X604" s="26"/>
    </row>
    <row r="605" spans="8:24" x14ac:dyDescent="0.2">
      <c r="H605" s="26"/>
      <c r="I605" s="26"/>
      <c r="J605" s="26"/>
      <c r="W605" s="26"/>
      <c r="X605" s="26"/>
    </row>
    <row r="606" spans="8:24" x14ac:dyDescent="0.2">
      <c r="H606" s="26"/>
      <c r="I606" s="26"/>
      <c r="J606" s="26"/>
      <c r="W606" s="26"/>
      <c r="X606" s="26"/>
    </row>
    <row r="607" spans="8:24" x14ac:dyDescent="0.2">
      <c r="H607" s="26"/>
      <c r="I607" s="26"/>
      <c r="J607" s="26"/>
      <c r="W607" s="26"/>
      <c r="X607" s="26"/>
    </row>
    <row r="608" spans="8:24" x14ac:dyDescent="0.2">
      <c r="H608" s="26"/>
      <c r="I608" s="26"/>
      <c r="J608" s="26"/>
      <c r="W608" s="26"/>
      <c r="X608" s="26"/>
    </row>
    <row r="609" spans="8:24" x14ac:dyDescent="0.2">
      <c r="H609" s="26"/>
      <c r="I609" s="26"/>
      <c r="J609" s="26"/>
      <c r="W609" s="26"/>
      <c r="X609" s="26"/>
    </row>
    <row r="610" spans="8:24" x14ac:dyDescent="0.2">
      <c r="H610" s="26"/>
      <c r="I610" s="26"/>
      <c r="J610" s="26"/>
      <c r="W610" s="26"/>
      <c r="X610" s="26"/>
    </row>
    <row r="611" spans="8:24" x14ac:dyDescent="0.2">
      <c r="H611" s="26"/>
      <c r="I611" s="26"/>
      <c r="J611" s="26"/>
      <c r="W611" s="26"/>
      <c r="X611" s="26"/>
    </row>
    <row r="612" spans="8:24" x14ac:dyDescent="0.2">
      <c r="H612" s="26"/>
      <c r="I612" s="26"/>
      <c r="J612" s="26"/>
      <c r="W612" s="26"/>
      <c r="X612" s="26"/>
    </row>
    <row r="613" spans="8:24" x14ac:dyDescent="0.2">
      <c r="H613" s="26"/>
      <c r="I613" s="26"/>
      <c r="J613" s="26"/>
      <c r="W613" s="26"/>
      <c r="X613" s="26"/>
    </row>
    <row r="614" spans="8:24" x14ac:dyDescent="0.2">
      <c r="H614" s="26"/>
      <c r="I614" s="26"/>
      <c r="J614" s="26"/>
      <c r="W614" s="26"/>
      <c r="X614" s="26"/>
    </row>
    <row r="615" spans="8:24" x14ac:dyDescent="0.2">
      <c r="H615" s="26"/>
      <c r="I615" s="26"/>
      <c r="J615" s="26"/>
      <c r="W615" s="26"/>
      <c r="X615" s="26"/>
    </row>
    <row r="616" spans="8:24" x14ac:dyDescent="0.2">
      <c r="H616" s="26"/>
      <c r="I616" s="26"/>
      <c r="J616" s="26"/>
      <c r="W616" s="26"/>
      <c r="X616" s="26"/>
    </row>
    <row r="617" spans="8:24" x14ac:dyDescent="0.2">
      <c r="H617" s="26"/>
      <c r="I617" s="26"/>
      <c r="J617" s="26"/>
      <c r="W617" s="26"/>
      <c r="X617" s="26"/>
    </row>
    <row r="618" spans="8:24" x14ac:dyDescent="0.2">
      <c r="H618" s="26"/>
      <c r="I618" s="26"/>
      <c r="J618" s="26"/>
      <c r="W618" s="26"/>
      <c r="X618" s="26"/>
    </row>
    <row r="619" spans="8:24" x14ac:dyDescent="0.2">
      <c r="H619" s="26"/>
      <c r="I619" s="26"/>
      <c r="J619" s="26"/>
      <c r="W619" s="26"/>
      <c r="X619" s="26"/>
    </row>
    <row r="620" spans="8:24" x14ac:dyDescent="0.2">
      <c r="H620" s="26"/>
      <c r="I620" s="26"/>
      <c r="J620" s="26"/>
      <c r="W620" s="26"/>
      <c r="X620" s="26"/>
    </row>
    <row r="621" spans="8:24" x14ac:dyDescent="0.2">
      <c r="H621" s="26"/>
      <c r="I621" s="26"/>
      <c r="J621" s="26"/>
      <c r="W621" s="26"/>
      <c r="X621" s="26"/>
    </row>
    <row r="622" spans="8:24" x14ac:dyDescent="0.2">
      <c r="H622" s="26"/>
      <c r="I622" s="26"/>
      <c r="J622" s="26"/>
      <c r="W622" s="26"/>
      <c r="X622" s="26"/>
    </row>
    <row r="623" spans="8:24" x14ac:dyDescent="0.2">
      <c r="H623" s="26"/>
      <c r="I623" s="26"/>
      <c r="J623" s="26"/>
      <c r="W623" s="26"/>
      <c r="X623" s="26"/>
    </row>
    <row r="624" spans="8:24" x14ac:dyDescent="0.2">
      <c r="H624" s="26"/>
      <c r="I624" s="26"/>
      <c r="J624" s="26"/>
      <c r="W624" s="26"/>
      <c r="X624" s="26"/>
    </row>
    <row r="625" spans="8:24" x14ac:dyDescent="0.2">
      <c r="H625" s="26"/>
      <c r="I625" s="26"/>
      <c r="J625" s="26"/>
      <c r="W625" s="26"/>
      <c r="X625" s="26"/>
    </row>
    <row r="626" spans="8:24" x14ac:dyDescent="0.2">
      <c r="H626" s="26"/>
      <c r="I626" s="26"/>
      <c r="J626" s="26"/>
      <c r="W626" s="26"/>
      <c r="X626" s="26"/>
    </row>
    <row r="627" spans="8:24" x14ac:dyDescent="0.2">
      <c r="H627" s="26"/>
      <c r="I627" s="26"/>
      <c r="J627" s="26"/>
      <c r="W627" s="26"/>
      <c r="X627" s="26"/>
    </row>
    <row r="628" spans="8:24" x14ac:dyDescent="0.2">
      <c r="H628" s="26"/>
      <c r="I628" s="26"/>
      <c r="J628" s="26"/>
      <c r="W628" s="26"/>
      <c r="X628" s="26"/>
    </row>
    <row r="629" spans="8:24" x14ac:dyDescent="0.2">
      <c r="H629" s="26"/>
      <c r="I629" s="26"/>
      <c r="J629" s="26"/>
      <c r="W629" s="26"/>
      <c r="X629" s="26"/>
    </row>
    <row r="630" spans="8:24" x14ac:dyDescent="0.2">
      <c r="H630" s="26"/>
      <c r="I630" s="26"/>
      <c r="J630" s="26"/>
      <c r="W630" s="26"/>
      <c r="X630" s="26"/>
    </row>
    <row r="631" spans="8:24" x14ac:dyDescent="0.2">
      <c r="H631" s="26"/>
      <c r="I631" s="26"/>
      <c r="J631" s="26"/>
      <c r="W631" s="26"/>
      <c r="X631" s="26"/>
    </row>
    <row r="632" spans="8:24" x14ac:dyDescent="0.2">
      <c r="H632" s="26"/>
      <c r="I632" s="26"/>
      <c r="J632" s="26"/>
      <c r="W632" s="26"/>
      <c r="X632" s="26"/>
    </row>
    <row r="633" spans="8:24" x14ac:dyDescent="0.2">
      <c r="H633" s="26"/>
      <c r="I633" s="26"/>
      <c r="J633" s="26"/>
      <c r="W633" s="26"/>
      <c r="X633" s="26"/>
    </row>
    <row r="634" spans="8:24" x14ac:dyDescent="0.2">
      <c r="H634" s="26"/>
      <c r="I634" s="26"/>
      <c r="J634" s="26"/>
      <c r="W634" s="26"/>
      <c r="X634" s="26"/>
    </row>
    <row r="635" spans="8:24" x14ac:dyDescent="0.2">
      <c r="H635" s="26"/>
      <c r="I635" s="26"/>
      <c r="J635" s="26"/>
      <c r="W635" s="26"/>
      <c r="X635" s="26"/>
    </row>
    <row r="636" spans="8:24" x14ac:dyDescent="0.2">
      <c r="H636" s="26"/>
      <c r="I636" s="26"/>
      <c r="J636" s="26"/>
      <c r="W636" s="26"/>
      <c r="X636" s="26"/>
    </row>
    <row r="637" spans="8:24" x14ac:dyDescent="0.2">
      <c r="H637" s="26"/>
      <c r="I637" s="26"/>
      <c r="J637" s="26"/>
      <c r="W637" s="26"/>
      <c r="X637" s="26"/>
    </row>
    <row r="638" spans="8:24" x14ac:dyDescent="0.2">
      <c r="H638" s="26"/>
      <c r="I638" s="26"/>
      <c r="J638" s="26"/>
      <c r="W638" s="26"/>
      <c r="X638" s="26"/>
    </row>
    <row r="639" spans="8:24" x14ac:dyDescent="0.2">
      <c r="H639" s="26"/>
      <c r="I639" s="26"/>
      <c r="J639" s="26"/>
      <c r="W639" s="26"/>
      <c r="X639" s="26"/>
    </row>
    <row r="640" spans="8:24" x14ac:dyDescent="0.2">
      <c r="H640" s="26"/>
      <c r="I640" s="26"/>
      <c r="J640" s="26"/>
      <c r="W640" s="26"/>
      <c r="X640" s="26"/>
    </row>
    <row r="641" spans="8:24" x14ac:dyDescent="0.2">
      <c r="H641" s="26"/>
      <c r="I641" s="26"/>
      <c r="J641" s="26"/>
      <c r="W641" s="26"/>
      <c r="X641" s="26"/>
    </row>
    <row r="642" spans="8:24" x14ac:dyDescent="0.2">
      <c r="H642" s="26"/>
      <c r="I642" s="26"/>
      <c r="J642" s="26"/>
      <c r="W642" s="26"/>
      <c r="X642" s="26"/>
    </row>
    <row r="643" spans="8:24" x14ac:dyDescent="0.2">
      <c r="H643" s="26"/>
      <c r="I643" s="26"/>
      <c r="J643" s="26"/>
      <c r="W643" s="26"/>
      <c r="X643" s="26"/>
    </row>
    <row r="644" spans="8:24" x14ac:dyDescent="0.2">
      <c r="H644" s="26"/>
      <c r="I644" s="26"/>
      <c r="J644" s="26"/>
      <c r="W644" s="26"/>
      <c r="X644" s="26"/>
    </row>
    <row r="645" spans="8:24" x14ac:dyDescent="0.2">
      <c r="H645" s="26"/>
      <c r="I645" s="26"/>
      <c r="J645" s="26"/>
      <c r="W645" s="26"/>
      <c r="X645" s="26"/>
    </row>
    <row r="646" spans="8:24" x14ac:dyDescent="0.2">
      <c r="H646" s="26"/>
      <c r="I646" s="26"/>
      <c r="J646" s="26"/>
      <c r="W646" s="26"/>
      <c r="X646" s="26"/>
    </row>
    <row r="647" spans="8:24" x14ac:dyDescent="0.2">
      <c r="H647" s="26"/>
      <c r="I647" s="26"/>
      <c r="J647" s="26"/>
      <c r="W647" s="26"/>
      <c r="X647" s="26"/>
    </row>
    <row r="648" spans="8:24" x14ac:dyDescent="0.2">
      <c r="H648" s="26"/>
      <c r="I648" s="26"/>
      <c r="J648" s="26"/>
      <c r="W648" s="26"/>
      <c r="X648" s="26"/>
    </row>
    <row r="649" spans="8:24" x14ac:dyDescent="0.2">
      <c r="H649" s="26"/>
      <c r="I649" s="26"/>
      <c r="J649" s="26"/>
      <c r="W649" s="26"/>
      <c r="X649" s="26"/>
    </row>
    <row r="650" spans="8:24" x14ac:dyDescent="0.2">
      <c r="H650" s="26"/>
      <c r="I650" s="26"/>
      <c r="J650" s="26"/>
      <c r="W650" s="26"/>
      <c r="X650" s="26"/>
    </row>
    <row r="651" spans="8:24" x14ac:dyDescent="0.2">
      <c r="H651" s="26"/>
      <c r="I651" s="26"/>
      <c r="J651" s="26"/>
      <c r="W651" s="26"/>
      <c r="X651" s="26"/>
    </row>
    <row r="652" spans="8:24" x14ac:dyDescent="0.2">
      <c r="H652" s="26"/>
      <c r="I652" s="26"/>
      <c r="J652" s="26"/>
      <c r="W652" s="26"/>
      <c r="X652" s="26"/>
    </row>
    <row r="653" spans="8:24" x14ac:dyDescent="0.2">
      <c r="H653" s="26"/>
      <c r="I653" s="26"/>
      <c r="J653" s="26"/>
      <c r="W653" s="26"/>
      <c r="X653" s="26"/>
    </row>
    <row r="654" spans="8:24" x14ac:dyDescent="0.2">
      <c r="H654" s="26"/>
      <c r="I654" s="26"/>
      <c r="J654" s="26"/>
      <c r="W654" s="26"/>
      <c r="X654" s="26"/>
    </row>
    <row r="655" spans="8:24" x14ac:dyDescent="0.2">
      <c r="H655" s="26"/>
      <c r="I655" s="26"/>
      <c r="J655" s="26"/>
      <c r="W655" s="26"/>
      <c r="X655" s="26"/>
    </row>
    <row r="656" spans="8:24" x14ac:dyDescent="0.2">
      <c r="H656" s="26"/>
      <c r="I656" s="26"/>
      <c r="J656" s="26"/>
      <c r="W656" s="26"/>
      <c r="X656" s="26"/>
    </row>
    <row r="657" spans="8:24" x14ac:dyDescent="0.2">
      <c r="H657" s="26"/>
      <c r="I657" s="26"/>
      <c r="J657" s="26"/>
      <c r="W657" s="26"/>
      <c r="X657" s="26"/>
    </row>
    <row r="658" spans="8:24" x14ac:dyDescent="0.2">
      <c r="H658" s="26"/>
      <c r="I658" s="26"/>
      <c r="J658" s="26"/>
      <c r="W658" s="26"/>
      <c r="X658" s="26"/>
    </row>
    <row r="659" spans="8:24" x14ac:dyDescent="0.2">
      <c r="H659" s="26"/>
      <c r="I659" s="26"/>
      <c r="J659" s="26"/>
      <c r="W659" s="26"/>
      <c r="X659" s="26"/>
    </row>
    <row r="660" spans="8:24" x14ac:dyDescent="0.2">
      <c r="H660" s="26"/>
      <c r="I660" s="26"/>
      <c r="J660" s="26"/>
      <c r="W660" s="26"/>
      <c r="X660" s="26"/>
    </row>
    <row r="661" spans="8:24" x14ac:dyDescent="0.2">
      <c r="H661" s="26"/>
      <c r="I661" s="26"/>
      <c r="J661" s="26"/>
      <c r="W661" s="26"/>
      <c r="X661" s="26"/>
    </row>
    <row r="662" spans="8:24" x14ac:dyDescent="0.2">
      <c r="H662" s="26"/>
      <c r="I662" s="26"/>
      <c r="J662" s="26"/>
      <c r="W662" s="26"/>
      <c r="X662" s="26"/>
    </row>
    <row r="663" spans="8:24" x14ac:dyDescent="0.2">
      <c r="H663" s="26"/>
      <c r="I663" s="26"/>
      <c r="J663" s="26"/>
      <c r="W663" s="26"/>
      <c r="X663" s="26"/>
    </row>
    <row r="664" spans="8:24" x14ac:dyDescent="0.2">
      <c r="H664" s="26"/>
      <c r="I664" s="26"/>
      <c r="J664" s="26"/>
      <c r="W664" s="26"/>
      <c r="X664" s="26"/>
    </row>
    <row r="665" spans="8:24" x14ac:dyDescent="0.2">
      <c r="H665" s="26"/>
      <c r="I665" s="26"/>
      <c r="J665" s="26"/>
      <c r="W665" s="26"/>
      <c r="X665" s="26"/>
    </row>
    <row r="666" spans="8:24" x14ac:dyDescent="0.2">
      <c r="H666" s="26"/>
      <c r="I666" s="26"/>
      <c r="J666" s="26"/>
      <c r="W666" s="26"/>
      <c r="X666" s="26"/>
    </row>
    <row r="667" spans="8:24" x14ac:dyDescent="0.2">
      <c r="H667" s="26"/>
      <c r="I667" s="26"/>
      <c r="J667" s="26"/>
      <c r="W667" s="26"/>
      <c r="X667" s="26"/>
    </row>
    <row r="668" spans="8:24" x14ac:dyDescent="0.2">
      <c r="H668" s="26"/>
      <c r="I668" s="26"/>
      <c r="J668" s="26"/>
      <c r="W668" s="26"/>
      <c r="X668" s="26"/>
    </row>
    <row r="669" spans="8:24" x14ac:dyDescent="0.2">
      <c r="H669" s="26"/>
      <c r="I669" s="26"/>
      <c r="J669" s="26"/>
      <c r="W669" s="26"/>
      <c r="X669" s="26"/>
    </row>
    <row r="670" spans="8:24" x14ac:dyDescent="0.2">
      <c r="H670" s="26"/>
      <c r="I670" s="26"/>
      <c r="J670" s="26"/>
      <c r="W670" s="26"/>
      <c r="X670" s="26"/>
    </row>
    <row r="671" spans="8:24" x14ac:dyDescent="0.2">
      <c r="H671" s="26"/>
      <c r="I671" s="26"/>
      <c r="J671" s="26"/>
      <c r="W671" s="26"/>
      <c r="X671" s="26"/>
    </row>
    <row r="672" spans="8:24" x14ac:dyDescent="0.2">
      <c r="H672" s="26"/>
      <c r="I672" s="26"/>
      <c r="J672" s="26"/>
      <c r="W672" s="26"/>
      <c r="X672" s="26"/>
    </row>
    <row r="673" spans="8:24" x14ac:dyDescent="0.2">
      <c r="H673" s="26"/>
      <c r="I673" s="26"/>
      <c r="J673" s="26"/>
      <c r="W673" s="26"/>
      <c r="X673" s="26"/>
    </row>
    <row r="674" spans="8:24" x14ac:dyDescent="0.2">
      <c r="H674" s="26"/>
      <c r="I674" s="26"/>
      <c r="J674" s="26"/>
      <c r="W674" s="26"/>
      <c r="X674" s="26"/>
    </row>
    <row r="675" spans="8:24" x14ac:dyDescent="0.2">
      <c r="H675" s="26"/>
      <c r="I675" s="26"/>
      <c r="J675" s="26"/>
      <c r="W675" s="26"/>
      <c r="X675" s="26"/>
    </row>
    <row r="676" spans="8:24" x14ac:dyDescent="0.2">
      <c r="H676" s="26"/>
      <c r="I676" s="26"/>
      <c r="J676" s="26"/>
      <c r="W676" s="26"/>
      <c r="X676" s="26"/>
    </row>
    <row r="677" spans="8:24" x14ac:dyDescent="0.2">
      <c r="H677" s="26"/>
      <c r="I677" s="26"/>
      <c r="J677" s="26"/>
      <c r="W677" s="26"/>
      <c r="X677" s="26"/>
    </row>
    <row r="678" spans="8:24" x14ac:dyDescent="0.2">
      <c r="H678" s="26"/>
      <c r="I678" s="26"/>
      <c r="J678" s="26"/>
      <c r="W678" s="26"/>
      <c r="X678" s="26"/>
    </row>
    <row r="679" spans="8:24" x14ac:dyDescent="0.2">
      <c r="H679" s="26"/>
      <c r="I679" s="26"/>
      <c r="J679" s="26"/>
      <c r="W679" s="26"/>
      <c r="X679" s="26"/>
    </row>
    <row r="680" spans="8:24" x14ac:dyDescent="0.2">
      <c r="H680" s="26"/>
      <c r="I680" s="26"/>
      <c r="J680" s="26"/>
      <c r="W680" s="26"/>
      <c r="X680" s="26"/>
    </row>
    <row r="681" spans="8:24" x14ac:dyDescent="0.2">
      <c r="H681" s="26"/>
      <c r="I681" s="26"/>
      <c r="J681" s="26"/>
      <c r="W681" s="26"/>
      <c r="X681" s="26"/>
    </row>
    <row r="682" spans="8:24" x14ac:dyDescent="0.2">
      <c r="H682" s="26"/>
      <c r="I682" s="26"/>
      <c r="J682" s="26"/>
      <c r="W682" s="26"/>
      <c r="X682" s="26"/>
    </row>
    <row r="683" spans="8:24" x14ac:dyDescent="0.2">
      <c r="H683" s="26"/>
      <c r="I683" s="26"/>
      <c r="J683" s="26"/>
      <c r="W683" s="26"/>
      <c r="X683" s="26"/>
    </row>
    <row r="684" spans="8:24" x14ac:dyDescent="0.2">
      <c r="H684" s="26"/>
      <c r="I684" s="26"/>
      <c r="J684" s="26"/>
      <c r="W684" s="26"/>
      <c r="X684" s="26"/>
    </row>
    <row r="685" spans="8:24" x14ac:dyDescent="0.2">
      <c r="H685" s="26"/>
      <c r="I685" s="26"/>
      <c r="J685" s="26"/>
      <c r="W685" s="26"/>
      <c r="X685" s="26"/>
    </row>
    <row r="686" spans="8:24" x14ac:dyDescent="0.2">
      <c r="H686" s="26"/>
      <c r="I686" s="26"/>
      <c r="J686" s="26"/>
      <c r="W686" s="26"/>
      <c r="X686" s="26"/>
    </row>
    <row r="687" spans="8:24" x14ac:dyDescent="0.2">
      <c r="H687" s="26"/>
      <c r="I687" s="26"/>
      <c r="J687" s="26"/>
      <c r="W687" s="26"/>
      <c r="X687" s="26"/>
    </row>
    <row r="688" spans="8:24" x14ac:dyDescent="0.2">
      <c r="H688" s="26"/>
      <c r="I688" s="26"/>
      <c r="J688" s="26"/>
      <c r="W688" s="26"/>
      <c r="X688" s="26"/>
    </row>
    <row r="689" spans="8:24" x14ac:dyDescent="0.2">
      <c r="H689" s="26"/>
      <c r="I689" s="26"/>
      <c r="J689" s="26"/>
      <c r="W689" s="26"/>
      <c r="X689" s="26"/>
    </row>
    <row r="690" spans="8:24" x14ac:dyDescent="0.2">
      <c r="H690" s="26"/>
      <c r="I690" s="26"/>
      <c r="J690" s="26"/>
      <c r="W690" s="26"/>
      <c r="X690" s="26"/>
    </row>
    <row r="691" spans="8:24" x14ac:dyDescent="0.2">
      <c r="H691" s="26"/>
      <c r="I691" s="26"/>
      <c r="J691" s="26"/>
      <c r="W691" s="26"/>
      <c r="X691" s="26"/>
    </row>
    <row r="692" spans="8:24" x14ac:dyDescent="0.2">
      <c r="H692" s="26"/>
      <c r="I692" s="26"/>
      <c r="J692" s="26"/>
      <c r="W692" s="26"/>
      <c r="X692" s="26"/>
    </row>
    <row r="693" spans="8:24" x14ac:dyDescent="0.2">
      <c r="H693" s="26"/>
      <c r="I693" s="26"/>
      <c r="J693" s="26"/>
      <c r="W693" s="26"/>
      <c r="X693" s="26"/>
    </row>
    <row r="694" spans="8:24" x14ac:dyDescent="0.2">
      <c r="H694" s="26"/>
      <c r="I694" s="26"/>
      <c r="J694" s="26"/>
      <c r="W694" s="26"/>
      <c r="X694" s="26"/>
    </row>
    <row r="695" spans="8:24" x14ac:dyDescent="0.2">
      <c r="H695" s="26"/>
      <c r="I695" s="26"/>
      <c r="J695" s="26"/>
      <c r="W695" s="26"/>
      <c r="X695" s="26"/>
    </row>
    <row r="696" spans="8:24" x14ac:dyDescent="0.2">
      <c r="H696" s="26"/>
      <c r="I696" s="26"/>
      <c r="J696" s="26"/>
      <c r="W696" s="26"/>
      <c r="X696" s="26"/>
    </row>
    <row r="697" spans="8:24" x14ac:dyDescent="0.2">
      <c r="H697" s="26"/>
      <c r="I697" s="26"/>
      <c r="J697" s="26"/>
      <c r="W697" s="26"/>
      <c r="X697" s="26"/>
    </row>
    <row r="698" spans="8:24" x14ac:dyDescent="0.2">
      <c r="H698" s="26"/>
      <c r="I698" s="26"/>
      <c r="J698" s="26"/>
      <c r="W698" s="26"/>
      <c r="X698" s="26"/>
    </row>
    <row r="699" spans="8:24" x14ac:dyDescent="0.2">
      <c r="H699" s="26"/>
      <c r="I699" s="26"/>
      <c r="J699" s="26"/>
      <c r="W699" s="26"/>
      <c r="X699" s="26"/>
    </row>
    <row r="700" spans="8:24" x14ac:dyDescent="0.2">
      <c r="H700" s="26"/>
      <c r="I700" s="26"/>
      <c r="J700" s="26"/>
      <c r="W700" s="26"/>
      <c r="X700" s="26"/>
    </row>
    <row r="701" spans="8:24" x14ac:dyDescent="0.2">
      <c r="H701" s="26"/>
      <c r="I701" s="26"/>
      <c r="J701" s="26"/>
      <c r="W701" s="26"/>
      <c r="X701" s="26"/>
    </row>
    <row r="702" spans="8:24" x14ac:dyDescent="0.2">
      <c r="H702" s="26"/>
      <c r="I702" s="26"/>
      <c r="J702" s="26"/>
      <c r="W702" s="26"/>
      <c r="X702" s="26"/>
    </row>
    <row r="703" spans="8:24" x14ac:dyDescent="0.2">
      <c r="H703" s="26"/>
      <c r="I703" s="26"/>
      <c r="J703" s="26"/>
      <c r="W703" s="26"/>
      <c r="X703" s="26"/>
    </row>
    <row r="704" spans="8:24" x14ac:dyDescent="0.2">
      <c r="H704" s="26"/>
      <c r="I704" s="26"/>
      <c r="J704" s="26"/>
      <c r="W704" s="26"/>
      <c r="X704" s="26"/>
    </row>
    <row r="705" spans="8:24" x14ac:dyDescent="0.2">
      <c r="H705" s="26"/>
      <c r="I705" s="26"/>
      <c r="J705" s="26"/>
      <c r="W705" s="26"/>
      <c r="X705" s="26"/>
    </row>
    <row r="706" spans="8:24" x14ac:dyDescent="0.2">
      <c r="H706" s="26"/>
      <c r="I706" s="26"/>
      <c r="J706" s="26"/>
      <c r="W706" s="26"/>
      <c r="X706" s="26"/>
    </row>
    <row r="707" spans="8:24" x14ac:dyDescent="0.2">
      <c r="H707" s="26"/>
      <c r="I707" s="26"/>
      <c r="J707" s="26"/>
      <c r="W707" s="26"/>
      <c r="X707" s="26"/>
    </row>
    <row r="708" spans="8:24" x14ac:dyDescent="0.2">
      <c r="H708" s="26"/>
      <c r="I708" s="26"/>
      <c r="J708" s="26"/>
      <c r="W708" s="26"/>
      <c r="X708" s="26"/>
    </row>
    <row r="709" spans="8:24" x14ac:dyDescent="0.2">
      <c r="H709" s="26"/>
      <c r="I709" s="26"/>
      <c r="J709" s="26"/>
      <c r="W709" s="26"/>
      <c r="X709" s="26"/>
    </row>
    <row r="710" spans="8:24" x14ac:dyDescent="0.2">
      <c r="H710" s="26"/>
      <c r="I710" s="26"/>
      <c r="J710" s="26"/>
      <c r="W710" s="26"/>
      <c r="X710" s="26"/>
    </row>
    <row r="711" spans="8:24" x14ac:dyDescent="0.2">
      <c r="H711" s="26"/>
      <c r="I711" s="26"/>
      <c r="J711" s="26"/>
      <c r="W711" s="26"/>
      <c r="X711" s="26"/>
    </row>
    <row r="712" spans="8:24" x14ac:dyDescent="0.2">
      <c r="H712" s="26"/>
      <c r="I712" s="26"/>
      <c r="J712" s="26"/>
      <c r="W712" s="26"/>
      <c r="X712" s="26"/>
    </row>
    <row r="713" spans="8:24" x14ac:dyDescent="0.2">
      <c r="H713" s="26"/>
      <c r="I713" s="26"/>
      <c r="J713" s="26"/>
      <c r="W713" s="26"/>
      <c r="X713" s="26"/>
    </row>
    <row r="714" spans="8:24" x14ac:dyDescent="0.2">
      <c r="H714" s="26"/>
      <c r="I714" s="26"/>
      <c r="J714" s="26"/>
      <c r="W714" s="26"/>
      <c r="X714" s="26"/>
    </row>
    <row r="715" spans="8:24" x14ac:dyDescent="0.2">
      <c r="H715" s="26"/>
      <c r="I715" s="26"/>
      <c r="J715" s="26"/>
      <c r="W715" s="26"/>
      <c r="X715" s="26"/>
    </row>
    <row r="716" spans="8:24" x14ac:dyDescent="0.2">
      <c r="H716" s="26"/>
      <c r="I716" s="26"/>
      <c r="J716" s="26"/>
      <c r="W716" s="26"/>
      <c r="X716" s="26"/>
    </row>
    <row r="717" spans="8:24" x14ac:dyDescent="0.2">
      <c r="H717" s="26"/>
      <c r="I717" s="26"/>
      <c r="J717" s="26"/>
      <c r="W717" s="26"/>
      <c r="X717" s="26"/>
    </row>
    <row r="718" spans="8:24" x14ac:dyDescent="0.2">
      <c r="H718" s="26"/>
      <c r="I718" s="26"/>
      <c r="J718" s="26"/>
      <c r="W718" s="26"/>
      <c r="X718" s="26"/>
    </row>
    <row r="719" spans="8:24" x14ac:dyDescent="0.2">
      <c r="H719" s="26"/>
      <c r="I719" s="26"/>
      <c r="J719" s="26"/>
      <c r="W719" s="26"/>
      <c r="X719" s="26"/>
    </row>
    <row r="720" spans="8:24" x14ac:dyDescent="0.2">
      <c r="H720" s="26"/>
      <c r="I720" s="26"/>
      <c r="J720" s="26"/>
      <c r="W720" s="26"/>
      <c r="X720" s="26"/>
    </row>
    <row r="721" spans="8:24" x14ac:dyDescent="0.2">
      <c r="H721" s="26"/>
      <c r="I721" s="26"/>
      <c r="J721" s="26"/>
      <c r="W721" s="26"/>
      <c r="X721" s="26"/>
    </row>
    <row r="722" spans="8:24" x14ac:dyDescent="0.2">
      <c r="H722" s="26"/>
      <c r="I722" s="26"/>
      <c r="J722" s="26"/>
      <c r="W722" s="26"/>
      <c r="X722" s="26"/>
    </row>
    <row r="723" spans="8:24" x14ac:dyDescent="0.2">
      <c r="H723" s="26"/>
      <c r="I723" s="26"/>
      <c r="J723" s="26"/>
      <c r="W723" s="26"/>
      <c r="X723" s="26"/>
    </row>
    <row r="724" spans="8:24" x14ac:dyDescent="0.2">
      <c r="H724" s="26"/>
      <c r="I724" s="26"/>
      <c r="J724" s="26"/>
      <c r="W724" s="26"/>
      <c r="X724" s="26"/>
    </row>
    <row r="725" spans="8:24" x14ac:dyDescent="0.2">
      <c r="H725" s="26"/>
      <c r="I725" s="26"/>
      <c r="J725" s="26"/>
      <c r="W725" s="26"/>
      <c r="X725" s="26"/>
    </row>
    <row r="726" spans="8:24" x14ac:dyDescent="0.2">
      <c r="H726" s="26"/>
      <c r="I726" s="26"/>
      <c r="J726" s="26"/>
      <c r="W726" s="26"/>
      <c r="X726" s="26"/>
    </row>
    <row r="727" spans="8:24" x14ac:dyDescent="0.2">
      <c r="H727" s="26"/>
      <c r="I727" s="26"/>
      <c r="J727" s="26"/>
      <c r="W727" s="26"/>
      <c r="X727" s="26"/>
    </row>
    <row r="728" spans="8:24" x14ac:dyDescent="0.2">
      <c r="H728" s="26"/>
      <c r="I728" s="26"/>
      <c r="J728" s="26"/>
      <c r="W728" s="26"/>
      <c r="X728" s="26"/>
    </row>
    <row r="729" spans="8:24" x14ac:dyDescent="0.2">
      <c r="H729" s="26"/>
      <c r="I729" s="26"/>
      <c r="J729" s="26"/>
      <c r="W729" s="26"/>
      <c r="X729" s="26"/>
    </row>
    <row r="730" spans="8:24" x14ac:dyDescent="0.2">
      <c r="H730" s="26"/>
      <c r="I730" s="26"/>
      <c r="J730" s="26"/>
      <c r="W730" s="26"/>
      <c r="X730" s="26"/>
    </row>
    <row r="731" spans="8:24" x14ac:dyDescent="0.2">
      <c r="H731" s="26"/>
      <c r="I731" s="26"/>
      <c r="J731" s="26"/>
      <c r="W731" s="26"/>
      <c r="X731" s="26"/>
    </row>
    <row r="732" spans="8:24" x14ac:dyDescent="0.2">
      <c r="H732" s="26"/>
      <c r="I732" s="26"/>
      <c r="J732" s="26"/>
      <c r="W732" s="26"/>
      <c r="X732" s="26"/>
    </row>
    <row r="733" spans="8:24" x14ac:dyDescent="0.2">
      <c r="H733" s="26"/>
      <c r="I733" s="26"/>
      <c r="J733" s="26"/>
      <c r="W733" s="26"/>
      <c r="X733" s="26"/>
    </row>
    <row r="734" spans="8:24" x14ac:dyDescent="0.2">
      <c r="H734" s="26"/>
      <c r="I734" s="26"/>
      <c r="J734" s="26"/>
      <c r="W734" s="26"/>
      <c r="X734" s="26"/>
    </row>
    <row r="735" spans="8:24" x14ac:dyDescent="0.2">
      <c r="H735" s="26"/>
      <c r="I735" s="26"/>
      <c r="J735" s="26"/>
      <c r="W735" s="26"/>
      <c r="X735" s="26"/>
    </row>
    <row r="736" spans="8:24" x14ac:dyDescent="0.2">
      <c r="H736" s="26"/>
      <c r="I736" s="26"/>
      <c r="J736" s="26"/>
      <c r="W736" s="26"/>
      <c r="X736" s="26"/>
    </row>
    <row r="737" spans="8:24" x14ac:dyDescent="0.2">
      <c r="H737" s="26"/>
      <c r="I737" s="26"/>
      <c r="J737" s="26"/>
      <c r="W737" s="26"/>
      <c r="X737" s="26"/>
    </row>
    <row r="738" spans="8:24" x14ac:dyDescent="0.2">
      <c r="H738" s="26"/>
      <c r="I738" s="26"/>
      <c r="J738" s="26"/>
      <c r="W738" s="26"/>
      <c r="X738" s="26"/>
    </row>
    <row r="739" spans="8:24" x14ac:dyDescent="0.2">
      <c r="H739" s="26"/>
      <c r="I739" s="26"/>
      <c r="J739" s="26"/>
      <c r="W739" s="26"/>
      <c r="X739" s="26"/>
    </row>
    <row r="740" spans="8:24" x14ac:dyDescent="0.2">
      <c r="H740" s="26"/>
      <c r="I740" s="26"/>
      <c r="J740" s="26"/>
      <c r="W740" s="26"/>
      <c r="X740" s="26"/>
    </row>
    <row r="741" spans="8:24" x14ac:dyDescent="0.2">
      <c r="H741" s="26"/>
      <c r="I741" s="26"/>
      <c r="J741" s="26"/>
      <c r="W741" s="26"/>
      <c r="X741" s="26"/>
    </row>
    <row r="742" spans="8:24" x14ac:dyDescent="0.2">
      <c r="H742" s="26"/>
      <c r="I742" s="26"/>
      <c r="J742" s="26"/>
      <c r="W742" s="26"/>
      <c r="X742" s="26"/>
    </row>
    <row r="743" spans="8:24" x14ac:dyDescent="0.2">
      <c r="H743" s="26"/>
      <c r="I743" s="26"/>
      <c r="J743" s="26"/>
      <c r="W743" s="26"/>
      <c r="X743" s="26"/>
    </row>
    <row r="744" spans="8:24" x14ac:dyDescent="0.2">
      <c r="H744" s="26"/>
      <c r="I744" s="26"/>
      <c r="J744" s="26"/>
      <c r="W744" s="26"/>
      <c r="X744" s="26"/>
    </row>
    <row r="745" spans="8:24" x14ac:dyDescent="0.2">
      <c r="H745" s="26"/>
      <c r="I745" s="26"/>
      <c r="J745" s="26"/>
      <c r="W745" s="26"/>
      <c r="X745" s="26"/>
    </row>
    <row r="746" spans="8:24" x14ac:dyDescent="0.2">
      <c r="H746" s="26"/>
      <c r="I746" s="26"/>
      <c r="J746" s="26"/>
      <c r="W746" s="26"/>
      <c r="X746" s="26"/>
    </row>
    <row r="747" spans="8:24" x14ac:dyDescent="0.2">
      <c r="H747" s="26"/>
      <c r="I747" s="26"/>
      <c r="J747" s="26"/>
      <c r="W747" s="26"/>
      <c r="X747" s="26"/>
    </row>
    <row r="748" spans="8:24" x14ac:dyDescent="0.2">
      <c r="H748" s="26"/>
      <c r="I748" s="26"/>
      <c r="J748" s="26"/>
      <c r="W748" s="26"/>
      <c r="X748" s="26"/>
    </row>
    <row r="749" spans="8:24" x14ac:dyDescent="0.2">
      <c r="H749" s="26"/>
      <c r="I749" s="26"/>
      <c r="J749" s="26"/>
      <c r="W749" s="26"/>
      <c r="X749" s="26"/>
    </row>
    <row r="750" spans="8:24" x14ac:dyDescent="0.2">
      <c r="H750" s="26"/>
      <c r="I750" s="26"/>
      <c r="J750" s="26"/>
      <c r="W750" s="26"/>
      <c r="X750" s="26"/>
    </row>
    <row r="751" spans="8:24" x14ac:dyDescent="0.2">
      <c r="H751" s="26"/>
      <c r="I751" s="26"/>
      <c r="J751" s="26"/>
      <c r="W751" s="26"/>
      <c r="X751" s="26"/>
    </row>
    <row r="752" spans="8:24" x14ac:dyDescent="0.2">
      <c r="H752" s="26"/>
      <c r="I752" s="26"/>
      <c r="J752" s="26"/>
      <c r="W752" s="26"/>
      <c r="X752" s="26"/>
    </row>
    <row r="753" spans="8:24" x14ac:dyDescent="0.2">
      <c r="H753" s="26"/>
      <c r="I753" s="26"/>
      <c r="J753" s="26"/>
      <c r="W753" s="26"/>
      <c r="X753" s="26"/>
    </row>
    <row r="754" spans="8:24" x14ac:dyDescent="0.2">
      <c r="H754" s="26"/>
      <c r="I754" s="26"/>
      <c r="J754" s="26"/>
      <c r="W754" s="26"/>
      <c r="X754" s="26"/>
    </row>
    <row r="755" spans="8:24" x14ac:dyDescent="0.2">
      <c r="H755" s="26"/>
      <c r="I755" s="26"/>
      <c r="J755" s="26"/>
      <c r="W755" s="26"/>
      <c r="X755" s="26"/>
    </row>
    <row r="756" spans="8:24" x14ac:dyDescent="0.2">
      <c r="H756" s="26"/>
      <c r="I756" s="26"/>
      <c r="J756" s="26"/>
      <c r="W756" s="26"/>
      <c r="X756" s="26"/>
    </row>
    <row r="757" spans="8:24" x14ac:dyDescent="0.2">
      <c r="H757" s="26"/>
      <c r="I757" s="26"/>
      <c r="J757" s="26"/>
      <c r="W757" s="26"/>
      <c r="X757" s="26"/>
    </row>
    <row r="758" spans="8:24" x14ac:dyDescent="0.2">
      <c r="H758" s="26"/>
      <c r="I758" s="26"/>
      <c r="J758" s="26"/>
      <c r="W758" s="26"/>
      <c r="X758" s="26"/>
    </row>
    <row r="759" spans="8:24" x14ac:dyDescent="0.2">
      <c r="H759" s="26"/>
      <c r="I759" s="26"/>
      <c r="J759" s="26"/>
      <c r="W759" s="26"/>
      <c r="X759" s="26"/>
    </row>
    <row r="760" spans="8:24" x14ac:dyDescent="0.2">
      <c r="H760" s="26"/>
      <c r="I760" s="26"/>
      <c r="J760" s="26"/>
      <c r="W760" s="26"/>
      <c r="X760" s="26"/>
    </row>
    <row r="761" spans="8:24" x14ac:dyDescent="0.2">
      <c r="H761" s="26"/>
      <c r="I761" s="26"/>
      <c r="J761" s="26"/>
      <c r="W761" s="26"/>
      <c r="X761" s="26"/>
    </row>
    <row r="762" spans="8:24" x14ac:dyDescent="0.2">
      <c r="H762" s="26"/>
      <c r="I762" s="26"/>
      <c r="J762" s="26"/>
      <c r="W762" s="26"/>
      <c r="X762" s="26"/>
    </row>
    <row r="763" spans="8:24" x14ac:dyDescent="0.2">
      <c r="H763" s="26"/>
      <c r="I763" s="26"/>
      <c r="J763" s="26"/>
      <c r="W763" s="26"/>
      <c r="X763" s="26"/>
    </row>
    <row r="764" spans="8:24" x14ac:dyDescent="0.2">
      <c r="H764" s="26"/>
      <c r="I764" s="26"/>
      <c r="J764" s="26"/>
      <c r="W764" s="26"/>
      <c r="X764" s="26"/>
    </row>
    <row r="765" spans="8:24" x14ac:dyDescent="0.2">
      <c r="H765" s="26"/>
      <c r="I765" s="26"/>
      <c r="J765" s="26"/>
      <c r="W765" s="26"/>
      <c r="X765" s="26"/>
    </row>
    <row r="766" spans="8:24" x14ac:dyDescent="0.2">
      <c r="H766" s="26"/>
      <c r="I766" s="26"/>
      <c r="J766" s="26"/>
      <c r="W766" s="26"/>
      <c r="X766" s="26"/>
    </row>
    <row r="767" spans="8:24" x14ac:dyDescent="0.2">
      <c r="H767" s="26"/>
      <c r="I767" s="26"/>
      <c r="J767" s="26"/>
      <c r="W767" s="26"/>
      <c r="X767" s="26"/>
    </row>
    <row r="768" spans="8:24" x14ac:dyDescent="0.2">
      <c r="H768" s="26"/>
      <c r="I768" s="26"/>
      <c r="J768" s="26"/>
      <c r="W768" s="26"/>
      <c r="X768" s="26"/>
    </row>
    <row r="769" spans="8:24" x14ac:dyDescent="0.2">
      <c r="H769" s="26"/>
      <c r="I769" s="26"/>
      <c r="J769" s="26"/>
      <c r="W769" s="26"/>
      <c r="X769" s="26"/>
    </row>
    <row r="770" spans="8:24" x14ac:dyDescent="0.2">
      <c r="H770" s="26"/>
      <c r="I770" s="26"/>
      <c r="J770" s="26"/>
      <c r="W770" s="26"/>
      <c r="X770" s="26"/>
    </row>
    <row r="771" spans="8:24" x14ac:dyDescent="0.2">
      <c r="H771" s="26"/>
      <c r="I771" s="26"/>
      <c r="J771" s="26"/>
      <c r="W771" s="26"/>
      <c r="X771" s="26"/>
    </row>
    <row r="772" spans="8:24" x14ac:dyDescent="0.2">
      <c r="H772" s="26"/>
      <c r="I772" s="26"/>
      <c r="J772" s="26"/>
      <c r="W772" s="26"/>
      <c r="X772" s="26"/>
    </row>
    <row r="773" spans="8:24" x14ac:dyDescent="0.2">
      <c r="H773" s="26"/>
      <c r="I773" s="26"/>
      <c r="J773" s="26"/>
      <c r="W773" s="26"/>
      <c r="X773" s="26"/>
    </row>
    <row r="774" spans="8:24" x14ac:dyDescent="0.2">
      <c r="H774" s="26"/>
      <c r="I774" s="26"/>
      <c r="J774" s="26"/>
      <c r="W774" s="26"/>
      <c r="X774" s="26"/>
    </row>
    <row r="775" spans="8:24" x14ac:dyDescent="0.2">
      <c r="H775" s="26"/>
      <c r="I775" s="26"/>
      <c r="J775" s="26"/>
      <c r="W775" s="26"/>
      <c r="X775" s="26"/>
    </row>
    <row r="776" spans="8:24" x14ac:dyDescent="0.2">
      <c r="H776" s="26"/>
      <c r="I776" s="26"/>
      <c r="J776" s="26"/>
      <c r="W776" s="26"/>
      <c r="X776" s="26"/>
    </row>
    <row r="777" spans="8:24" x14ac:dyDescent="0.2">
      <c r="H777" s="26"/>
      <c r="I777" s="26"/>
      <c r="J777" s="26"/>
      <c r="W777" s="26"/>
      <c r="X777" s="26"/>
    </row>
    <row r="778" spans="8:24" x14ac:dyDescent="0.2">
      <c r="H778" s="26"/>
      <c r="I778" s="26"/>
      <c r="J778" s="26"/>
      <c r="W778" s="26"/>
      <c r="X778" s="26"/>
    </row>
    <row r="779" spans="8:24" x14ac:dyDescent="0.2">
      <c r="H779" s="26"/>
      <c r="I779" s="26"/>
      <c r="J779" s="26"/>
      <c r="W779" s="26"/>
      <c r="X779" s="26"/>
    </row>
    <row r="780" spans="8:24" x14ac:dyDescent="0.2">
      <c r="H780" s="26"/>
      <c r="I780" s="26"/>
      <c r="J780" s="26"/>
      <c r="W780" s="26"/>
      <c r="X780" s="26"/>
    </row>
    <row r="781" spans="8:24" x14ac:dyDescent="0.2">
      <c r="H781" s="26"/>
      <c r="I781" s="26"/>
      <c r="J781" s="26"/>
      <c r="W781" s="26"/>
      <c r="X781" s="26"/>
    </row>
    <row r="782" spans="8:24" x14ac:dyDescent="0.2">
      <c r="H782" s="26"/>
      <c r="I782" s="26"/>
      <c r="J782" s="26"/>
      <c r="W782" s="26"/>
      <c r="X782" s="26"/>
    </row>
    <row r="783" spans="8:24" x14ac:dyDescent="0.2">
      <c r="H783" s="26"/>
      <c r="I783" s="26"/>
      <c r="J783" s="26"/>
      <c r="W783" s="26"/>
      <c r="X783" s="26"/>
    </row>
    <row r="784" spans="8:24" x14ac:dyDescent="0.2">
      <c r="H784" s="26"/>
      <c r="I784" s="26"/>
      <c r="J784" s="26"/>
      <c r="W784" s="26"/>
      <c r="X784" s="26"/>
    </row>
    <row r="785" spans="8:24" x14ac:dyDescent="0.2">
      <c r="H785" s="26"/>
      <c r="I785" s="26"/>
      <c r="J785" s="26"/>
      <c r="W785" s="26"/>
      <c r="X785" s="26"/>
    </row>
    <row r="786" spans="8:24" x14ac:dyDescent="0.2">
      <c r="H786" s="26"/>
      <c r="I786" s="26"/>
      <c r="J786" s="26"/>
      <c r="W786" s="26"/>
      <c r="X786" s="26"/>
    </row>
    <row r="787" spans="8:24" x14ac:dyDescent="0.2">
      <c r="H787" s="26"/>
      <c r="I787" s="26"/>
      <c r="J787" s="26"/>
      <c r="W787" s="26"/>
      <c r="X787" s="26"/>
    </row>
    <row r="788" spans="8:24" x14ac:dyDescent="0.2">
      <c r="H788" s="26"/>
      <c r="I788" s="26"/>
      <c r="J788" s="26"/>
      <c r="W788" s="26"/>
      <c r="X788" s="26"/>
    </row>
    <row r="789" spans="8:24" x14ac:dyDescent="0.2">
      <c r="H789" s="26"/>
      <c r="I789" s="26"/>
      <c r="J789" s="26"/>
      <c r="W789" s="26"/>
      <c r="X789" s="26"/>
    </row>
    <row r="790" spans="8:24" x14ac:dyDescent="0.2">
      <c r="H790" s="26"/>
      <c r="I790" s="26"/>
      <c r="J790" s="26"/>
      <c r="W790" s="26"/>
      <c r="X790" s="26"/>
    </row>
    <row r="791" spans="8:24" x14ac:dyDescent="0.2">
      <c r="H791" s="26"/>
      <c r="I791" s="26"/>
      <c r="J791" s="26"/>
      <c r="W791" s="26"/>
      <c r="X791" s="26"/>
    </row>
    <row r="792" spans="8:24" x14ac:dyDescent="0.2">
      <c r="H792" s="26"/>
      <c r="I792" s="26"/>
      <c r="J792" s="26"/>
      <c r="W792" s="26"/>
      <c r="X792" s="26"/>
    </row>
    <row r="793" spans="8:24" x14ac:dyDescent="0.2">
      <c r="H793" s="26"/>
      <c r="I793" s="26"/>
      <c r="J793" s="26"/>
      <c r="W793" s="26"/>
      <c r="X793" s="26"/>
    </row>
    <row r="794" spans="8:24" x14ac:dyDescent="0.2">
      <c r="H794" s="26"/>
      <c r="I794" s="26"/>
      <c r="J794" s="26"/>
      <c r="W794" s="26"/>
      <c r="X794" s="26"/>
    </row>
    <row r="795" spans="8:24" x14ac:dyDescent="0.2">
      <c r="H795" s="26"/>
      <c r="I795" s="26"/>
      <c r="J795" s="26"/>
      <c r="W795" s="26"/>
      <c r="X795" s="26"/>
    </row>
    <row r="796" spans="8:24" x14ac:dyDescent="0.2">
      <c r="H796" s="26"/>
      <c r="I796" s="26"/>
      <c r="J796" s="26"/>
      <c r="W796" s="26"/>
      <c r="X796" s="26"/>
    </row>
    <row r="797" spans="8:24" x14ac:dyDescent="0.2">
      <c r="H797" s="26"/>
      <c r="I797" s="26"/>
      <c r="J797" s="26"/>
      <c r="W797" s="26"/>
      <c r="X797" s="26"/>
    </row>
    <row r="798" spans="8:24" x14ac:dyDescent="0.2">
      <c r="H798" s="26"/>
      <c r="I798" s="26"/>
      <c r="J798" s="26"/>
      <c r="W798" s="26"/>
      <c r="X798" s="26"/>
    </row>
    <row r="799" spans="8:24" x14ac:dyDescent="0.2">
      <c r="H799" s="26"/>
      <c r="I799" s="26"/>
      <c r="J799" s="26"/>
      <c r="W799" s="26"/>
      <c r="X799" s="26"/>
    </row>
    <row r="800" spans="8:24" x14ac:dyDescent="0.2">
      <c r="H800" s="26"/>
      <c r="I800" s="26"/>
      <c r="J800" s="26"/>
      <c r="W800" s="26"/>
      <c r="X800" s="26"/>
    </row>
    <row r="801" spans="8:24" x14ac:dyDescent="0.2">
      <c r="H801" s="26"/>
      <c r="I801" s="26"/>
      <c r="J801" s="26"/>
      <c r="W801" s="26"/>
      <c r="X801" s="26"/>
    </row>
    <row r="802" spans="8:24" x14ac:dyDescent="0.2">
      <c r="H802" s="26"/>
      <c r="I802" s="26"/>
      <c r="J802" s="26"/>
      <c r="W802" s="26"/>
      <c r="X802" s="26"/>
    </row>
    <row r="803" spans="8:24" x14ac:dyDescent="0.2">
      <c r="H803" s="26"/>
      <c r="I803" s="26"/>
      <c r="J803" s="26"/>
      <c r="W803" s="26"/>
      <c r="X803" s="26"/>
    </row>
    <row r="804" spans="8:24" x14ac:dyDescent="0.2">
      <c r="H804" s="26"/>
      <c r="I804" s="26"/>
      <c r="J804" s="26"/>
      <c r="W804" s="26"/>
      <c r="X804" s="26"/>
    </row>
    <row r="805" spans="8:24" x14ac:dyDescent="0.2">
      <c r="H805" s="26"/>
      <c r="I805" s="26"/>
      <c r="J805" s="26"/>
      <c r="W805" s="26"/>
      <c r="X805" s="26"/>
    </row>
    <row r="806" spans="8:24" x14ac:dyDescent="0.2">
      <c r="H806" s="26"/>
      <c r="I806" s="26"/>
      <c r="J806" s="26"/>
      <c r="W806" s="26"/>
      <c r="X806" s="26"/>
    </row>
    <row r="807" spans="8:24" x14ac:dyDescent="0.2">
      <c r="H807" s="26"/>
      <c r="I807" s="26"/>
      <c r="J807" s="26"/>
      <c r="W807" s="26"/>
      <c r="X807" s="26"/>
    </row>
    <row r="808" spans="8:24" x14ac:dyDescent="0.2">
      <c r="H808" s="26"/>
      <c r="I808" s="26"/>
      <c r="J808" s="26"/>
      <c r="W808" s="26"/>
      <c r="X808" s="26"/>
    </row>
    <row r="809" spans="8:24" x14ac:dyDescent="0.2">
      <c r="H809" s="26"/>
      <c r="I809" s="26"/>
      <c r="J809" s="26"/>
      <c r="W809" s="26"/>
      <c r="X809" s="26"/>
    </row>
    <row r="810" spans="8:24" x14ac:dyDescent="0.2">
      <c r="H810" s="26"/>
      <c r="I810" s="26"/>
      <c r="J810" s="26"/>
      <c r="W810" s="26"/>
      <c r="X810" s="26"/>
    </row>
    <row r="811" spans="8:24" x14ac:dyDescent="0.2">
      <c r="H811" s="26"/>
      <c r="I811" s="26"/>
      <c r="J811" s="26"/>
      <c r="W811" s="26"/>
      <c r="X811" s="26"/>
    </row>
    <row r="812" spans="8:24" x14ac:dyDescent="0.2">
      <c r="H812" s="26"/>
      <c r="I812" s="26"/>
      <c r="J812" s="26"/>
      <c r="W812" s="26"/>
      <c r="X812" s="26"/>
    </row>
    <row r="813" spans="8:24" x14ac:dyDescent="0.2">
      <c r="H813" s="26"/>
      <c r="I813" s="26"/>
      <c r="J813" s="26"/>
      <c r="W813" s="26"/>
      <c r="X813" s="26"/>
    </row>
    <row r="814" spans="8:24" x14ac:dyDescent="0.2">
      <c r="H814" s="26"/>
      <c r="I814" s="26"/>
      <c r="J814" s="26"/>
      <c r="W814" s="26"/>
      <c r="X814" s="26"/>
    </row>
    <row r="815" spans="8:24" x14ac:dyDescent="0.2">
      <c r="H815" s="26"/>
      <c r="I815" s="26"/>
      <c r="J815" s="26"/>
      <c r="W815" s="26"/>
      <c r="X815" s="26"/>
    </row>
    <row r="816" spans="8:24" x14ac:dyDescent="0.2">
      <c r="H816" s="26"/>
      <c r="I816" s="26"/>
      <c r="J816" s="26"/>
      <c r="W816" s="26"/>
      <c r="X816" s="26"/>
    </row>
    <row r="817" spans="8:24" x14ac:dyDescent="0.2">
      <c r="H817" s="26"/>
      <c r="I817" s="26"/>
      <c r="J817" s="26"/>
      <c r="W817" s="26"/>
      <c r="X817" s="26"/>
    </row>
    <row r="818" spans="8:24" x14ac:dyDescent="0.2">
      <c r="H818" s="26"/>
      <c r="I818" s="26"/>
      <c r="J818" s="26"/>
      <c r="W818" s="26"/>
      <c r="X818" s="26"/>
    </row>
    <row r="819" spans="8:24" x14ac:dyDescent="0.2">
      <c r="H819" s="26"/>
      <c r="I819" s="26"/>
      <c r="J819" s="26"/>
      <c r="W819" s="26"/>
      <c r="X819" s="26"/>
    </row>
    <row r="820" spans="8:24" x14ac:dyDescent="0.2">
      <c r="H820" s="26"/>
      <c r="I820" s="26"/>
      <c r="J820" s="26"/>
      <c r="W820" s="26"/>
      <c r="X820" s="26"/>
    </row>
    <row r="821" spans="8:24" x14ac:dyDescent="0.2">
      <c r="H821" s="26"/>
      <c r="I821" s="26"/>
      <c r="J821" s="26"/>
      <c r="W821" s="26"/>
      <c r="X821" s="26"/>
    </row>
    <row r="822" spans="8:24" x14ac:dyDescent="0.2">
      <c r="H822" s="26"/>
      <c r="I822" s="26"/>
      <c r="J822" s="26"/>
      <c r="W822" s="26"/>
      <c r="X822" s="26"/>
    </row>
    <row r="823" spans="8:24" x14ac:dyDescent="0.2">
      <c r="H823" s="26"/>
      <c r="I823" s="26"/>
      <c r="J823" s="26"/>
      <c r="W823" s="26"/>
      <c r="X823" s="26"/>
    </row>
    <row r="824" spans="8:24" x14ac:dyDescent="0.2">
      <c r="H824" s="26"/>
      <c r="I824" s="26"/>
      <c r="J824" s="26"/>
      <c r="W824" s="26"/>
      <c r="X824" s="26"/>
    </row>
    <row r="825" spans="8:24" x14ac:dyDescent="0.2">
      <c r="H825" s="26"/>
      <c r="I825" s="26"/>
      <c r="J825" s="26"/>
      <c r="W825" s="26"/>
      <c r="X825" s="26"/>
    </row>
    <row r="826" spans="8:24" x14ac:dyDescent="0.2">
      <c r="H826" s="26"/>
      <c r="I826" s="26"/>
      <c r="J826" s="26"/>
      <c r="W826" s="26"/>
      <c r="X826" s="26"/>
    </row>
    <row r="827" spans="8:24" x14ac:dyDescent="0.2">
      <c r="H827" s="26"/>
      <c r="I827" s="26"/>
      <c r="J827" s="26"/>
      <c r="W827" s="26"/>
      <c r="X827" s="26"/>
    </row>
    <row r="828" spans="8:24" x14ac:dyDescent="0.2">
      <c r="H828" s="26"/>
      <c r="I828" s="26"/>
      <c r="J828" s="26"/>
      <c r="W828" s="26"/>
      <c r="X828" s="26"/>
    </row>
    <row r="829" spans="8:24" x14ac:dyDescent="0.2">
      <c r="H829" s="26"/>
      <c r="I829" s="26"/>
      <c r="J829" s="26"/>
      <c r="W829" s="26"/>
      <c r="X829" s="26"/>
    </row>
    <row r="830" spans="8:24" x14ac:dyDescent="0.2">
      <c r="H830" s="26"/>
      <c r="I830" s="26"/>
      <c r="J830" s="26"/>
      <c r="W830" s="26"/>
      <c r="X830" s="26"/>
    </row>
    <row r="831" spans="8:24" x14ac:dyDescent="0.2">
      <c r="H831" s="26"/>
      <c r="I831" s="26"/>
      <c r="J831" s="26"/>
      <c r="W831" s="26"/>
      <c r="X831" s="26"/>
    </row>
    <row r="832" spans="8:24" x14ac:dyDescent="0.2">
      <c r="H832" s="26"/>
      <c r="I832" s="26"/>
      <c r="J832" s="26"/>
      <c r="W832" s="26"/>
      <c r="X832" s="26"/>
    </row>
    <row r="833" spans="8:24" x14ac:dyDescent="0.2">
      <c r="H833" s="26"/>
      <c r="I833" s="26"/>
      <c r="J833" s="26"/>
      <c r="W833" s="26"/>
      <c r="X833" s="26"/>
    </row>
    <row r="834" spans="8:24" x14ac:dyDescent="0.2">
      <c r="H834" s="26"/>
      <c r="I834" s="26"/>
      <c r="J834" s="26"/>
      <c r="W834" s="26"/>
      <c r="X834" s="26"/>
    </row>
    <row r="835" spans="8:24" x14ac:dyDescent="0.2">
      <c r="H835" s="26"/>
      <c r="I835" s="26"/>
      <c r="J835" s="26"/>
      <c r="W835" s="26"/>
      <c r="X835" s="26"/>
    </row>
    <row r="836" spans="8:24" x14ac:dyDescent="0.2">
      <c r="H836" s="26"/>
      <c r="I836" s="26"/>
      <c r="J836" s="26"/>
      <c r="W836" s="26"/>
      <c r="X836" s="26"/>
    </row>
    <row r="837" spans="8:24" x14ac:dyDescent="0.2">
      <c r="H837" s="26"/>
      <c r="I837" s="26"/>
      <c r="J837" s="26"/>
      <c r="W837" s="26"/>
      <c r="X837" s="26"/>
    </row>
    <row r="838" spans="8:24" x14ac:dyDescent="0.2">
      <c r="H838" s="26"/>
      <c r="I838" s="26"/>
      <c r="J838" s="26"/>
      <c r="W838" s="26"/>
      <c r="X838" s="26"/>
    </row>
    <row r="839" spans="8:24" x14ac:dyDescent="0.2">
      <c r="H839" s="26"/>
      <c r="I839" s="26"/>
      <c r="J839" s="26"/>
      <c r="W839" s="26"/>
      <c r="X839" s="26"/>
    </row>
    <row r="840" spans="8:24" x14ac:dyDescent="0.2">
      <c r="H840" s="26"/>
      <c r="I840" s="26"/>
      <c r="J840" s="26"/>
      <c r="W840" s="26"/>
      <c r="X840" s="26"/>
    </row>
    <row r="841" spans="8:24" x14ac:dyDescent="0.2">
      <c r="H841" s="26"/>
      <c r="I841" s="26"/>
      <c r="J841" s="26"/>
      <c r="W841" s="26"/>
      <c r="X841" s="26"/>
    </row>
    <row r="842" spans="8:24" x14ac:dyDescent="0.2">
      <c r="H842" s="26"/>
      <c r="I842" s="26"/>
      <c r="J842" s="26"/>
      <c r="W842" s="26"/>
      <c r="X842" s="26"/>
    </row>
    <row r="843" spans="8:24" x14ac:dyDescent="0.2">
      <c r="H843" s="26"/>
      <c r="I843" s="26"/>
      <c r="J843" s="26"/>
      <c r="W843" s="26"/>
      <c r="X843" s="26"/>
    </row>
    <row r="844" spans="8:24" x14ac:dyDescent="0.2">
      <c r="H844" s="26"/>
      <c r="I844" s="26"/>
      <c r="J844" s="26"/>
      <c r="W844" s="26"/>
      <c r="X844" s="26"/>
    </row>
    <row r="845" spans="8:24" x14ac:dyDescent="0.2">
      <c r="H845" s="26"/>
      <c r="I845" s="26"/>
      <c r="J845" s="26"/>
      <c r="W845" s="26"/>
      <c r="X845" s="26"/>
    </row>
    <row r="846" spans="8:24" x14ac:dyDescent="0.2">
      <c r="H846" s="26"/>
      <c r="I846" s="26"/>
      <c r="J846" s="26"/>
      <c r="W846" s="26"/>
      <c r="X846" s="26"/>
    </row>
    <row r="847" spans="8:24" x14ac:dyDescent="0.2">
      <c r="H847" s="26"/>
      <c r="I847" s="26"/>
      <c r="J847" s="26"/>
      <c r="W847" s="26"/>
      <c r="X847" s="26"/>
    </row>
    <row r="848" spans="8:24" x14ac:dyDescent="0.2">
      <c r="H848" s="26"/>
      <c r="I848" s="26"/>
      <c r="J848" s="26"/>
      <c r="W848" s="26"/>
      <c r="X848" s="26"/>
    </row>
    <row r="849" spans="8:24" x14ac:dyDescent="0.2">
      <c r="H849" s="26"/>
      <c r="I849" s="26"/>
      <c r="J849" s="26"/>
      <c r="W849" s="26"/>
      <c r="X849" s="26"/>
    </row>
    <row r="850" spans="8:24" x14ac:dyDescent="0.2">
      <c r="H850" s="26"/>
      <c r="I850" s="26"/>
      <c r="J850" s="26"/>
      <c r="W850" s="26"/>
      <c r="X850" s="26"/>
    </row>
    <row r="851" spans="8:24" x14ac:dyDescent="0.2">
      <c r="H851" s="26"/>
      <c r="I851" s="26"/>
      <c r="J851" s="26"/>
      <c r="W851" s="26"/>
      <c r="X851" s="26"/>
    </row>
    <row r="852" spans="8:24" x14ac:dyDescent="0.2">
      <c r="H852" s="26"/>
      <c r="I852" s="26"/>
      <c r="J852" s="26"/>
      <c r="W852" s="26"/>
      <c r="X852" s="26"/>
    </row>
    <row r="853" spans="8:24" x14ac:dyDescent="0.2">
      <c r="H853" s="26"/>
      <c r="I853" s="26"/>
      <c r="J853" s="26"/>
      <c r="W853" s="26"/>
      <c r="X853" s="26"/>
    </row>
    <row r="854" spans="8:24" x14ac:dyDescent="0.2">
      <c r="H854" s="26"/>
      <c r="I854" s="26"/>
      <c r="J854" s="26"/>
      <c r="W854" s="26"/>
      <c r="X854" s="26"/>
    </row>
    <row r="855" spans="8:24" x14ac:dyDescent="0.2">
      <c r="H855" s="26"/>
      <c r="I855" s="26"/>
      <c r="J855" s="26"/>
      <c r="W855" s="26"/>
      <c r="X855" s="26"/>
    </row>
    <row r="856" spans="8:24" x14ac:dyDescent="0.2">
      <c r="H856" s="26"/>
      <c r="I856" s="26"/>
      <c r="J856" s="26"/>
      <c r="W856" s="26"/>
      <c r="X856" s="26"/>
    </row>
    <row r="857" spans="8:24" x14ac:dyDescent="0.2">
      <c r="H857" s="26"/>
      <c r="I857" s="26"/>
      <c r="J857" s="26"/>
      <c r="W857" s="26"/>
      <c r="X857" s="26"/>
    </row>
    <row r="858" spans="8:24" x14ac:dyDescent="0.2">
      <c r="H858" s="26"/>
      <c r="I858" s="26"/>
      <c r="J858" s="26"/>
      <c r="W858" s="26"/>
      <c r="X858" s="26"/>
    </row>
    <row r="859" spans="8:24" x14ac:dyDescent="0.2">
      <c r="H859" s="26"/>
      <c r="I859" s="26"/>
      <c r="J859" s="26"/>
      <c r="W859" s="26"/>
      <c r="X859" s="26"/>
    </row>
    <row r="860" spans="8:24" x14ac:dyDescent="0.2">
      <c r="H860" s="26"/>
      <c r="I860" s="26"/>
      <c r="J860" s="26"/>
      <c r="W860" s="26"/>
      <c r="X860" s="26"/>
    </row>
    <row r="861" spans="8:24" x14ac:dyDescent="0.2">
      <c r="H861" s="26"/>
      <c r="I861" s="26"/>
      <c r="J861" s="26"/>
      <c r="W861" s="26"/>
      <c r="X861" s="26"/>
    </row>
    <row r="862" spans="8:24" x14ac:dyDescent="0.2">
      <c r="H862" s="26"/>
      <c r="I862" s="26"/>
      <c r="J862" s="26"/>
      <c r="W862" s="26"/>
      <c r="X862" s="26"/>
    </row>
    <row r="863" spans="8:24" x14ac:dyDescent="0.2">
      <c r="H863" s="26"/>
      <c r="I863" s="26"/>
      <c r="J863" s="26"/>
      <c r="W863" s="26"/>
      <c r="X863" s="26"/>
    </row>
    <row r="864" spans="8:24" x14ac:dyDescent="0.2">
      <c r="H864" s="26"/>
      <c r="I864" s="26"/>
      <c r="J864" s="26"/>
      <c r="W864" s="26"/>
      <c r="X864" s="26"/>
    </row>
    <row r="865" spans="8:24" x14ac:dyDescent="0.2">
      <c r="H865" s="26"/>
      <c r="I865" s="26"/>
      <c r="J865" s="26"/>
      <c r="W865" s="26"/>
      <c r="X865" s="26"/>
    </row>
    <row r="866" spans="8:24" x14ac:dyDescent="0.2">
      <c r="H866" s="26"/>
      <c r="I866" s="26"/>
      <c r="J866" s="26"/>
      <c r="W866" s="26"/>
      <c r="X866" s="26"/>
    </row>
    <row r="867" spans="8:24" x14ac:dyDescent="0.2">
      <c r="H867" s="26"/>
      <c r="I867" s="26"/>
      <c r="J867" s="26"/>
      <c r="W867" s="26"/>
      <c r="X867" s="26"/>
    </row>
    <row r="868" spans="8:24" x14ac:dyDescent="0.2">
      <c r="H868" s="26"/>
      <c r="I868" s="26"/>
      <c r="J868" s="26"/>
      <c r="W868" s="26"/>
      <c r="X868" s="26"/>
    </row>
    <row r="869" spans="8:24" x14ac:dyDescent="0.2">
      <c r="H869" s="26"/>
      <c r="I869" s="26"/>
      <c r="J869" s="26"/>
      <c r="W869" s="26"/>
      <c r="X869" s="26"/>
    </row>
    <row r="870" spans="8:24" x14ac:dyDescent="0.2">
      <c r="H870" s="26"/>
      <c r="I870" s="26"/>
      <c r="J870" s="26"/>
      <c r="W870" s="26"/>
      <c r="X870" s="26"/>
    </row>
    <row r="871" spans="8:24" x14ac:dyDescent="0.2">
      <c r="H871" s="26"/>
      <c r="I871" s="26"/>
      <c r="J871" s="26"/>
      <c r="W871" s="26"/>
      <c r="X871" s="26"/>
    </row>
    <row r="872" spans="8:24" x14ac:dyDescent="0.2">
      <c r="H872" s="26"/>
      <c r="I872" s="26"/>
      <c r="J872" s="26"/>
      <c r="W872" s="26"/>
      <c r="X872" s="26"/>
    </row>
    <row r="873" spans="8:24" x14ac:dyDescent="0.2">
      <c r="H873" s="26"/>
      <c r="I873" s="26"/>
      <c r="J873" s="26"/>
      <c r="W873" s="26"/>
      <c r="X873" s="26"/>
    </row>
    <row r="874" spans="8:24" x14ac:dyDescent="0.2">
      <c r="H874" s="26"/>
      <c r="I874" s="26"/>
      <c r="J874" s="26"/>
      <c r="W874" s="26"/>
      <c r="X874" s="26"/>
    </row>
    <row r="875" spans="8:24" x14ac:dyDescent="0.2">
      <c r="H875" s="26"/>
      <c r="I875" s="26"/>
      <c r="J875" s="26"/>
      <c r="W875" s="26"/>
      <c r="X875" s="26"/>
    </row>
    <row r="876" spans="8:24" x14ac:dyDescent="0.2">
      <c r="H876" s="26"/>
      <c r="I876" s="26"/>
      <c r="J876" s="26"/>
      <c r="W876" s="26"/>
      <c r="X876" s="26"/>
    </row>
    <row r="877" spans="8:24" x14ac:dyDescent="0.2">
      <c r="H877" s="26"/>
      <c r="I877" s="26"/>
      <c r="J877" s="26"/>
      <c r="W877" s="26"/>
      <c r="X877" s="26"/>
    </row>
    <row r="878" spans="8:24" x14ac:dyDescent="0.2">
      <c r="H878" s="26"/>
      <c r="I878" s="26"/>
      <c r="J878" s="26"/>
      <c r="W878" s="26"/>
      <c r="X878" s="26"/>
    </row>
    <row r="879" spans="8:24" x14ac:dyDescent="0.2">
      <c r="H879" s="26"/>
      <c r="I879" s="26"/>
      <c r="J879" s="26"/>
      <c r="W879" s="26"/>
      <c r="X879" s="26"/>
    </row>
    <row r="880" spans="8:24" x14ac:dyDescent="0.2">
      <c r="H880" s="26"/>
      <c r="I880" s="26"/>
      <c r="J880" s="26"/>
      <c r="W880" s="26"/>
      <c r="X880" s="26"/>
    </row>
    <row r="881" spans="8:24" x14ac:dyDescent="0.2">
      <c r="H881" s="26"/>
      <c r="I881" s="26"/>
      <c r="J881" s="26"/>
      <c r="W881" s="26"/>
      <c r="X881" s="26"/>
    </row>
    <row r="882" spans="8:24" x14ac:dyDescent="0.2">
      <c r="H882" s="26"/>
      <c r="I882" s="26"/>
      <c r="J882" s="26"/>
      <c r="W882" s="26"/>
      <c r="X882" s="26"/>
    </row>
    <row r="883" spans="8:24" x14ac:dyDescent="0.2">
      <c r="H883" s="26"/>
      <c r="I883" s="26"/>
      <c r="J883" s="26"/>
      <c r="W883" s="26"/>
      <c r="X883" s="26"/>
    </row>
    <row r="884" spans="8:24" x14ac:dyDescent="0.2">
      <c r="H884" s="26"/>
      <c r="I884" s="26"/>
      <c r="J884" s="26"/>
      <c r="W884" s="26"/>
      <c r="X884" s="26"/>
    </row>
    <row r="885" spans="8:24" x14ac:dyDescent="0.2">
      <c r="H885" s="26"/>
      <c r="I885" s="26"/>
      <c r="J885" s="26"/>
      <c r="W885" s="26"/>
      <c r="X885" s="26"/>
    </row>
    <row r="886" spans="8:24" x14ac:dyDescent="0.2">
      <c r="H886" s="26"/>
      <c r="I886" s="26"/>
      <c r="J886" s="26"/>
      <c r="W886" s="26"/>
      <c r="X886" s="26"/>
    </row>
    <row r="887" spans="8:24" x14ac:dyDescent="0.2">
      <c r="H887" s="26"/>
      <c r="I887" s="26"/>
      <c r="J887" s="26"/>
      <c r="W887" s="26"/>
      <c r="X887" s="26"/>
    </row>
    <row r="888" spans="8:24" x14ac:dyDescent="0.2">
      <c r="H888" s="26"/>
      <c r="I888" s="26"/>
      <c r="J888" s="26"/>
      <c r="W888" s="26"/>
      <c r="X888" s="26"/>
    </row>
    <row r="889" spans="8:24" x14ac:dyDescent="0.2">
      <c r="H889" s="26"/>
      <c r="I889" s="26"/>
      <c r="J889" s="26"/>
      <c r="W889" s="26"/>
      <c r="X889" s="26"/>
    </row>
    <row r="890" spans="8:24" x14ac:dyDescent="0.2">
      <c r="H890" s="26"/>
      <c r="I890" s="26"/>
      <c r="J890" s="26"/>
      <c r="W890" s="26"/>
      <c r="X890" s="26"/>
    </row>
    <row r="891" spans="8:24" x14ac:dyDescent="0.2">
      <c r="H891" s="26"/>
      <c r="I891" s="26"/>
      <c r="J891" s="26"/>
      <c r="W891" s="26"/>
      <c r="X891" s="26"/>
    </row>
    <row r="892" spans="8:24" x14ac:dyDescent="0.2">
      <c r="H892" s="26"/>
      <c r="I892" s="26"/>
      <c r="J892" s="26"/>
      <c r="W892" s="26"/>
      <c r="X892" s="26"/>
    </row>
    <row r="893" spans="8:24" x14ac:dyDescent="0.2">
      <c r="H893" s="26"/>
      <c r="I893" s="26"/>
      <c r="J893" s="26"/>
      <c r="W893" s="26"/>
      <c r="X893" s="26"/>
    </row>
    <row r="894" spans="8:24" x14ac:dyDescent="0.2">
      <c r="H894" s="26"/>
      <c r="I894" s="26"/>
      <c r="J894" s="26"/>
      <c r="W894" s="26"/>
      <c r="X894" s="26"/>
    </row>
    <row r="895" spans="8:24" x14ac:dyDescent="0.2">
      <c r="H895" s="26"/>
      <c r="I895" s="26"/>
      <c r="J895" s="26"/>
      <c r="W895" s="26"/>
      <c r="X895" s="26"/>
    </row>
    <row r="896" spans="8:24" x14ac:dyDescent="0.2">
      <c r="H896" s="26"/>
      <c r="I896" s="26"/>
      <c r="J896" s="26"/>
      <c r="W896" s="26"/>
      <c r="X896" s="26"/>
    </row>
    <row r="897" spans="8:24" x14ac:dyDescent="0.2">
      <c r="H897" s="26"/>
      <c r="I897" s="26"/>
      <c r="J897" s="26"/>
      <c r="W897" s="26"/>
      <c r="X897" s="26"/>
    </row>
    <row r="898" spans="8:24" x14ac:dyDescent="0.2">
      <c r="H898" s="26"/>
      <c r="I898" s="26"/>
      <c r="J898" s="26"/>
      <c r="W898" s="26"/>
      <c r="X898" s="26"/>
    </row>
    <row r="899" spans="8:24" x14ac:dyDescent="0.2">
      <c r="H899" s="26"/>
      <c r="I899" s="26"/>
      <c r="J899" s="26"/>
      <c r="W899" s="26"/>
      <c r="X899" s="26"/>
    </row>
    <row r="900" spans="8:24" x14ac:dyDescent="0.2">
      <c r="H900" s="26"/>
      <c r="I900" s="26"/>
      <c r="J900" s="26"/>
      <c r="W900" s="26"/>
      <c r="X900" s="26"/>
    </row>
    <row r="901" spans="8:24" x14ac:dyDescent="0.2">
      <c r="H901" s="26"/>
      <c r="I901" s="26"/>
      <c r="J901" s="26"/>
      <c r="W901" s="26"/>
      <c r="X901" s="26"/>
    </row>
    <row r="902" spans="8:24" x14ac:dyDescent="0.2">
      <c r="H902" s="26"/>
      <c r="I902" s="26"/>
      <c r="J902" s="26"/>
      <c r="W902" s="26"/>
      <c r="X902" s="26"/>
    </row>
    <row r="903" spans="8:24" x14ac:dyDescent="0.2">
      <c r="H903" s="26"/>
      <c r="I903" s="26"/>
      <c r="J903" s="26"/>
      <c r="W903" s="26"/>
      <c r="X903" s="26"/>
    </row>
    <row r="904" spans="8:24" x14ac:dyDescent="0.2">
      <c r="H904" s="26"/>
      <c r="I904" s="26"/>
      <c r="J904" s="26"/>
      <c r="W904" s="26"/>
      <c r="X904" s="26"/>
    </row>
    <row r="905" spans="8:24" x14ac:dyDescent="0.2">
      <c r="H905" s="26"/>
      <c r="I905" s="26"/>
      <c r="J905" s="26"/>
      <c r="W905" s="26"/>
      <c r="X905" s="26"/>
    </row>
    <row r="906" spans="8:24" x14ac:dyDescent="0.2">
      <c r="H906" s="26"/>
      <c r="I906" s="26"/>
      <c r="J906" s="26"/>
      <c r="W906" s="26"/>
      <c r="X906" s="26"/>
    </row>
    <row r="907" spans="8:24" x14ac:dyDescent="0.2">
      <c r="H907" s="26"/>
      <c r="I907" s="26"/>
      <c r="J907" s="26"/>
      <c r="W907" s="26"/>
      <c r="X907" s="26"/>
    </row>
    <row r="908" spans="8:24" x14ac:dyDescent="0.2">
      <c r="H908" s="26"/>
      <c r="I908" s="26"/>
      <c r="J908" s="26"/>
      <c r="W908" s="26"/>
      <c r="X908" s="26"/>
    </row>
    <row r="909" spans="8:24" x14ac:dyDescent="0.2">
      <c r="H909" s="26"/>
      <c r="I909" s="26"/>
      <c r="J909" s="26"/>
      <c r="W909" s="26"/>
      <c r="X909" s="26"/>
    </row>
    <row r="910" spans="8:24" x14ac:dyDescent="0.2">
      <c r="H910" s="26"/>
      <c r="I910" s="26"/>
      <c r="J910" s="26"/>
      <c r="W910" s="26"/>
      <c r="X910" s="26"/>
    </row>
    <row r="911" spans="8:24" x14ac:dyDescent="0.2">
      <c r="H911" s="26"/>
      <c r="I911" s="26"/>
      <c r="J911" s="26"/>
      <c r="W911" s="26"/>
      <c r="X911" s="26"/>
    </row>
    <row r="912" spans="8:24" x14ac:dyDescent="0.2">
      <c r="H912" s="26"/>
      <c r="I912" s="26"/>
      <c r="J912" s="26"/>
      <c r="W912" s="26"/>
      <c r="X912" s="26"/>
    </row>
    <row r="913" spans="8:24" x14ac:dyDescent="0.2">
      <c r="H913" s="26"/>
      <c r="I913" s="26"/>
      <c r="J913" s="26"/>
      <c r="W913" s="26"/>
      <c r="X913" s="26"/>
    </row>
    <row r="914" spans="8:24" x14ac:dyDescent="0.2">
      <c r="H914" s="26"/>
      <c r="I914" s="26"/>
      <c r="J914" s="26"/>
      <c r="W914" s="26"/>
      <c r="X914" s="26"/>
    </row>
    <row r="915" spans="8:24" x14ac:dyDescent="0.2">
      <c r="H915" s="26"/>
      <c r="I915" s="26"/>
      <c r="J915" s="26"/>
      <c r="W915" s="26"/>
      <c r="X915" s="26"/>
    </row>
    <row r="916" spans="8:24" x14ac:dyDescent="0.2">
      <c r="H916" s="26"/>
      <c r="I916" s="26"/>
      <c r="J916" s="26"/>
      <c r="W916" s="26"/>
      <c r="X916" s="26"/>
    </row>
    <row r="917" spans="8:24" x14ac:dyDescent="0.2">
      <c r="H917" s="26"/>
      <c r="I917" s="26"/>
      <c r="J917" s="26"/>
      <c r="W917" s="26"/>
      <c r="X917" s="26"/>
    </row>
    <row r="918" spans="8:24" x14ac:dyDescent="0.2">
      <c r="H918" s="26"/>
      <c r="I918" s="26"/>
      <c r="J918" s="26"/>
      <c r="W918" s="26"/>
      <c r="X918" s="26"/>
    </row>
    <row r="919" spans="8:24" x14ac:dyDescent="0.2">
      <c r="H919" s="26"/>
      <c r="I919" s="26"/>
      <c r="J919" s="26"/>
      <c r="W919" s="26"/>
      <c r="X919" s="26"/>
    </row>
    <row r="920" spans="8:24" x14ac:dyDescent="0.2">
      <c r="H920" s="26"/>
      <c r="I920" s="26"/>
      <c r="J920" s="26"/>
      <c r="W920" s="26"/>
      <c r="X920" s="26"/>
    </row>
    <row r="921" spans="8:24" x14ac:dyDescent="0.2">
      <c r="H921" s="26"/>
      <c r="I921" s="26"/>
      <c r="J921" s="26"/>
      <c r="W921" s="26"/>
      <c r="X921" s="26"/>
    </row>
    <row r="922" spans="8:24" x14ac:dyDescent="0.2">
      <c r="H922" s="26"/>
      <c r="I922" s="26"/>
      <c r="J922" s="26"/>
      <c r="W922" s="26"/>
      <c r="X922" s="26"/>
    </row>
    <row r="923" spans="8:24" x14ac:dyDescent="0.2">
      <c r="H923" s="26"/>
      <c r="I923" s="26"/>
      <c r="J923" s="26"/>
      <c r="W923" s="26"/>
      <c r="X923" s="26"/>
    </row>
    <row r="924" spans="8:24" x14ac:dyDescent="0.2">
      <c r="H924" s="26"/>
      <c r="I924" s="26"/>
      <c r="J924" s="26"/>
      <c r="W924" s="26"/>
      <c r="X924" s="26"/>
    </row>
    <row r="925" spans="8:24" x14ac:dyDescent="0.2">
      <c r="H925" s="26"/>
      <c r="I925" s="26"/>
      <c r="J925" s="26"/>
      <c r="W925" s="26"/>
      <c r="X925" s="26"/>
    </row>
    <row r="926" spans="8:24" x14ac:dyDescent="0.2">
      <c r="H926" s="26"/>
      <c r="I926" s="26"/>
      <c r="J926" s="26"/>
      <c r="W926" s="26"/>
      <c r="X926" s="26"/>
    </row>
    <row r="927" spans="8:24" x14ac:dyDescent="0.2">
      <c r="H927" s="26"/>
      <c r="I927" s="26"/>
      <c r="J927" s="26"/>
      <c r="W927" s="26"/>
      <c r="X927" s="26"/>
    </row>
    <row r="928" spans="8:24" x14ac:dyDescent="0.2">
      <c r="H928" s="26"/>
      <c r="I928" s="26"/>
      <c r="J928" s="26"/>
      <c r="W928" s="26"/>
      <c r="X928" s="26"/>
    </row>
    <row r="929" spans="8:24" x14ac:dyDescent="0.2">
      <c r="H929" s="26"/>
      <c r="I929" s="26"/>
      <c r="J929" s="26"/>
      <c r="W929" s="26"/>
      <c r="X929" s="26"/>
    </row>
    <row r="930" spans="8:24" x14ac:dyDescent="0.2">
      <c r="H930" s="26"/>
      <c r="I930" s="26"/>
      <c r="J930" s="26"/>
      <c r="W930" s="26"/>
      <c r="X930" s="26"/>
    </row>
    <row r="931" spans="8:24" x14ac:dyDescent="0.2">
      <c r="H931" s="26"/>
      <c r="I931" s="26"/>
      <c r="J931" s="26"/>
      <c r="W931" s="26"/>
      <c r="X931" s="26"/>
    </row>
    <row r="932" spans="8:24" x14ac:dyDescent="0.2">
      <c r="H932" s="26"/>
      <c r="I932" s="26"/>
      <c r="J932" s="26"/>
      <c r="W932" s="26"/>
      <c r="X932" s="26"/>
    </row>
    <row r="933" spans="8:24" x14ac:dyDescent="0.2">
      <c r="H933" s="26"/>
      <c r="I933" s="26"/>
      <c r="J933" s="26"/>
      <c r="W933" s="26"/>
      <c r="X933" s="26"/>
    </row>
    <row r="934" spans="8:24" x14ac:dyDescent="0.2">
      <c r="H934" s="26"/>
      <c r="I934" s="26"/>
      <c r="J934" s="26"/>
      <c r="W934" s="26"/>
      <c r="X934" s="26"/>
    </row>
    <row r="935" spans="8:24" x14ac:dyDescent="0.2">
      <c r="H935" s="26"/>
      <c r="I935" s="26"/>
      <c r="J935" s="26"/>
      <c r="W935" s="26"/>
      <c r="X935" s="26"/>
    </row>
    <row r="936" spans="8:24" x14ac:dyDescent="0.2">
      <c r="H936" s="26"/>
      <c r="I936" s="26"/>
      <c r="J936" s="26"/>
      <c r="W936" s="26"/>
      <c r="X936" s="26"/>
    </row>
    <row r="937" spans="8:24" x14ac:dyDescent="0.2">
      <c r="H937" s="26"/>
      <c r="I937" s="26"/>
      <c r="J937" s="26"/>
      <c r="W937" s="26"/>
      <c r="X937" s="26"/>
    </row>
    <row r="938" spans="8:24" x14ac:dyDescent="0.2">
      <c r="H938" s="26"/>
      <c r="I938" s="26"/>
      <c r="J938" s="26"/>
      <c r="W938" s="26"/>
      <c r="X938" s="26"/>
    </row>
    <row r="939" spans="8:24" x14ac:dyDescent="0.2">
      <c r="H939" s="26"/>
      <c r="I939" s="26"/>
      <c r="J939" s="26"/>
      <c r="W939" s="26"/>
      <c r="X939" s="26"/>
    </row>
    <row r="940" spans="8:24" x14ac:dyDescent="0.2">
      <c r="H940" s="26"/>
      <c r="I940" s="26"/>
      <c r="J940" s="26"/>
      <c r="W940" s="26"/>
      <c r="X940" s="26"/>
    </row>
    <row r="941" spans="8:24" x14ac:dyDescent="0.2">
      <c r="H941" s="26"/>
      <c r="I941" s="26"/>
      <c r="J941" s="26"/>
      <c r="W941" s="26"/>
      <c r="X941" s="26"/>
    </row>
    <row r="942" spans="8:24" x14ac:dyDescent="0.2">
      <c r="H942" s="26"/>
      <c r="I942" s="26"/>
      <c r="J942" s="26"/>
      <c r="W942" s="26"/>
      <c r="X942" s="26"/>
    </row>
    <row r="943" spans="8:24" x14ac:dyDescent="0.2">
      <c r="H943" s="26"/>
      <c r="I943" s="26"/>
      <c r="J943" s="26"/>
      <c r="W943" s="26"/>
      <c r="X943" s="26"/>
    </row>
    <row r="944" spans="8:24" x14ac:dyDescent="0.2">
      <c r="H944" s="26"/>
      <c r="I944" s="26"/>
      <c r="J944" s="26"/>
      <c r="W944" s="26"/>
      <c r="X944" s="26"/>
    </row>
    <row r="945" spans="8:24" x14ac:dyDescent="0.2">
      <c r="H945" s="26"/>
      <c r="I945" s="26"/>
      <c r="J945" s="26"/>
      <c r="W945" s="26"/>
      <c r="X945" s="26"/>
    </row>
    <row r="946" spans="8:24" x14ac:dyDescent="0.2">
      <c r="H946" s="26"/>
      <c r="I946" s="26"/>
      <c r="J946" s="26"/>
      <c r="W946" s="26"/>
      <c r="X946" s="26"/>
    </row>
    <row r="947" spans="8:24" x14ac:dyDescent="0.2">
      <c r="H947" s="26"/>
      <c r="I947" s="26"/>
      <c r="J947" s="26"/>
      <c r="W947" s="26"/>
      <c r="X947" s="26"/>
    </row>
    <row r="948" spans="8:24" x14ac:dyDescent="0.2">
      <c r="H948" s="26"/>
      <c r="I948" s="26"/>
      <c r="J948" s="26"/>
      <c r="W948" s="26"/>
      <c r="X948" s="26"/>
    </row>
    <row r="949" spans="8:24" x14ac:dyDescent="0.2">
      <c r="H949" s="26"/>
      <c r="I949" s="26"/>
      <c r="J949" s="26"/>
      <c r="W949" s="26"/>
      <c r="X949" s="26"/>
    </row>
    <row r="950" spans="8:24" x14ac:dyDescent="0.2">
      <c r="H950" s="26"/>
      <c r="I950" s="26"/>
      <c r="J950" s="26"/>
      <c r="W950" s="26"/>
      <c r="X950" s="26"/>
    </row>
    <row r="951" spans="8:24" x14ac:dyDescent="0.2">
      <c r="H951" s="26"/>
      <c r="I951" s="26"/>
      <c r="J951" s="26"/>
      <c r="W951" s="26"/>
      <c r="X951" s="26"/>
    </row>
    <row r="952" spans="8:24" x14ac:dyDescent="0.2">
      <c r="H952" s="26"/>
      <c r="I952" s="26"/>
      <c r="J952" s="26"/>
      <c r="W952" s="26"/>
      <c r="X952" s="26"/>
    </row>
    <row r="953" spans="8:24" x14ac:dyDescent="0.2">
      <c r="H953" s="26"/>
      <c r="I953" s="26"/>
      <c r="J953" s="26"/>
      <c r="W953" s="26"/>
      <c r="X953" s="26"/>
    </row>
    <row r="954" spans="8:24" x14ac:dyDescent="0.2">
      <c r="H954" s="26"/>
      <c r="I954" s="26"/>
      <c r="J954" s="26"/>
      <c r="W954" s="26"/>
      <c r="X954" s="26"/>
    </row>
    <row r="955" spans="8:24" x14ac:dyDescent="0.2">
      <c r="H955" s="26"/>
      <c r="I955" s="26"/>
      <c r="J955" s="26"/>
      <c r="W955" s="26"/>
      <c r="X955" s="26"/>
    </row>
    <row r="956" spans="8:24" x14ac:dyDescent="0.2">
      <c r="H956" s="26"/>
      <c r="I956" s="26"/>
      <c r="J956" s="26"/>
      <c r="W956" s="26"/>
      <c r="X956" s="26"/>
    </row>
    <row r="957" spans="8:24" x14ac:dyDescent="0.2">
      <c r="H957" s="26"/>
      <c r="I957" s="26"/>
      <c r="J957" s="26"/>
      <c r="W957" s="26"/>
      <c r="X957" s="26"/>
    </row>
    <row r="958" spans="8:24" x14ac:dyDescent="0.2">
      <c r="H958" s="26"/>
      <c r="I958" s="26"/>
      <c r="J958" s="26"/>
      <c r="W958" s="26"/>
      <c r="X958" s="26"/>
    </row>
    <row r="959" spans="8:24" x14ac:dyDescent="0.2">
      <c r="H959" s="26"/>
      <c r="I959" s="26"/>
      <c r="J959" s="26"/>
      <c r="W959" s="26"/>
      <c r="X959" s="26"/>
    </row>
    <row r="960" spans="8:24" x14ac:dyDescent="0.2">
      <c r="H960" s="26"/>
      <c r="I960" s="26"/>
      <c r="J960" s="26"/>
      <c r="W960" s="26"/>
      <c r="X960" s="26"/>
    </row>
    <row r="961" spans="8:24" x14ac:dyDescent="0.2">
      <c r="H961" s="26"/>
      <c r="I961" s="26"/>
      <c r="J961" s="26"/>
      <c r="W961" s="26"/>
      <c r="X961" s="26"/>
    </row>
    <row r="962" spans="8:24" x14ac:dyDescent="0.2">
      <c r="H962" s="26"/>
      <c r="I962" s="26"/>
      <c r="J962" s="26"/>
      <c r="W962" s="26"/>
      <c r="X962" s="26"/>
    </row>
    <row r="963" spans="8:24" x14ac:dyDescent="0.2">
      <c r="H963" s="26"/>
      <c r="I963" s="26"/>
      <c r="J963" s="26"/>
      <c r="W963" s="26"/>
      <c r="X963" s="26"/>
    </row>
    <row r="964" spans="8:24" x14ac:dyDescent="0.2">
      <c r="H964" s="26"/>
      <c r="I964" s="26"/>
      <c r="J964" s="26"/>
      <c r="W964" s="26"/>
      <c r="X964" s="26"/>
    </row>
    <row r="965" spans="8:24" x14ac:dyDescent="0.2">
      <c r="H965" s="26"/>
      <c r="I965" s="26"/>
      <c r="J965" s="26"/>
      <c r="W965" s="26"/>
      <c r="X965" s="26"/>
    </row>
    <row r="966" spans="8:24" x14ac:dyDescent="0.2">
      <c r="H966" s="26"/>
      <c r="I966" s="26"/>
      <c r="J966" s="26"/>
      <c r="W966" s="26"/>
      <c r="X966" s="26"/>
    </row>
    <row r="967" spans="8:24" x14ac:dyDescent="0.2">
      <c r="H967" s="26"/>
      <c r="I967" s="26"/>
      <c r="J967" s="26"/>
      <c r="W967" s="26"/>
      <c r="X967" s="26"/>
    </row>
    <row r="968" spans="8:24" x14ac:dyDescent="0.2">
      <c r="H968" s="26"/>
      <c r="I968" s="26"/>
      <c r="J968" s="26"/>
      <c r="W968" s="26"/>
      <c r="X968" s="26"/>
    </row>
    <row r="969" spans="8:24" x14ac:dyDescent="0.2">
      <c r="H969" s="26"/>
      <c r="I969" s="26"/>
      <c r="J969" s="26"/>
      <c r="W969" s="26"/>
      <c r="X969" s="26"/>
    </row>
    <row r="970" spans="8:24" x14ac:dyDescent="0.2">
      <c r="H970" s="26"/>
      <c r="I970" s="26"/>
      <c r="J970" s="26"/>
      <c r="W970" s="26"/>
      <c r="X970" s="26"/>
    </row>
    <row r="971" spans="8:24" x14ac:dyDescent="0.2">
      <c r="H971" s="26"/>
      <c r="I971" s="26"/>
      <c r="J971" s="26"/>
      <c r="W971" s="26"/>
      <c r="X971" s="26"/>
    </row>
    <row r="972" spans="8:24" x14ac:dyDescent="0.2">
      <c r="H972" s="26"/>
      <c r="I972" s="26"/>
      <c r="J972" s="26"/>
      <c r="W972" s="26"/>
      <c r="X972" s="26"/>
    </row>
    <row r="973" spans="8:24" x14ac:dyDescent="0.2">
      <c r="H973" s="26"/>
      <c r="I973" s="26"/>
      <c r="J973" s="26"/>
      <c r="W973" s="26"/>
      <c r="X973" s="26"/>
    </row>
    <row r="974" spans="8:24" x14ac:dyDescent="0.2">
      <c r="H974" s="26"/>
      <c r="I974" s="26"/>
      <c r="J974" s="26"/>
      <c r="W974" s="26"/>
      <c r="X974" s="26"/>
    </row>
    <row r="975" spans="8:24" x14ac:dyDescent="0.2">
      <c r="H975" s="26"/>
      <c r="I975" s="26"/>
      <c r="J975" s="26"/>
      <c r="W975" s="26"/>
      <c r="X975" s="26"/>
    </row>
    <row r="976" spans="8:24" x14ac:dyDescent="0.2">
      <c r="H976" s="26"/>
      <c r="I976" s="26"/>
      <c r="J976" s="26"/>
      <c r="W976" s="26"/>
      <c r="X976" s="26"/>
    </row>
    <row r="977" spans="8:24" x14ac:dyDescent="0.2">
      <c r="H977" s="26"/>
      <c r="I977" s="26"/>
      <c r="J977" s="26"/>
      <c r="W977" s="26"/>
      <c r="X977" s="26"/>
    </row>
    <row r="978" spans="8:24" x14ac:dyDescent="0.2">
      <c r="H978" s="26"/>
      <c r="I978" s="26"/>
      <c r="J978" s="26"/>
      <c r="W978" s="26"/>
      <c r="X978" s="26"/>
    </row>
    <row r="979" spans="8:24" x14ac:dyDescent="0.2">
      <c r="H979" s="26"/>
      <c r="I979" s="26"/>
      <c r="J979" s="26"/>
      <c r="W979" s="26"/>
      <c r="X979" s="26"/>
    </row>
    <row r="980" spans="8:24" x14ac:dyDescent="0.2">
      <c r="H980" s="26"/>
      <c r="I980" s="26"/>
      <c r="J980" s="26"/>
      <c r="W980" s="26"/>
      <c r="X980" s="26"/>
    </row>
    <row r="981" spans="8:24" x14ac:dyDescent="0.2">
      <c r="H981" s="26"/>
      <c r="I981" s="26"/>
      <c r="J981" s="26"/>
      <c r="W981" s="26"/>
      <c r="X981" s="26"/>
    </row>
    <row r="982" spans="8:24" x14ac:dyDescent="0.2">
      <c r="H982" s="26"/>
      <c r="I982" s="26"/>
      <c r="J982" s="26"/>
      <c r="W982" s="26"/>
      <c r="X982" s="26"/>
    </row>
    <row r="983" spans="8:24" x14ac:dyDescent="0.2">
      <c r="H983" s="26"/>
      <c r="I983" s="26"/>
      <c r="J983" s="26"/>
      <c r="W983" s="26"/>
      <c r="X983" s="26"/>
    </row>
    <row r="984" spans="8:24" x14ac:dyDescent="0.2">
      <c r="H984" s="26"/>
      <c r="I984" s="26"/>
      <c r="J984" s="26"/>
      <c r="W984" s="26"/>
      <c r="X984" s="26"/>
    </row>
    <row r="985" spans="8:24" x14ac:dyDescent="0.2">
      <c r="H985" s="26"/>
      <c r="I985" s="26"/>
      <c r="J985" s="26"/>
      <c r="W985" s="26"/>
      <c r="X985" s="26"/>
    </row>
    <row r="986" spans="8:24" x14ac:dyDescent="0.2">
      <c r="H986" s="26"/>
      <c r="I986" s="26"/>
      <c r="J986" s="26"/>
      <c r="W986" s="26"/>
      <c r="X986" s="26"/>
    </row>
    <row r="987" spans="8:24" x14ac:dyDescent="0.2">
      <c r="H987" s="26"/>
      <c r="I987" s="26"/>
      <c r="J987" s="26"/>
      <c r="W987" s="26"/>
      <c r="X987" s="26"/>
    </row>
    <row r="988" spans="8:24" x14ac:dyDescent="0.2">
      <c r="H988" s="26"/>
      <c r="I988" s="26"/>
      <c r="J988" s="26"/>
      <c r="W988" s="26"/>
      <c r="X988" s="26"/>
    </row>
    <row r="989" spans="8:24" x14ac:dyDescent="0.2">
      <c r="H989" s="26"/>
      <c r="I989" s="26"/>
      <c r="J989" s="26"/>
      <c r="W989" s="26"/>
      <c r="X989" s="26"/>
    </row>
    <row r="990" spans="8:24" x14ac:dyDescent="0.2">
      <c r="H990" s="26"/>
      <c r="I990" s="26"/>
      <c r="J990" s="26"/>
      <c r="W990" s="26"/>
      <c r="X990" s="26"/>
    </row>
    <row r="991" spans="8:24" x14ac:dyDescent="0.2">
      <c r="H991" s="26"/>
      <c r="I991" s="26"/>
      <c r="J991" s="26"/>
      <c r="W991" s="26"/>
      <c r="X991" s="26"/>
    </row>
    <row r="992" spans="8:24" x14ac:dyDescent="0.2">
      <c r="H992" s="26"/>
      <c r="I992" s="26"/>
      <c r="J992" s="26"/>
      <c r="W992" s="26"/>
      <c r="X992" s="26"/>
    </row>
    <row r="993" spans="8:24" x14ac:dyDescent="0.2">
      <c r="H993" s="26"/>
      <c r="I993" s="26"/>
      <c r="J993" s="26"/>
      <c r="W993" s="26"/>
      <c r="X993" s="26"/>
    </row>
    <row r="994" spans="8:24" x14ac:dyDescent="0.2">
      <c r="H994" s="26"/>
      <c r="I994" s="26"/>
      <c r="J994" s="26"/>
      <c r="W994" s="26"/>
      <c r="X994" s="26"/>
    </row>
    <row r="995" spans="8:24" x14ac:dyDescent="0.2">
      <c r="H995" s="26"/>
      <c r="I995" s="26"/>
      <c r="J995" s="26"/>
      <c r="W995" s="26"/>
      <c r="X995" s="26"/>
    </row>
    <row r="996" spans="8:24" x14ac:dyDescent="0.2">
      <c r="H996" s="26"/>
      <c r="I996" s="26"/>
      <c r="J996" s="26"/>
      <c r="W996" s="26"/>
      <c r="X996" s="26"/>
    </row>
    <row r="997" spans="8:24" x14ac:dyDescent="0.2">
      <c r="H997" s="26"/>
      <c r="I997" s="26"/>
      <c r="J997" s="26"/>
      <c r="W997" s="26"/>
      <c r="X997" s="26"/>
    </row>
    <row r="998" spans="8:24" x14ac:dyDescent="0.2">
      <c r="H998" s="26"/>
      <c r="I998" s="26"/>
      <c r="J998" s="26"/>
      <c r="W998" s="26"/>
      <c r="X998" s="26"/>
    </row>
    <row r="999" spans="8:24" x14ac:dyDescent="0.2">
      <c r="H999" s="26"/>
      <c r="I999" s="26"/>
      <c r="J999" s="26"/>
      <c r="W999" s="26"/>
      <c r="X999" s="26"/>
    </row>
    <row r="1000" spans="8:24" x14ac:dyDescent="0.2">
      <c r="H1000" s="26"/>
      <c r="I1000" s="26"/>
      <c r="J1000" s="26"/>
      <c r="W1000" s="26"/>
      <c r="X1000" s="26"/>
    </row>
    <row r="1001" spans="8:24" x14ac:dyDescent="0.2">
      <c r="H1001" s="26"/>
      <c r="I1001" s="26"/>
      <c r="J1001" s="26"/>
      <c r="W1001" s="26"/>
      <c r="X1001" s="26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BL1001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.75" customHeight="1" x14ac:dyDescent="0.2"/>
  <cols>
    <col min="1" max="1" width="6.42578125" customWidth="1"/>
    <col min="2" max="2" width="47.42578125" customWidth="1"/>
    <col min="3" max="3" width="4.42578125" customWidth="1"/>
    <col min="4" max="4" width="8.7109375" customWidth="1"/>
    <col min="5" max="5" width="30.7109375" customWidth="1"/>
    <col min="6" max="6" width="8.28515625" customWidth="1"/>
    <col min="7" max="7" width="29.42578125" customWidth="1"/>
    <col min="8" max="8" width="9.140625" customWidth="1"/>
    <col min="9" max="9" width="9.85546875" customWidth="1"/>
    <col min="10" max="10" width="7.140625" customWidth="1"/>
    <col min="11" max="11" width="10.42578125" customWidth="1"/>
    <col min="12" max="12" width="9.28515625" customWidth="1"/>
    <col min="13" max="13" width="11.7109375" customWidth="1"/>
    <col min="14" max="14" width="9.42578125" customWidth="1"/>
    <col min="15" max="15" width="9.28515625" customWidth="1"/>
    <col min="16" max="16" width="12.5703125" customWidth="1"/>
    <col min="17" max="17" width="9.42578125" customWidth="1"/>
    <col min="18" max="18" width="9.28515625" customWidth="1"/>
    <col min="19" max="19" width="11.7109375" customWidth="1"/>
    <col min="20" max="20" width="9.42578125" customWidth="1"/>
    <col min="21" max="21" width="8" hidden="1" customWidth="1"/>
    <col min="22" max="22" width="8" customWidth="1"/>
    <col min="23" max="23" width="10.42578125" customWidth="1"/>
    <col min="24" max="24" width="13.5703125" customWidth="1"/>
    <col min="25" max="25" width="9.42578125" hidden="1" customWidth="1"/>
    <col min="26" max="27" width="10.42578125" hidden="1" customWidth="1"/>
    <col min="28" max="28" width="11.7109375" hidden="1" customWidth="1"/>
    <col min="29" max="29" width="13.28515625" hidden="1" customWidth="1"/>
    <col min="30" max="30" width="9.42578125" hidden="1" customWidth="1"/>
    <col min="31" max="32" width="10.42578125" hidden="1" customWidth="1"/>
    <col min="33" max="33" width="11.7109375" hidden="1" customWidth="1"/>
    <col min="34" max="34" width="13.28515625" hidden="1" customWidth="1"/>
    <col min="35" max="35" width="9.42578125" hidden="1" customWidth="1"/>
    <col min="36" max="37" width="10.42578125" hidden="1" customWidth="1"/>
    <col min="38" max="38" width="11.7109375" hidden="1" customWidth="1"/>
    <col min="39" max="39" width="13.28515625" hidden="1" customWidth="1"/>
    <col min="40" max="40" width="9.42578125" hidden="1" customWidth="1"/>
    <col min="41" max="42" width="10.42578125" hidden="1" customWidth="1"/>
    <col min="43" max="43" width="11.7109375" hidden="1" customWidth="1"/>
    <col min="44" max="44" width="13.28515625" hidden="1" customWidth="1"/>
    <col min="45" max="45" width="9.42578125" hidden="1" customWidth="1"/>
    <col min="46" max="47" width="10.42578125" hidden="1" customWidth="1"/>
    <col min="48" max="48" width="11.7109375" hidden="1" customWidth="1"/>
    <col min="49" max="49" width="13.28515625" hidden="1" customWidth="1"/>
    <col min="50" max="50" width="9.42578125" hidden="1" customWidth="1"/>
    <col min="51" max="52" width="10.42578125" hidden="1" customWidth="1"/>
    <col min="53" max="53" width="11.7109375" hidden="1" customWidth="1"/>
    <col min="54" max="54" width="13.28515625" hidden="1" customWidth="1"/>
    <col min="55" max="55" width="9.42578125" hidden="1" customWidth="1"/>
    <col min="56" max="57" width="10.42578125" hidden="1" customWidth="1"/>
    <col min="58" max="58" width="11.7109375" hidden="1" customWidth="1"/>
    <col min="59" max="59" width="13.28515625" hidden="1" customWidth="1"/>
    <col min="60" max="60" width="9.42578125" hidden="1" customWidth="1"/>
    <col min="61" max="62" width="10.42578125" hidden="1" customWidth="1"/>
    <col min="63" max="63" width="11.7109375" hidden="1" customWidth="1"/>
    <col min="64" max="64" width="13.28515625" hidden="1" customWidth="1"/>
  </cols>
  <sheetData>
    <row r="1" spans="1:64" x14ac:dyDescent="0.2">
      <c r="A1" s="1"/>
      <c r="B1" s="1"/>
      <c r="C1" s="1"/>
      <c r="D1" s="1"/>
      <c r="E1" s="1"/>
      <c r="F1" s="1"/>
      <c r="G1" s="1"/>
      <c r="H1" s="2"/>
      <c r="I1" s="2"/>
      <c r="J1" s="3">
        <f t="shared" ref="J1:K1" si="0">SUM(J3:J91)</f>
        <v>778881.7821999999</v>
      </c>
      <c r="K1" s="4">
        <f t="shared" si="0"/>
        <v>933</v>
      </c>
      <c r="L1" s="1"/>
      <c r="M1" s="1"/>
      <c r="N1" s="4">
        <f>SUM(N3:N91)</f>
        <v>389</v>
      </c>
      <c r="O1" s="1"/>
      <c r="P1" s="1"/>
      <c r="Q1" s="4">
        <f>SUM(Q3:Q91)</f>
        <v>224</v>
      </c>
      <c r="R1" s="1"/>
      <c r="S1" s="1"/>
      <c r="T1" s="4">
        <f>SUM(T3:T91)</f>
        <v>320</v>
      </c>
      <c r="U1" s="6"/>
      <c r="V1" s="6">
        <f>X1/W1</f>
        <v>0.74810808045329757</v>
      </c>
      <c r="W1" s="11">
        <f t="shared" ref="W1:X1" si="1">SUM(W3:W91)</f>
        <v>826795.1999999996</v>
      </c>
      <c r="X1" s="11">
        <f t="shared" si="1"/>
        <v>618532.16999999993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</row>
    <row r="2" spans="1:64" x14ac:dyDescent="0.2">
      <c r="A2" s="12" t="s">
        <v>0</v>
      </c>
      <c r="B2" s="12" t="s">
        <v>1</v>
      </c>
      <c r="C2" s="12" t="s">
        <v>2</v>
      </c>
      <c r="D2" s="12" t="s">
        <v>4</v>
      </c>
      <c r="E2" s="12" t="s">
        <v>5</v>
      </c>
      <c r="F2" s="12" t="s">
        <v>6</v>
      </c>
      <c r="G2" s="12" t="s">
        <v>7</v>
      </c>
      <c r="H2" s="13" t="s">
        <v>8</v>
      </c>
      <c r="I2" s="13" t="s">
        <v>9</v>
      </c>
      <c r="J2" s="3" t="s">
        <v>10</v>
      </c>
      <c r="K2" s="4" t="s">
        <v>11</v>
      </c>
      <c r="L2" s="12" t="s">
        <v>12</v>
      </c>
      <c r="M2" s="12" t="s">
        <v>13</v>
      </c>
      <c r="N2" s="5" t="s">
        <v>14</v>
      </c>
      <c r="O2" s="12" t="s">
        <v>15</v>
      </c>
      <c r="P2" s="12" t="s">
        <v>16</v>
      </c>
      <c r="Q2" s="5" t="s">
        <v>17</v>
      </c>
      <c r="R2" s="12" t="s">
        <v>18</v>
      </c>
      <c r="S2" s="12" t="s">
        <v>19</v>
      </c>
      <c r="T2" s="5" t="s">
        <v>20</v>
      </c>
      <c r="U2" s="12"/>
      <c r="V2" s="12" t="s">
        <v>21</v>
      </c>
      <c r="W2" s="13" t="s">
        <v>22</v>
      </c>
      <c r="X2" s="13" t="s">
        <v>23</v>
      </c>
      <c r="Y2" s="12" t="s">
        <v>24</v>
      </c>
      <c r="Z2" s="12" t="s">
        <v>25</v>
      </c>
      <c r="AA2" s="12" t="s">
        <v>26</v>
      </c>
      <c r="AB2" s="12" t="s">
        <v>27</v>
      </c>
      <c r="AC2" s="12" t="s">
        <v>28</v>
      </c>
      <c r="AD2" s="12" t="s">
        <v>29</v>
      </c>
      <c r="AE2" s="12" t="s">
        <v>30</v>
      </c>
      <c r="AF2" s="12" t="s">
        <v>31</v>
      </c>
      <c r="AG2" s="12" t="s">
        <v>32</v>
      </c>
      <c r="AH2" s="12" t="s">
        <v>33</v>
      </c>
      <c r="AI2" s="12" t="s">
        <v>34</v>
      </c>
      <c r="AJ2" s="12" t="s">
        <v>35</v>
      </c>
      <c r="AK2" s="12" t="s">
        <v>36</v>
      </c>
      <c r="AL2" s="12" t="s">
        <v>37</v>
      </c>
      <c r="AM2" s="12" t="s">
        <v>38</v>
      </c>
      <c r="AN2" s="12" t="s">
        <v>39</v>
      </c>
      <c r="AO2" s="12" t="s">
        <v>40</v>
      </c>
      <c r="AP2" s="12" t="s">
        <v>41</v>
      </c>
      <c r="AQ2" s="12" t="s">
        <v>42</v>
      </c>
      <c r="AR2" s="12" t="s">
        <v>43</v>
      </c>
      <c r="AS2" s="12" t="s">
        <v>44</v>
      </c>
      <c r="AT2" s="12" t="s">
        <v>45</v>
      </c>
      <c r="AU2" s="12" t="s">
        <v>46</v>
      </c>
      <c r="AV2" s="12" t="s">
        <v>47</v>
      </c>
      <c r="AW2" s="12" t="s">
        <v>48</v>
      </c>
      <c r="AX2" s="12" t="s">
        <v>49</v>
      </c>
      <c r="AY2" s="12" t="s">
        <v>50</v>
      </c>
      <c r="AZ2" s="12" t="s">
        <v>51</v>
      </c>
      <c r="BA2" s="12" t="s">
        <v>52</v>
      </c>
      <c r="BB2" s="12" t="s">
        <v>53</v>
      </c>
      <c r="BC2" s="12" t="s">
        <v>54</v>
      </c>
      <c r="BD2" s="12" t="s">
        <v>55</v>
      </c>
      <c r="BE2" s="12" t="s">
        <v>56</v>
      </c>
      <c r="BF2" s="12" t="s">
        <v>57</v>
      </c>
      <c r="BG2" s="12" t="s">
        <v>58</v>
      </c>
      <c r="BH2" s="12" t="s">
        <v>59</v>
      </c>
      <c r="BI2" s="12" t="s">
        <v>60</v>
      </c>
      <c r="BJ2" s="12" t="s">
        <v>61</v>
      </c>
      <c r="BK2" s="12" t="s">
        <v>62</v>
      </c>
      <c r="BL2" s="12" t="s">
        <v>63</v>
      </c>
    </row>
    <row r="3" spans="1:64" x14ac:dyDescent="0.2">
      <c r="A3" s="1">
        <v>47001</v>
      </c>
      <c r="B3" s="1" t="s">
        <v>65</v>
      </c>
      <c r="C3" s="1">
        <v>16</v>
      </c>
      <c r="D3" s="1">
        <v>677</v>
      </c>
      <c r="E3" s="1" t="s">
        <v>64</v>
      </c>
      <c r="F3" s="1">
        <v>61</v>
      </c>
      <c r="G3" s="1" t="s">
        <v>66</v>
      </c>
      <c r="H3" s="2">
        <v>56.590200000000003</v>
      </c>
      <c r="I3" s="2">
        <v>905.44320000000005</v>
      </c>
      <c r="J3" s="14">
        <f t="shared" ref="J3:J91" si="2">K3*I3</f>
        <v>72435.456000000006</v>
      </c>
      <c r="K3" s="15">
        <f t="shared" ref="K3:K41" si="3">SUM(N3+Q3+T3)</f>
        <v>80</v>
      </c>
      <c r="L3" s="1">
        <v>35.31</v>
      </c>
      <c r="M3" s="1">
        <v>35.44</v>
      </c>
      <c r="N3" s="17">
        <f>MAX(0,(TRUNC((L3*0.8)-M3)))</f>
        <v>0</v>
      </c>
      <c r="O3" s="1">
        <v>50.81</v>
      </c>
      <c r="P3" s="1">
        <v>47.5</v>
      </c>
      <c r="Q3" s="5">
        <v>40</v>
      </c>
      <c r="R3" s="1">
        <v>52.56</v>
      </c>
      <c r="S3" s="1">
        <v>29.25</v>
      </c>
      <c r="T3" s="5">
        <v>40</v>
      </c>
      <c r="U3" s="1"/>
      <c r="V3" s="1">
        <v>0</v>
      </c>
      <c r="W3" s="18">
        <v>125573.65</v>
      </c>
      <c r="X3" s="2">
        <v>101579.41</v>
      </c>
      <c r="Y3" s="1">
        <v>294</v>
      </c>
      <c r="Z3" s="1">
        <v>0</v>
      </c>
      <c r="AA3" s="1">
        <v>203</v>
      </c>
      <c r="AB3" s="1">
        <v>136</v>
      </c>
      <c r="AC3" s="1">
        <v>567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256</v>
      </c>
      <c r="AT3" s="1">
        <v>164</v>
      </c>
      <c r="AU3" s="1">
        <v>327</v>
      </c>
      <c r="AV3" s="1">
        <v>296</v>
      </c>
      <c r="AW3" s="1">
        <v>760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382</v>
      </c>
      <c r="BD3" s="1">
        <v>0</v>
      </c>
      <c r="BE3" s="1">
        <v>353</v>
      </c>
      <c r="BF3" s="1">
        <v>212</v>
      </c>
      <c r="BG3" s="1">
        <v>468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</row>
    <row r="4" spans="1:64" x14ac:dyDescent="0.2">
      <c r="A4" s="1">
        <v>47010</v>
      </c>
      <c r="B4" s="1" t="s">
        <v>71</v>
      </c>
      <c r="C4" s="1">
        <v>24</v>
      </c>
      <c r="D4" s="1">
        <v>677</v>
      </c>
      <c r="E4" s="1" t="s">
        <v>64</v>
      </c>
      <c r="F4" s="1">
        <v>61</v>
      </c>
      <c r="G4" s="1" t="s">
        <v>66</v>
      </c>
      <c r="H4" s="2">
        <v>48.56</v>
      </c>
      <c r="I4" s="2">
        <v>1165.44</v>
      </c>
      <c r="J4" s="14">
        <f t="shared" si="2"/>
        <v>85077.12000000001</v>
      </c>
      <c r="K4" s="15">
        <f t="shared" si="3"/>
        <v>73</v>
      </c>
      <c r="L4" s="1">
        <v>22.33</v>
      </c>
      <c r="M4" s="1">
        <v>2.38</v>
      </c>
      <c r="N4" s="16">
        <v>33</v>
      </c>
      <c r="O4" s="1">
        <v>18.649999999999999</v>
      </c>
      <c r="P4" s="1">
        <v>17.21</v>
      </c>
      <c r="Q4" s="5">
        <v>10</v>
      </c>
      <c r="R4" s="1">
        <v>24.96</v>
      </c>
      <c r="S4" s="1">
        <v>3.92</v>
      </c>
      <c r="T4" s="5">
        <v>30</v>
      </c>
      <c r="U4" s="1"/>
      <c r="V4" s="1">
        <v>0</v>
      </c>
      <c r="W4" s="18">
        <v>76846.2</v>
      </c>
      <c r="X4" s="2">
        <v>27387.84</v>
      </c>
      <c r="Y4" s="1">
        <v>419</v>
      </c>
      <c r="Z4" s="1">
        <v>0</v>
      </c>
      <c r="AA4" s="1">
        <v>67</v>
      </c>
      <c r="AB4" s="1">
        <v>100</v>
      </c>
      <c r="AC4" s="1">
        <v>57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177</v>
      </c>
      <c r="AT4" s="1">
        <v>34</v>
      </c>
      <c r="AU4" s="1">
        <v>163</v>
      </c>
      <c r="AV4" s="1">
        <v>181</v>
      </c>
      <c r="AW4" s="1">
        <v>413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337</v>
      </c>
      <c r="BD4" s="1">
        <v>23</v>
      </c>
      <c r="BE4" s="1">
        <v>144</v>
      </c>
      <c r="BF4" s="1">
        <v>213</v>
      </c>
      <c r="BG4" s="1">
        <v>94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</row>
    <row r="5" spans="1:64" x14ac:dyDescent="0.2">
      <c r="A5" s="1">
        <v>47012</v>
      </c>
      <c r="B5" s="1" t="s">
        <v>74</v>
      </c>
      <c r="C5" s="1">
        <v>18</v>
      </c>
      <c r="D5" s="1">
        <v>677</v>
      </c>
      <c r="E5" s="1" t="s">
        <v>64</v>
      </c>
      <c r="F5" s="1">
        <v>61</v>
      </c>
      <c r="G5" s="1" t="s">
        <v>66</v>
      </c>
      <c r="H5" s="2">
        <v>58.837899999999998</v>
      </c>
      <c r="I5" s="2">
        <v>1059.0822000000001</v>
      </c>
      <c r="J5" s="14">
        <f t="shared" si="2"/>
        <v>54013.192200000005</v>
      </c>
      <c r="K5" s="15">
        <f t="shared" si="3"/>
        <v>51</v>
      </c>
      <c r="L5" s="1">
        <v>16.420000000000002</v>
      </c>
      <c r="M5" s="1">
        <v>1.5</v>
      </c>
      <c r="N5" s="16">
        <v>26</v>
      </c>
      <c r="O5" s="1">
        <v>29.33</v>
      </c>
      <c r="P5" s="1">
        <v>24.61</v>
      </c>
      <c r="Q5" s="5">
        <v>25</v>
      </c>
      <c r="R5" s="1">
        <v>23.97</v>
      </c>
      <c r="S5" s="1">
        <v>17.61</v>
      </c>
      <c r="T5" s="5">
        <v>0</v>
      </c>
      <c r="U5" s="1"/>
      <c r="V5" s="1">
        <v>0</v>
      </c>
      <c r="W5" s="18">
        <v>73841.56</v>
      </c>
      <c r="X5" s="2">
        <v>46305.43</v>
      </c>
      <c r="Y5" s="1">
        <v>110</v>
      </c>
      <c r="Z5" s="1">
        <v>65</v>
      </c>
      <c r="AA5" s="1">
        <v>67</v>
      </c>
      <c r="AB5" s="1">
        <v>172</v>
      </c>
      <c r="AC5" s="1">
        <v>27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255</v>
      </c>
      <c r="AT5" s="1">
        <v>149</v>
      </c>
      <c r="AU5" s="1">
        <v>113</v>
      </c>
      <c r="AV5" s="1">
        <v>171</v>
      </c>
      <c r="AW5" s="1">
        <v>443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136</v>
      </c>
      <c r="BD5" s="1">
        <v>167</v>
      </c>
      <c r="BE5" s="1">
        <v>200</v>
      </c>
      <c r="BF5" s="1">
        <v>24</v>
      </c>
      <c r="BG5" s="1">
        <v>317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</row>
    <row r="6" spans="1:64" x14ac:dyDescent="0.2">
      <c r="A6" s="1">
        <v>47005</v>
      </c>
      <c r="B6" s="1" t="s">
        <v>68</v>
      </c>
      <c r="C6" s="1">
        <v>24</v>
      </c>
      <c r="D6" s="1">
        <v>677</v>
      </c>
      <c r="E6" s="1" t="s">
        <v>64</v>
      </c>
      <c r="F6" s="1">
        <v>61</v>
      </c>
      <c r="G6" s="1" t="s">
        <v>66</v>
      </c>
      <c r="H6" s="2">
        <v>22.315999999999999</v>
      </c>
      <c r="I6" s="2">
        <v>535.58399999999995</v>
      </c>
      <c r="J6" s="14">
        <f t="shared" si="2"/>
        <v>0</v>
      </c>
      <c r="K6" s="15">
        <f t="shared" si="3"/>
        <v>0</v>
      </c>
      <c r="L6" s="1">
        <v>37.520000000000003</v>
      </c>
      <c r="M6" s="1">
        <v>38.380000000000003</v>
      </c>
      <c r="N6" s="17">
        <f>MAX(0,(TRUNC((L6*0.8)-M6)))</f>
        <v>0</v>
      </c>
      <c r="O6" s="1">
        <v>37.229999999999997</v>
      </c>
      <c r="P6" s="1">
        <v>79.42</v>
      </c>
      <c r="Q6" s="5">
        <v>0</v>
      </c>
      <c r="R6" s="1">
        <v>57.69</v>
      </c>
      <c r="S6" s="1">
        <v>40.5</v>
      </c>
      <c r="T6" s="5">
        <v>0</v>
      </c>
      <c r="U6" s="1"/>
      <c r="V6" s="1">
        <v>0</v>
      </c>
      <c r="W6" s="18">
        <v>70931.41</v>
      </c>
      <c r="X6" s="2">
        <v>84778.48</v>
      </c>
      <c r="Y6" s="1">
        <v>317</v>
      </c>
      <c r="Z6" s="1">
        <v>375</v>
      </c>
      <c r="AA6" s="1">
        <v>175</v>
      </c>
      <c r="AB6" s="1">
        <v>442</v>
      </c>
      <c r="AC6" s="1">
        <v>921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238</v>
      </c>
      <c r="AT6" s="1">
        <v>527</v>
      </c>
      <c r="AU6" s="1">
        <v>157</v>
      </c>
      <c r="AV6" s="1">
        <v>470</v>
      </c>
      <c r="AW6" s="1">
        <v>1906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612</v>
      </c>
      <c r="BD6" s="1">
        <v>248</v>
      </c>
      <c r="BE6" s="1">
        <v>352</v>
      </c>
      <c r="BF6" s="1">
        <v>593</v>
      </c>
      <c r="BG6" s="1">
        <v>972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</row>
    <row r="7" spans="1:64" x14ac:dyDescent="0.2">
      <c r="A7" s="1">
        <v>47023</v>
      </c>
      <c r="B7" s="1" t="s">
        <v>76</v>
      </c>
      <c r="C7" s="1">
        <v>8</v>
      </c>
      <c r="D7" s="1">
        <v>677</v>
      </c>
      <c r="E7" s="1" t="s">
        <v>64</v>
      </c>
      <c r="F7" s="1">
        <v>61</v>
      </c>
      <c r="G7" s="1" t="s">
        <v>66</v>
      </c>
      <c r="H7" s="2">
        <v>105.55</v>
      </c>
      <c r="I7" s="2">
        <v>844.4</v>
      </c>
      <c r="J7" s="14">
        <f t="shared" si="2"/>
        <v>33776</v>
      </c>
      <c r="K7" s="15">
        <f t="shared" si="3"/>
        <v>40</v>
      </c>
      <c r="L7" s="1">
        <v>30.31</v>
      </c>
      <c r="M7" s="1">
        <v>0.5</v>
      </c>
      <c r="N7" s="16">
        <v>20</v>
      </c>
      <c r="O7" s="1">
        <v>20.88</v>
      </c>
      <c r="P7" s="1">
        <v>30.62</v>
      </c>
      <c r="Q7" s="5">
        <v>0</v>
      </c>
      <c r="R7" s="1">
        <v>22.5</v>
      </c>
      <c r="S7" s="1">
        <v>-0.62</v>
      </c>
      <c r="T7" s="5">
        <v>20</v>
      </c>
      <c r="U7" s="1"/>
      <c r="V7" s="1">
        <v>0</v>
      </c>
      <c r="W7" s="18">
        <v>62221.72</v>
      </c>
      <c r="X7" s="2">
        <v>25754.2</v>
      </c>
      <c r="Y7" s="1">
        <v>127</v>
      </c>
      <c r="Z7" s="1">
        <v>0</v>
      </c>
      <c r="AA7" s="1">
        <v>87</v>
      </c>
      <c r="AB7" s="1">
        <v>57</v>
      </c>
      <c r="AC7" s="1">
        <v>4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57</v>
      </c>
      <c r="AT7" s="1">
        <v>19</v>
      </c>
      <c r="AU7" s="1">
        <v>58</v>
      </c>
      <c r="AV7" s="1">
        <v>85</v>
      </c>
      <c r="AW7" s="1">
        <v>245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85</v>
      </c>
      <c r="BD7" s="1">
        <v>0</v>
      </c>
      <c r="BE7" s="1">
        <v>31</v>
      </c>
      <c r="BF7" s="1">
        <v>128</v>
      </c>
      <c r="BG7" s="1">
        <v>-5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</row>
    <row r="8" spans="1:64" x14ac:dyDescent="0.2">
      <c r="A8" s="1">
        <v>47046</v>
      </c>
      <c r="B8" s="1" t="s">
        <v>78</v>
      </c>
      <c r="C8" s="1">
        <v>24</v>
      </c>
      <c r="D8" s="1">
        <v>677</v>
      </c>
      <c r="E8" s="1" t="s">
        <v>64</v>
      </c>
      <c r="F8" s="1">
        <v>61</v>
      </c>
      <c r="G8" s="1" t="s">
        <v>66</v>
      </c>
      <c r="H8" s="2">
        <v>39.11</v>
      </c>
      <c r="I8" s="2">
        <v>938.64</v>
      </c>
      <c r="J8" s="14">
        <f t="shared" si="2"/>
        <v>18772.8</v>
      </c>
      <c r="K8" s="15">
        <f t="shared" si="3"/>
        <v>20</v>
      </c>
      <c r="L8" s="1">
        <v>11.35</v>
      </c>
      <c r="M8" s="1">
        <v>32.119999999999997</v>
      </c>
      <c r="N8" s="17">
        <f>MAX(0,(TRUNC((L8*0.8)-M8)))</f>
        <v>0</v>
      </c>
      <c r="O8" s="1">
        <v>22.12</v>
      </c>
      <c r="P8" s="1">
        <v>4.88</v>
      </c>
      <c r="Q8" s="5">
        <v>20</v>
      </c>
      <c r="R8" s="1">
        <v>29.1</v>
      </c>
      <c r="S8" s="1">
        <v>12.08</v>
      </c>
      <c r="T8" s="5">
        <v>0</v>
      </c>
      <c r="U8" s="1" t="s">
        <v>80</v>
      </c>
      <c r="V8" s="1">
        <v>0</v>
      </c>
      <c r="W8" s="18">
        <v>58743.22</v>
      </c>
      <c r="X8" s="2">
        <v>46071.58</v>
      </c>
      <c r="Y8" s="1">
        <v>78</v>
      </c>
      <c r="Z8" s="1">
        <v>54</v>
      </c>
      <c r="AA8" s="1">
        <v>96</v>
      </c>
      <c r="AB8" s="1">
        <v>143</v>
      </c>
      <c r="AC8" s="1">
        <v>771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157</v>
      </c>
      <c r="AT8" s="1">
        <v>113</v>
      </c>
      <c r="AU8" s="1">
        <v>233</v>
      </c>
      <c r="AV8" s="1">
        <v>169</v>
      </c>
      <c r="AW8" s="1">
        <v>117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315</v>
      </c>
      <c r="BD8" s="1">
        <v>114</v>
      </c>
      <c r="BE8" s="1">
        <v>184</v>
      </c>
      <c r="BF8" s="1">
        <v>285</v>
      </c>
      <c r="BG8" s="1">
        <v>290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</row>
    <row r="9" spans="1:64" x14ac:dyDescent="0.2">
      <c r="A9" s="1">
        <v>10703</v>
      </c>
      <c r="B9" s="1" t="s">
        <v>82</v>
      </c>
      <c r="C9" s="1">
        <v>12</v>
      </c>
      <c r="D9" s="1">
        <v>677</v>
      </c>
      <c r="E9" s="1" t="s">
        <v>64</v>
      </c>
      <c r="F9" s="1">
        <v>542</v>
      </c>
      <c r="G9" s="1" t="s">
        <v>84</v>
      </c>
      <c r="H9" s="2">
        <v>133.74420000000001</v>
      </c>
      <c r="I9" s="2">
        <v>1604.9304</v>
      </c>
      <c r="J9" s="14">
        <f t="shared" si="2"/>
        <v>56172.563999999998</v>
      </c>
      <c r="K9" s="15">
        <f t="shared" si="3"/>
        <v>35</v>
      </c>
      <c r="L9" s="1">
        <v>6.17</v>
      </c>
      <c r="M9" s="1">
        <v>1.25</v>
      </c>
      <c r="N9" s="16">
        <v>10</v>
      </c>
      <c r="O9" s="1">
        <v>7.71</v>
      </c>
      <c r="P9" s="1">
        <v>3.5</v>
      </c>
      <c r="Q9" s="5">
        <v>15</v>
      </c>
      <c r="R9" s="1">
        <v>10.62</v>
      </c>
      <c r="S9" s="1">
        <v>1.67</v>
      </c>
      <c r="T9" s="5">
        <v>10</v>
      </c>
      <c r="U9" s="1"/>
      <c r="V9" s="1">
        <v>0</v>
      </c>
      <c r="W9" s="18">
        <v>39320.79</v>
      </c>
      <c r="X9" s="2">
        <v>10298.299999999999</v>
      </c>
      <c r="Y9" s="1">
        <v>48</v>
      </c>
      <c r="Z9" s="1">
        <v>0</v>
      </c>
      <c r="AA9" s="1">
        <v>16</v>
      </c>
      <c r="AB9" s="1">
        <v>20</v>
      </c>
      <c r="AC9" s="1">
        <v>15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44</v>
      </c>
      <c r="AT9" s="1">
        <v>22</v>
      </c>
      <c r="AU9" s="1">
        <v>17</v>
      </c>
      <c r="AV9" s="1">
        <v>41</v>
      </c>
      <c r="AW9" s="1">
        <v>42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78</v>
      </c>
      <c r="BD9" s="1">
        <v>0</v>
      </c>
      <c r="BE9" s="1">
        <v>39</v>
      </c>
      <c r="BF9" s="1">
        <v>21</v>
      </c>
      <c r="BG9" s="1">
        <v>20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</row>
    <row r="10" spans="1:64" x14ac:dyDescent="0.2">
      <c r="A10" s="1">
        <v>47000</v>
      </c>
      <c r="B10" s="1" t="s">
        <v>85</v>
      </c>
      <c r="C10" s="1">
        <v>16</v>
      </c>
      <c r="D10" s="1">
        <v>677</v>
      </c>
      <c r="E10" s="1" t="s">
        <v>64</v>
      </c>
      <c r="F10" s="1">
        <v>61</v>
      </c>
      <c r="G10" s="1" t="s">
        <v>66</v>
      </c>
      <c r="H10" s="2">
        <v>56.59</v>
      </c>
      <c r="I10" s="2">
        <v>905.44</v>
      </c>
      <c r="J10" s="14">
        <f t="shared" si="2"/>
        <v>0</v>
      </c>
      <c r="K10" s="15">
        <f t="shared" si="3"/>
        <v>0</v>
      </c>
      <c r="L10" s="1">
        <v>8.8800000000000008</v>
      </c>
      <c r="M10" s="1">
        <v>9.06</v>
      </c>
      <c r="N10" s="17">
        <f>MAX(0,(TRUNC((L10*0.8)-M10)))</f>
        <v>0</v>
      </c>
      <c r="O10" s="1">
        <v>17.59</v>
      </c>
      <c r="P10" s="1">
        <v>31.19</v>
      </c>
      <c r="Q10" s="5">
        <v>0</v>
      </c>
      <c r="R10" s="1">
        <v>14.78</v>
      </c>
      <c r="S10" s="1">
        <v>2.25</v>
      </c>
      <c r="T10" s="5">
        <v>0</v>
      </c>
      <c r="U10" s="1" t="s">
        <v>70</v>
      </c>
      <c r="V10" s="1">
        <v>0</v>
      </c>
      <c r="W10" s="18">
        <v>37349.4</v>
      </c>
      <c r="X10" s="2">
        <v>38481.199999999997</v>
      </c>
      <c r="Y10" s="1">
        <v>51</v>
      </c>
      <c r="Z10" s="1">
        <v>5</v>
      </c>
      <c r="AA10" s="1">
        <v>60</v>
      </c>
      <c r="AB10" s="1">
        <v>57</v>
      </c>
      <c r="AC10" s="1">
        <v>145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80</v>
      </c>
      <c r="AT10" s="1">
        <v>147</v>
      </c>
      <c r="AU10" s="1">
        <v>101</v>
      </c>
      <c r="AV10" s="1">
        <v>54</v>
      </c>
      <c r="AW10" s="1">
        <v>499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65</v>
      </c>
      <c r="BD10" s="1">
        <v>161</v>
      </c>
      <c r="BE10" s="1">
        <v>66</v>
      </c>
      <c r="BF10" s="1">
        <v>50</v>
      </c>
      <c r="BG10" s="1">
        <v>36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</row>
    <row r="11" spans="1:64" x14ac:dyDescent="0.2">
      <c r="A11" s="1">
        <v>47024</v>
      </c>
      <c r="B11" s="1" t="s">
        <v>88</v>
      </c>
      <c r="C11" s="1">
        <v>12</v>
      </c>
      <c r="D11" s="1">
        <v>677</v>
      </c>
      <c r="E11" s="1" t="s">
        <v>64</v>
      </c>
      <c r="F11" s="1">
        <v>61</v>
      </c>
      <c r="G11" s="1" t="s">
        <v>66</v>
      </c>
      <c r="H11" s="2">
        <v>135.38999999999999</v>
      </c>
      <c r="I11" s="2">
        <v>1624.68</v>
      </c>
      <c r="J11" s="14">
        <f t="shared" si="2"/>
        <v>38992.32</v>
      </c>
      <c r="K11" s="15">
        <f t="shared" si="3"/>
        <v>24</v>
      </c>
      <c r="L11" s="1">
        <v>8.5399999999999991</v>
      </c>
      <c r="M11" s="1">
        <v>-0.08</v>
      </c>
      <c r="N11" s="16">
        <v>10</v>
      </c>
      <c r="O11" s="1">
        <v>3.17</v>
      </c>
      <c r="P11" s="1">
        <v>3.83</v>
      </c>
      <c r="Q11" s="5">
        <v>4</v>
      </c>
      <c r="R11" s="1">
        <v>8.1199999999999992</v>
      </c>
      <c r="S11" s="1">
        <v>0</v>
      </c>
      <c r="T11" s="5">
        <v>10</v>
      </c>
      <c r="U11" s="1"/>
      <c r="V11" s="1">
        <v>0</v>
      </c>
      <c r="W11" s="18">
        <v>32222.82</v>
      </c>
      <c r="X11" s="2">
        <v>6092.55</v>
      </c>
      <c r="Y11" s="1">
        <v>36</v>
      </c>
      <c r="Z11" s="1">
        <v>0</v>
      </c>
      <c r="AA11" s="1">
        <v>52</v>
      </c>
      <c r="AB11" s="1">
        <v>29</v>
      </c>
      <c r="AC11" s="1">
        <v>-1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16</v>
      </c>
      <c r="AT11" s="1">
        <v>22</v>
      </c>
      <c r="AU11" s="1">
        <v>6</v>
      </c>
      <c r="AV11" s="1">
        <v>10</v>
      </c>
      <c r="AW11" s="1">
        <v>46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60</v>
      </c>
      <c r="BD11" s="1">
        <v>0</v>
      </c>
      <c r="BE11" s="1">
        <v>19</v>
      </c>
      <c r="BF11" s="1">
        <v>37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</row>
    <row r="12" spans="1:64" x14ac:dyDescent="0.2">
      <c r="A12" s="1">
        <v>47038</v>
      </c>
      <c r="B12" s="1" t="s">
        <v>90</v>
      </c>
      <c r="C12" s="1">
        <v>28</v>
      </c>
      <c r="D12" s="1">
        <v>677</v>
      </c>
      <c r="E12" s="1" t="s">
        <v>64</v>
      </c>
      <c r="F12" s="1">
        <v>61</v>
      </c>
      <c r="G12" s="1" t="s">
        <v>66</v>
      </c>
      <c r="H12" s="2">
        <v>26.59</v>
      </c>
      <c r="I12" s="2">
        <v>744.52</v>
      </c>
      <c r="J12" s="14">
        <f t="shared" si="2"/>
        <v>26058.2</v>
      </c>
      <c r="K12" s="15">
        <f t="shared" si="3"/>
        <v>35</v>
      </c>
      <c r="L12" s="1">
        <v>7.48</v>
      </c>
      <c r="M12" s="1">
        <v>1.89</v>
      </c>
      <c r="N12" s="16">
        <v>10</v>
      </c>
      <c r="O12" s="1">
        <v>14.79</v>
      </c>
      <c r="P12" s="1">
        <v>14.93</v>
      </c>
      <c r="Q12" s="5">
        <v>20</v>
      </c>
      <c r="R12" s="1">
        <v>16.91</v>
      </c>
      <c r="S12" s="1">
        <v>10.039999999999999</v>
      </c>
      <c r="T12" s="5">
        <v>5</v>
      </c>
      <c r="U12" s="1"/>
      <c r="V12" s="1">
        <v>0</v>
      </c>
      <c r="W12" s="18">
        <v>29169.23</v>
      </c>
      <c r="X12" s="2">
        <v>19995.68</v>
      </c>
      <c r="Y12" s="1">
        <v>61</v>
      </c>
      <c r="Z12" s="1">
        <v>27</v>
      </c>
      <c r="AA12" s="1">
        <v>96</v>
      </c>
      <c r="AB12" s="1">
        <v>78</v>
      </c>
      <c r="AC12" s="1">
        <v>53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135</v>
      </c>
      <c r="AT12" s="1">
        <v>162</v>
      </c>
      <c r="AU12" s="1">
        <v>149</v>
      </c>
      <c r="AV12" s="1">
        <v>98</v>
      </c>
      <c r="AW12" s="1">
        <v>418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249</v>
      </c>
      <c r="BD12" s="1">
        <v>41</v>
      </c>
      <c r="BE12" s="1">
        <v>147</v>
      </c>
      <c r="BF12" s="1">
        <v>114</v>
      </c>
      <c r="BG12" s="1">
        <v>281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</row>
    <row r="13" spans="1:64" x14ac:dyDescent="0.2">
      <c r="A13" s="1">
        <v>47039</v>
      </c>
      <c r="B13" s="1" t="s">
        <v>79</v>
      </c>
      <c r="C13" s="1">
        <v>24</v>
      </c>
      <c r="D13" s="1">
        <v>677</v>
      </c>
      <c r="E13" s="1" t="s">
        <v>64</v>
      </c>
      <c r="F13" s="1">
        <v>61</v>
      </c>
      <c r="G13" s="1" t="s">
        <v>66</v>
      </c>
      <c r="H13" s="2">
        <v>52.259</v>
      </c>
      <c r="I13" s="2">
        <v>1254.2159999999999</v>
      </c>
      <c r="J13" s="14">
        <f t="shared" si="2"/>
        <v>6271.08</v>
      </c>
      <c r="K13" s="15">
        <f t="shared" si="3"/>
        <v>5</v>
      </c>
      <c r="L13" s="1">
        <v>4.7300000000000004</v>
      </c>
      <c r="M13" s="1">
        <v>3</v>
      </c>
      <c r="N13" s="17">
        <f>MAX(0,(TRUNC((L13*0.8)-M13)))</f>
        <v>0</v>
      </c>
      <c r="O13" s="1">
        <v>10.25</v>
      </c>
      <c r="P13" s="1">
        <v>11.42</v>
      </c>
      <c r="Q13" s="5">
        <v>5</v>
      </c>
      <c r="R13" s="1">
        <v>7.79</v>
      </c>
      <c r="S13" s="1">
        <v>12.58</v>
      </c>
      <c r="T13" s="17">
        <f>MAX(0,(TRUNC((R13*0.8)-S13)))</f>
        <v>0</v>
      </c>
      <c r="U13" s="1"/>
      <c r="V13" s="1">
        <v>0</v>
      </c>
      <c r="W13" s="18">
        <v>28559.54</v>
      </c>
      <c r="X13" s="2">
        <v>33863.83</v>
      </c>
      <c r="Y13" s="1">
        <v>25</v>
      </c>
      <c r="Z13" s="1">
        <v>0</v>
      </c>
      <c r="AA13" s="1">
        <v>72</v>
      </c>
      <c r="AB13" s="1">
        <v>33</v>
      </c>
      <c r="AC13" s="1">
        <v>72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76</v>
      </c>
      <c r="AT13" s="1">
        <v>68</v>
      </c>
      <c r="AU13" s="1">
        <v>60</v>
      </c>
      <c r="AV13" s="1">
        <v>152</v>
      </c>
      <c r="AW13" s="1">
        <v>274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81</v>
      </c>
      <c r="BD13" s="1">
        <v>13</v>
      </c>
      <c r="BE13" s="1">
        <v>64</v>
      </c>
      <c r="BF13" s="1">
        <v>71</v>
      </c>
      <c r="BG13" s="1">
        <v>302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</row>
    <row r="14" spans="1:64" x14ac:dyDescent="0.2">
      <c r="A14" s="1">
        <v>47008</v>
      </c>
      <c r="B14" s="1" t="s">
        <v>93</v>
      </c>
      <c r="C14" s="1">
        <v>24</v>
      </c>
      <c r="D14" s="1">
        <v>677</v>
      </c>
      <c r="E14" s="1" t="s">
        <v>64</v>
      </c>
      <c r="F14" s="1">
        <v>61</v>
      </c>
      <c r="G14" s="1" t="s">
        <v>66</v>
      </c>
      <c r="H14" s="2">
        <v>35.74</v>
      </c>
      <c r="I14" s="2">
        <v>857.76</v>
      </c>
      <c r="J14" s="14">
        <f t="shared" si="2"/>
        <v>21444</v>
      </c>
      <c r="K14" s="15">
        <f t="shared" si="3"/>
        <v>25</v>
      </c>
      <c r="L14" s="1">
        <v>2.5</v>
      </c>
      <c r="M14" s="1">
        <v>0.5</v>
      </c>
      <c r="N14" s="16">
        <v>5</v>
      </c>
      <c r="O14" s="1">
        <v>7.19</v>
      </c>
      <c r="P14" s="1">
        <v>7.33</v>
      </c>
      <c r="Q14" s="5">
        <v>5</v>
      </c>
      <c r="R14" s="1">
        <v>13.31</v>
      </c>
      <c r="S14" s="1">
        <v>1.54</v>
      </c>
      <c r="T14" s="5">
        <v>15</v>
      </c>
      <c r="U14" s="1"/>
      <c r="V14" s="1">
        <v>0</v>
      </c>
      <c r="W14" s="18">
        <v>19728.48</v>
      </c>
      <c r="X14" s="2">
        <v>8041.5</v>
      </c>
      <c r="Y14" s="1">
        <v>60</v>
      </c>
      <c r="Z14" s="1">
        <v>0</v>
      </c>
      <c r="AA14" s="1">
        <v>0</v>
      </c>
      <c r="AB14" s="1">
        <v>0</v>
      </c>
      <c r="AC14" s="1">
        <v>12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105</v>
      </c>
      <c r="AT14" s="1">
        <v>103</v>
      </c>
      <c r="AU14" s="1">
        <v>16</v>
      </c>
      <c r="AV14" s="1">
        <v>0</v>
      </c>
      <c r="AW14" s="1">
        <v>176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131</v>
      </c>
      <c r="BD14" s="1">
        <v>0</v>
      </c>
      <c r="BE14" s="1">
        <v>167</v>
      </c>
      <c r="BF14" s="1">
        <v>43</v>
      </c>
      <c r="BG14" s="1">
        <v>37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</row>
    <row r="15" spans="1:64" x14ac:dyDescent="0.2">
      <c r="A15" s="1">
        <v>47029</v>
      </c>
      <c r="B15" s="1" t="s">
        <v>94</v>
      </c>
      <c r="C15" s="1">
        <v>24</v>
      </c>
      <c r="D15" s="1">
        <v>677</v>
      </c>
      <c r="E15" s="1" t="s">
        <v>64</v>
      </c>
      <c r="F15" s="1">
        <v>61</v>
      </c>
      <c r="G15" s="1" t="s">
        <v>66</v>
      </c>
      <c r="H15" s="2">
        <v>41.26</v>
      </c>
      <c r="I15" s="2">
        <v>990.24</v>
      </c>
      <c r="J15" s="14">
        <f t="shared" si="2"/>
        <v>19804.8</v>
      </c>
      <c r="K15" s="15">
        <f t="shared" si="3"/>
        <v>20</v>
      </c>
      <c r="L15" s="1">
        <v>4.0599999999999996</v>
      </c>
      <c r="M15" s="1">
        <v>0.92</v>
      </c>
      <c r="N15" s="16">
        <v>5</v>
      </c>
      <c r="O15" s="1">
        <v>7.27</v>
      </c>
      <c r="P15" s="1">
        <v>5.04</v>
      </c>
      <c r="Q15" s="5">
        <v>5</v>
      </c>
      <c r="R15" s="1">
        <v>8.35</v>
      </c>
      <c r="S15" s="1">
        <v>-0.28999999999999998</v>
      </c>
      <c r="T15" s="5">
        <v>10</v>
      </c>
      <c r="U15" s="1"/>
      <c r="V15" s="1">
        <v>0</v>
      </c>
      <c r="W15" s="18">
        <v>19495.349999999999</v>
      </c>
      <c r="X15" s="2">
        <v>5611.36</v>
      </c>
      <c r="Y15" s="1">
        <v>49</v>
      </c>
      <c r="Z15" s="1">
        <v>0</v>
      </c>
      <c r="AA15" s="1">
        <v>27</v>
      </c>
      <c r="AB15" s="1">
        <v>43</v>
      </c>
      <c r="AC15" s="1">
        <v>22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89</v>
      </c>
      <c r="AT15" s="1">
        <v>57</v>
      </c>
      <c r="AU15" s="1">
        <v>46</v>
      </c>
      <c r="AV15" s="1">
        <v>22</v>
      </c>
      <c r="AW15" s="1">
        <v>121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96</v>
      </c>
      <c r="BD15" s="1">
        <v>26</v>
      </c>
      <c r="BE15" s="1">
        <v>77</v>
      </c>
      <c r="BF15" s="1">
        <v>29</v>
      </c>
      <c r="BG15" s="1">
        <v>-7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</row>
    <row r="16" spans="1:64" x14ac:dyDescent="0.2">
      <c r="A16" s="1">
        <v>47027</v>
      </c>
      <c r="B16" s="1" t="s">
        <v>95</v>
      </c>
      <c r="C16" s="1">
        <v>16</v>
      </c>
      <c r="D16" s="1">
        <v>677</v>
      </c>
      <c r="E16" s="1" t="s">
        <v>64</v>
      </c>
      <c r="F16" s="1">
        <v>999</v>
      </c>
      <c r="G16" s="1" t="s">
        <v>67</v>
      </c>
      <c r="H16" s="2">
        <v>56.59</v>
      </c>
      <c r="I16" s="2">
        <v>905.44</v>
      </c>
      <c r="J16" s="14">
        <f t="shared" si="2"/>
        <v>0</v>
      </c>
      <c r="K16" s="15">
        <f t="shared" si="3"/>
        <v>0</v>
      </c>
      <c r="L16" s="1">
        <v>2.19</v>
      </c>
      <c r="M16" s="1">
        <v>3.19</v>
      </c>
      <c r="N16" s="17">
        <f>MAX(0,(TRUNC((L16*0.8)-M16)))</f>
        <v>0</v>
      </c>
      <c r="O16" s="1">
        <v>4.9400000000000004</v>
      </c>
      <c r="P16" s="1">
        <v>8.8800000000000008</v>
      </c>
      <c r="Q16" s="5">
        <v>0</v>
      </c>
      <c r="R16" s="1">
        <v>8.94</v>
      </c>
      <c r="S16" s="1">
        <v>10.06</v>
      </c>
      <c r="T16" s="17">
        <f t="shared" ref="T16:T19" si="4">MAX(0,(TRUNC((R16*0.8)-S16)))</f>
        <v>0</v>
      </c>
      <c r="U16" s="1"/>
      <c r="V16" s="1">
        <v>0</v>
      </c>
      <c r="W16" s="18">
        <v>14543.63</v>
      </c>
      <c r="X16" s="2">
        <v>20032.86</v>
      </c>
      <c r="Y16" s="1">
        <v>35</v>
      </c>
      <c r="Z16" s="1">
        <v>0</v>
      </c>
      <c r="AA16" s="1">
        <v>0</v>
      </c>
      <c r="AB16" s="1">
        <v>0</v>
      </c>
      <c r="AC16" s="1">
        <v>51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76</v>
      </c>
      <c r="AT16" s="1">
        <v>6</v>
      </c>
      <c r="AU16" s="1">
        <v>0</v>
      </c>
      <c r="AV16" s="1">
        <v>0</v>
      </c>
      <c r="AW16" s="1">
        <v>142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143</v>
      </c>
      <c r="BD16" s="1">
        <v>0</v>
      </c>
      <c r="BE16" s="1">
        <v>0</v>
      </c>
      <c r="BF16" s="1">
        <v>0</v>
      </c>
      <c r="BG16" s="1">
        <v>161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</row>
    <row r="17" spans="1:64" x14ac:dyDescent="0.2">
      <c r="A17" s="1">
        <v>47002</v>
      </c>
      <c r="B17" s="1" t="s">
        <v>89</v>
      </c>
      <c r="C17" s="1">
        <v>24</v>
      </c>
      <c r="D17" s="1">
        <v>677</v>
      </c>
      <c r="E17" s="1" t="s">
        <v>64</v>
      </c>
      <c r="F17" s="1">
        <v>61</v>
      </c>
      <c r="G17" s="1" t="s">
        <v>66</v>
      </c>
      <c r="H17" s="2">
        <v>22.315999999999999</v>
      </c>
      <c r="I17" s="2">
        <v>535.58399999999995</v>
      </c>
      <c r="J17" s="14">
        <f t="shared" si="2"/>
        <v>0</v>
      </c>
      <c r="K17" s="15">
        <f t="shared" si="3"/>
        <v>0</v>
      </c>
      <c r="L17" s="1">
        <v>11.02</v>
      </c>
      <c r="M17" s="1">
        <v>6.29</v>
      </c>
      <c r="N17" s="5">
        <v>0</v>
      </c>
      <c r="O17" s="1">
        <v>9.4600000000000009</v>
      </c>
      <c r="P17" s="1">
        <v>20.5</v>
      </c>
      <c r="Q17" s="5">
        <v>0</v>
      </c>
      <c r="R17" s="1">
        <v>4.92</v>
      </c>
      <c r="S17" s="1">
        <v>25.33</v>
      </c>
      <c r="T17" s="17">
        <f t="shared" si="4"/>
        <v>0</v>
      </c>
      <c r="U17" s="1"/>
      <c r="V17" s="1">
        <v>0</v>
      </c>
      <c r="W17" s="18">
        <v>13601.6</v>
      </c>
      <c r="X17" s="2">
        <v>27917.32</v>
      </c>
      <c r="Y17" s="1">
        <v>65</v>
      </c>
      <c r="Z17" s="1">
        <v>129</v>
      </c>
      <c r="AA17" s="1">
        <v>91</v>
      </c>
      <c r="AB17" s="1">
        <v>88</v>
      </c>
      <c r="AC17" s="1">
        <v>151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45</v>
      </c>
      <c r="AT17" s="1">
        <v>162</v>
      </c>
      <c r="AU17" s="1">
        <v>63</v>
      </c>
      <c r="AV17" s="1">
        <v>76</v>
      </c>
      <c r="AW17" s="1">
        <v>492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34</v>
      </c>
      <c r="BD17" s="1">
        <v>33</v>
      </c>
      <c r="BE17" s="1">
        <v>49</v>
      </c>
      <c r="BF17" s="1">
        <v>37</v>
      </c>
      <c r="BG17" s="1">
        <v>608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</row>
    <row r="18" spans="1:64" x14ac:dyDescent="0.2">
      <c r="A18" s="1">
        <v>47003</v>
      </c>
      <c r="B18" s="1" t="s">
        <v>91</v>
      </c>
      <c r="C18" s="1">
        <v>24</v>
      </c>
      <c r="D18" s="1">
        <v>677</v>
      </c>
      <c r="E18" s="1" t="s">
        <v>64</v>
      </c>
      <c r="F18" s="1">
        <v>61</v>
      </c>
      <c r="G18" s="1" t="s">
        <v>66</v>
      </c>
      <c r="H18" s="2">
        <v>22.315999999999999</v>
      </c>
      <c r="I18" s="2">
        <v>535.58399999999995</v>
      </c>
      <c r="J18" s="14">
        <f t="shared" si="2"/>
        <v>0</v>
      </c>
      <c r="K18" s="15">
        <f t="shared" si="3"/>
        <v>0</v>
      </c>
      <c r="L18" s="1">
        <v>13.25</v>
      </c>
      <c r="M18" s="1">
        <v>8.9600000000000009</v>
      </c>
      <c r="N18" s="5">
        <v>0</v>
      </c>
      <c r="O18" s="1">
        <v>6.17</v>
      </c>
      <c r="P18" s="1">
        <v>20.79</v>
      </c>
      <c r="Q18" s="5">
        <v>0</v>
      </c>
      <c r="R18" s="1">
        <v>5.96</v>
      </c>
      <c r="S18" s="1">
        <v>37.92</v>
      </c>
      <c r="T18" s="17">
        <f t="shared" si="4"/>
        <v>0</v>
      </c>
      <c r="U18" s="1"/>
      <c r="V18" s="1">
        <v>0</v>
      </c>
      <c r="W18" s="18">
        <v>13590.44</v>
      </c>
      <c r="X18" s="2">
        <v>36241.18</v>
      </c>
      <c r="Y18" s="1">
        <v>128</v>
      </c>
      <c r="Z18" s="1">
        <v>107</v>
      </c>
      <c r="AA18" s="1">
        <v>104</v>
      </c>
      <c r="AB18" s="1">
        <v>65</v>
      </c>
      <c r="AC18" s="1">
        <v>215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28</v>
      </c>
      <c r="AT18" s="1">
        <v>34</v>
      </c>
      <c r="AU18" s="1">
        <v>70</v>
      </c>
      <c r="AV18" s="1">
        <v>66</v>
      </c>
      <c r="AW18" s="1">
        <v>499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51</v>
      </c>
      <c r="BD18" s="1">
        <v>60</v>
      </c>
      <c r="BE18" s="1">
        <v>49</v>
      </c>
      <c r="BF18" s="1">
        <v>26</v>
      </c>
      <c r="BG18" s="1">
        <v>910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</row>
    <row r="19" spans="1:64" x14ac:dyDescent="0.2">
      <c r="A19" s="1">
        <v>47004</v>
      </c>
      <c r="B19" s="1" t="s">
        <v>86</v>
      </c>
      <c r="C19" s="1">
        <v>24</v>
      </c>
      <c r="D19" s="1">
        <v>677</v>
      </c>
      <c r="E19" s="1" t="s">
        <v>64</v>
      </c>
      <c r="F19" s="1">
        <v>61</v>
      </c>
      <c r="G19" s="1" t="s">
        <v>66</v>
      </c>
      <c r="H19" s="2">
        <v>22.315999999999999</v>
      </c>
      <c r="I19" s="2">
        <v>535.58399999999995</v>
      </c>
      <c r="J19" s="14">
        <f t="shared" si="2"/>
        <v>0</v>
      </c>
      <c r="K19" s="15">
        <f t="shared" si="3"/>
        <v>0</v>
      </c>
      <c r="L19" s="1">
        <v>5.83</v>
      </c>
      <c r="M19" s="1">
        <v>4.25</v>
      </c>
      <c r="N19" s="17">
        <f>MAX(0,(TRUNC((L19*0.8)-M19)))</f>
        <v>0</v>
      </c>
      <c r="O19" s="1">
        <v>8.3800000000000008</v>
      </c>
      <c r="P19" s="1">
        <v>14.25</v>
      </c>
      <c r="Q19" s="5">
        <v>0</v>
      </c>
      <c r="R19" s="1">
        <v>8.81</v>
      </c>
      <c r="S19" s="1">
        <v>60.62</v>
      </c>
      <c r="T19" s="17">
        <f t="shared" si="4"/>
        <v>0</v>
      </c>
      <c r="U19" s="1"/>
      <c r="V19" s="1">
        <v>0</v>
      </c>
      <c r="W19" s="18">
        <v>12329.59</v>
      </c>
      <c r="X19" s="2">
        <v>42378.080000000002</v>
      </c>
      <c r="Y19" s="1">
        <v>0</v>
      </c>
      <c r="Z19" s="1">
        <v>0</v>
      </c>
      <c r="AA19" s="1">
        <v>65</v>
      </c>
      <c r="AB19" s="1">
        <v>150</v>
      </c>
      <c r="AC19" s="1">
        <v>102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48</v>
      </c>
      <c r="AT19" s="1">
        <v>67</v>
      </c>
      <c r="AU19" s="1">
        <v>76</v>
      </c>
      <c r="AV19" s="1">
        <v>87</v>
      </c>
      <c r="AW19" s="1">
        <v>342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44</v>
      </c>
      <c r="BD19" s="1">
        <v>94</v>
      </c>
      <c r="BE19" s="1">
        <v>74</v>
      </c>
      <c r="BF19" s="1">
        <v>93</v>
      </c>
      <c r="BG19" s="1">
        <v>1455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</row>
    <row r="20" spans="1:64" x14ac:dyDescent="0.2">
      <c r="A20" s="1">
        <v>48081</v>
      </c>
      <c r="B20" s="1" t="s">
        <v>104</v>
      </c>
      <c r="C20" s="1">
        <v>12</v>
      </c>
      <c r="D20" s="1">
        <v>677</v>
      </c>
      <c r="E20" s="1" t="s">
        <v>64</v>
      </c>
      <c r="F20" s="1">
        <v>690</v>
      </c>
      <c r="G20" s="1" t="s">
        <v>101</v>
      </c>
      <c r="H20" s="2">
        <f t="shared" ref="H20:H24" si="5">I20/C20</f>
        <v>54.930833333333332</v>
      </c>
      <c r="I20" s="2">
        <v>659.17</v>
      </c>
      <c r="J20" s="14">
        <f t="shared" si="2"/>
        <v>50756.09</v>
      </c>
      <c r="K20" s="15">
        <f t="shared" si="3"/>
        <v>77</v>
      </c>
      <c r="L20" s="1">
        <v>10.79</v>
      </c>
      <c r="M20" s="1">
        <v>2.33</v>
      </c>
      <c r="N20" s="23">
        <v>32</v>
      </c>
      <c r="O20" s="1">
        <v>7</v>
      </c>
      <c r="P20" s="1">
        <v>0</v>
      </c>
      <c r="Q20" s="5">
        <v>15</v>
      </c>
      <c r="R20" s="1">
        <v>13.75</v>
      </c>
      <c r="S20" s="1">
        <v>5.67</v>
      </c>
      <c r="T20" s="5">
        <v>30</v>
      </c>
      <c r="U20" s="1"/>
      <c r="V20" s="1">
        <v>0</v>
      </c>
      <c r="W20" s="18">
        <v>11192.51</v>
      </c>
      <c r="X20" s="2">
        <v>2838.79</v>
      </c>
      <c r="Y20" s="1">
        <v>61</v>
      </c>
      <c r="Z20" s="1">
        <v>16</v>
      </c>
      <c r="AA20" s="1">
        <v>49</v>
      </c>
      <c r="AB20" s="1">
        <v>23</v>
      </c>
      <c r="AC20" s="1">
        <v>28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50</v>
      </c>
      <c r="AT20" s="1">
        <v>20</v>
      </c>
      <c r="AU20" s="1">
        <v>14</v>
      </c>
      <c r="AV20" s="1">
        <v>20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64</v>
      </c>
      <c r="BD20" s="1">
        <v>64</v>
      </c>
      <c r="BE20" s="1">
        <v>29</v>
      </c>
      <c r="BF20" s="1">
        <v>80</v>
      </c>
      <c r="BG20" s="1">
        <v>68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</row>
    <row r="21" spans="1:64" x14ac:dyDescent="0.2">
      <c r="A21" s="1">
        <v>48091</v>
      </c>
      <c r="B21" s="1" t="s">
        <v>103</v>
      </c>
      <c r="C21" s="1">
        <v>12</v>
      </c>
      <c r="D21" s="1">
        <v>677</v>
      </c>
      <c r="E21" s="1" t="s">
        <v>64</v>
      </c>
      <c r="F21" s="1">
        <v>690</v>
      </c>
      <c r="G21" s="1" t="s">
        <v>101</v>
      </c>
      <c r="H21" s="2">
        <f t="shared" si="5"/>
        <v>54.930833333333332</v>
      </c>
      <c r="I21" s="2">
        <v>659.17</v>
      </c>
      <c r="J21" s="14">
        <f t="shared" si="2"/>
        <v>50756.09</v>
      </c>
      <c r="K21" s="15">
        <f t="shared" si="3"/>
        <v>77</v>
      </c>
      <c r="L21" s="1">
        <v>10.5</v>
      </c>
      <c r="M21" s="1">
        <v>1.08</v>
      </c>
      <c r="N21" s="23">
        <v>32</v>
      </c>
      <c r="O21" s="1">
        <v>3.46</v>
      </c>
      <c r="P21" s="1">
        <v>1</v>
      </c>
      <c r="Q21" s="5">
        <v>15</v>
      </c>
      <c r="R21" s="1">
        <v>17.170000000000002</v>
      </c>
      <c r="S21" s="1">
        <v>6.17</v>
      </c>
      <c r="T21" s="5">
        <v>30</v>
      </c>
      <c r="U21" s="1"/>
      <c r="V21" s="1">
        <v>0</v>
      </c>
      <c r="W21" s="18">
        <v>11044.66</v>
      </c>
      <c r="X21" s="2">
        <v>2927.5</v>
      </c>
      <c r="Y21" s="1">
        <v>45</v>
      </c>
      <c r="Z21" s="1">
        <v>21</v>
      </c>
      <c r="AA21" s="1">
        <v>59</v>
      </c>
      <c r="AB21" s="1">
        <v>23</v>
      </c>
      <c r="AC21" s="1">
        <v>13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1</v>
      </c>
      <c r="AT21" s="1">
        <v>25</v>
      </c>
      <c r="AU21" s="1">
        <v>13</v>
      </c>
      <c r="AV21" s="1">
        <v>30</v>
      </c>
      <c r="AW21" s="1">
        <v>12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83</v>
      </c>
      <c r="BD21" s="1">
        <v>59</v>
      </c>
      <c r="BE21" s="1">
        <v>31</v>
      </c>
      <c r="BF21" s="1">
        <v>125</v>
      </c>
      <c r="BG21" s="1">
        <v>74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</row>
    <row r="22" spans="1:64" x14ac:dyDescent="0.2">
      <c r="A22" s="1">
        <v>48084</v>
      </c>
      <c r="B22" s="1" t="s">
        <v>100</v>
      </c>
      <c r="C22" s="1">
        <v>12</v>
      </c>
      <c r="D22" s="1">
        <v>677</v>
      </c>
      <c r="E22" s="1" t="s">
        <v>64</v>
      </c>
      <c r="F22" s="1">
        <v>690</v>
      </c>
      <c r="G22" s="1" t="s">
        <v>101</v>
      </c>
      <c r="H22" s="2">
        <f t="shared" si="5"/>
        <v>54.930833333333332</v>
      </c>
      <c r="I22" s="2">
        <v>659.17</v>
      </c>
      <c r="J22" s="14">
        <f t="shared" si="2"/>
        <v>50756.09</v>
      </c>
      <c r="K22" s="15">
        <f t="shared" si="3"/>
        <v>77</v>
      </c>
      <c r="L22" s="1">
        <v>7.25</v>
      </c>
      <c r="M22" s="1">
        <v>-0.5</v>
      </c>
      <c r="N22" s="23">
        <v>32</v>
      </c>
      <c r="O22" s="1">
        <v>3.71</v>
      </c>
      <c r="P22" s="1">
        <v>1</v>
      </c>
      <c r="Q22" s="5">
        <v>15</v>
      </c>
      <c r="R22" s="1">
        <v>15.83</v>
      </c>
      <c r="S22" s="1">
        <v>0.08</v>
      </c>
      <c r="T22" s="5">
        <v>30</v>
      </c>
      <c r="U22" s="1"/>
      <c r="V22" s="1">
        <v>0</v>
      </c>
      <c r="W22" s="22">
        <v>9506.98</v>
      </c>
      <c r="X22" s="2">
        <v>206.99</v>
      </c>
      <c r="Y22" s="1">
        <v>30</v>
      </c>
      <c r="Z22" s="1">
        <v>24</v>
      </c>
      <c r="AA22" s="1">
        <v>45</v>
      </c>
      <c r="AB22" s="1">
        <v>0</v>
      </c>
      <c r="AC22" s="1">
        <v>-6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12</v>
      </c>
      <c r="AT22" s="1">
        <v>20</v>
      </c>
      <c r="AU22" s="1">
        <v>9</v>
      </c>
      <c r="AV22" s="1">
        <v>27</v>
      </c>
      <c r="AW22" s="1">
        <v>12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75</v>
      </c>
      <c r="BD22" s="1">
        <v>73</v>
      </c>
      <c r="BE22" s="1">
        <v>39</v>
      </c>
      <c r="BF22" s="1">
        <v>79</v>
      </c>
      <c r="BG22" s="1">
        <v>1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</row>
    <row r="23" spans="1:64" x14ac:dyDescent="0.2">
      <c r="A23" s="1">
        <v>48069</v>
      </c>
      <c r="B23" s="1" t="s">
        <v>110</v>
      </c>
      <c r="C23" s="1">
        <v>12</v>
      </c>
      <c r="D23" s="1">
        <v>677</v>
      </c>
      <c r="E23" s="1" t="s">
        <v>64</v>
      </c>
      <c r="F23" s="1">
        <v>690</v>
      </c>
      <c r="G23" s="1" t="s">
        <v>101</v>
      </c>
      <c r="H23" s="2">
        <f t="shared" si="5"/>
        <v>54.930833333333332</v>
      </c>
      <c r="I23" s="2">
        <v>659.17</v>
      </c>
      <c r="J23" s="14">
        <f t="shared" si="2"/>
        <v>29662.649999999998</v>
      </c>
      <c r="K23" s="15">
        <f t="shared" si="3"/>
        <v>45</v>
      </c>
      <c r="L23" s="1">
        <v>7.5</v>
      </c>
      <c r="M23" s="1">
        <v>0.5</v>
      </c>
      <c r="N23" s="23">
        <v>15</v>
      </c>
      <c r="O23" s="1">
        <v>4.21</v>
      </c>
      <c r="P23" s="1">
        <v>0</v>
      </c>
      <c r="Q23" s="5">
        <v>15</v>
      </c>
      <c r="R23" s="1">
        <v>7.62</v>
      </c>
      <c r="S23" s="1">
        <v>3.75</v>
      </c>
      <c r="T23" s="5">
        <v>15</v>
      </c>
      <c r="U23" s="1"/>
      <c r="V23" s="1">
        <v>0</v>
      </c>
      <c r="W23" s="22">
        <v>6860.4</v>
      </c>
      <c r="X23" s="2">
        <v>1508.11</v>
      </c>
      <c r="Y23" s="1">
        <v>13</v>
      </c>
      <c r="Z23" s="1">
        <v>18</v>
      </c>
      <c r="AA23" s="1">
        <v>53</v>
      </c>
      <c r="AB23" s="1">
        <v>30</v>
      </c>
      <c r="AC23" s="1">
        <v>6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7</v>
      </c>
      <c r="AT23" s="1">
        <v>22</v>
      </c>
      <c r="AU23" s="1">
        <v>16</v>
      </c>
      <c r="AV23" s="1">
        <v>33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24</v>
      </c>
      <c r="BD23" s="1">
        <v>24</v>
      </c>
      <c r="BE23" s="1">
        <v>35</v>
      </c>
      <c r="BF23" s="1">
        <v>41</v>
      </c>
      <c r="BG23" s="1">
        <v>45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</row>
    <row r="24" spans="1:64" x14ac:dyDescent="0.2">
      <c r="A24" s="1">
        <v>48067</v>
      </c>
      <c r="B24" s="1" t="s">
        <v>106</v>
      </c>
      <c r="C24" s="1">
        <v>12</v>
      </c>
      <c r="D24" s="1">
        <v>677</v>
      </c>
      <c r="E24" s="1" t="s">
        <v>64</v>
      </c>
      <c r="F24" s="1">
        <v>690</v>
      </c>
      <c r="G24" s="1" t="s">
        <v>101</v>
      </c>
      <c r="H24" s="2">
        <f t="shared" si="5"/>
        <v>54.930833333333332</v>
      </c>
      <c r="I24" s="2">
        <v>659.17</v>
      </c>
      <c r="J24" s="14">
        <f t="shared" si="2"/>
        <v>50756.09</v>
      </c>
      <c r="K24" s="15">
        <f t="shared" si="3"/>
        <v>77</v>
      </c>
      <c r="L24" s="1">
        <v>2.42</v>
      </c>
      <c r="M24" s="1">
        <v>1.25</v>
      </c>
      <c r="N24" s="23">
        <v>32</v>
      </c>
      <c r="O24" s="1">
        <v>4.75</v>
      </c>
      <c r="P24" s="1">
        <v>1.5</v>
      </c>
      <c r="Q24" s="5">
        <v>15</v>
      </c>
      <c r="R24" s="1">
        <v>11.33</v>
      </c>
      <c r="S24" s="1">
        <v>0.17</v>
      </c>
      <c r="T24" s="5">
        <v>30</v>
      </c>
      <c r="U24" s="1"/>
      <c r="V24" s="1">
        <v>0</v>
      </c>
      <c r="W24" s="22">
        <v>6564.7</v>
      </c>
      <c r="X24" s="2">
        <v>1034.97</v>
      </c>
      <c r="Y24" s="1">
        <v>19</v>
      </c>
      <c r="Z24" s="1">
        <v>20</v>
      </c>
      <c r="AA24" s="1">
        <v>0</v>
      </c>
      <c r="AB24" s="1">
        <v>0</v>
      </c>
      <c r="AC24" s="1">
        <v>15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25</v>
      </c>
      <c r="AT24" s="1">
        <v>12</v>
      </c>
      <c r="AU24" s="1">
        <v>14</v>
      </c>
      <c r="AV24" s="1">
        <v>24</v>
      </c>
      <c r="AW24" s="1">
        <v>18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53</v>
      </c>
      <c r="BD24" s="1">
        <v>44</v>
      </c>
      <c r="BE24" s="1">
        <v>24</v>
      </c>
      <c r="BF24" s="1">
        <v>74</v>
      </c>
      <c r="BG24" s="1">
        <v>2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</row>
    <row r="25" spans="1:64" x14ac:dyDescent="0.2">
      <c r="A25" s="1">
        <v>47014</v>
      </c>
      <c r="B25" s="1" t="s">
        <v>97</v>
      </c>
      <c r="C25" s="1">
        <v>24</v>
      </c>
      <c r="D25" s="1">
        <v>677</v>
      </c>
      <c r="E25" s="1" t="s">
        <v>64</v>
      </c>
      <c r="F25" s="1">
        <v>61</v>
      </c>
      <c r="G25" s="1" t="s">
        <v>66</v>
      </c>
      <c r="H25" s="2">
        <v>43.319099999999999</v>
      </c>
      <c r="I25" s="2">
        <v>1039.6584</v>
      </c>
      <c r="J25" s="14">
        <f t="shared" si="2"/>
        <v>0</v>
      </c>
      <c r="K25" s="15">
        <f t="shared" si="3"/>
        <v>0</v>
      </c>
      <c r="L25" s="1">
        <v>1.4</v>
      </c>
      <c r="M25" s="1">
        <v>2.62</v>
      </c>
      <c r="N25" s="17">
        <f>MAX(0,(TRUNC((L25*0.8)-M25)))</f>
        <v>0</v>
      </c>
      <c r="O25" s="1">
        <v>3.17</v>
      </c>
      <c r="P25" s="1">
        <v>3.29</v>
      </c>
      <c r="Q25" s="5">
        <v>0</v>
      </c>
      <c r="R25" s="1">
        <v>1.42</v>
      </c>
      <c r="S25" s="1">
        <v>2.5</v>
      </c>
      <c r="T25" s="17">
        <f>MAX(0,(TRUNC((R25*0.8)-S25)))</f>
        <v>0</v>
      </c>
      <c r="U25" s="1"/>
      <c r="V25" s="1">
        <v>0</v>
      </c>
      <c r="W25" s="22">
        <v>6216.29</v>
      </c>
      <c r="X25" s="2">
        <v>8750.4599999999991</v>
      </c>
      <c r="Y25" s="1">
        <v>10</v>
      </c>
      <c r="Z25" s="1">
        <v>6</v>
      </c>
      <c r="AA25" s="1">
        <v>20</v>
      </c>
      <c r="AB25" s="1">
        <v>1</v>
      </c>
      <c r="AC25" s="1">
        <v>63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30</v>
      </c>
      <c r="AT25" s="1">
        <v>36</v>
      </c>
      <c r="AU25" s="1">
        <v>12</v>
      </c>
      <c r="AV25" s="1">
        <v>32</v>
      </c>
      <c r="AW25" s="1">
        <v>79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18</v>
      </c>
      <c r="BE25" s="1">
        <v>17</v>
      </c>
      <c r="BF25" s="1">
        <v>16</v>
      </c>
      <c r="BG25" s="1">
        <v>60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</row>
    <row r="26" spans="1:64" x14ac:dyDescent="0.2">
      <c r="A26" s="1">
        <v>48068</v>
      </c>
      <c r="B26" s="1" t="s">
        <v>109</v>
      </c>
      <c r="C26" s="1">
        <v>12</v>
      </c>
      <c r="D26" s="1">
        <v>677</v>
      </c>
      <c r="E26" s="1" t="s">
        <v>64</v>
      </c>
      <c r="F26" s="1">
        <v>690</v>
      </c>
      <c r="G26" s="1" t="s">
        <v>101</v>
      </c>
      <c r="H26" s="2">
        <f t="shared" ref="H26:H32" si="6">I26/C26</f>
        <v>54.930833333333332</v>
      </c>
      <c r="I26" s="2">
        <v>659.17</v>
      </c>
      <c r="J26" s="14">
        <f t="shared" si="2"/>
        <v>20434.27</v>
      </c>
      <c r="K26" s="15">
        <f t="shared" si="3"/>
        <v>31</v>
      </c>
      <c r="L26" s="1">
        <v>6</v>
      </c>
      <c r="M26" s="1">
        <v>0.42</v>
      </c>
      <c r="N26" s="23">
        <v>16</v>
      </c>
      <c r="O26" s="1">
        <v>2.83</v>
      </c>
      <c r="P26" s="1">
        <v>-0.08</v>
      </c>
      <c r="Q26" s="5">
        <v>0</v>
      </c>
      <c r="R26" s="1">
        <v>4.62</v>
      </c>
      <c r="S26" s="1">
        <v>0</v>
      </c>
      <c r="T26" s="5">
        <v>15</v>
      </c>
      <c r="U26" s="1"/>
      <c r="V26" s="1">
        <v>0</v>
      </c>
      <c r="W26" s="20">
        <v>4775.67</v>
      </c>
      <c r="X26" s="2">
        <v>118.28</v>
      </c>
      <c r="Y26" s="1">
        <v>0</v>
      </c>
      <c r="Z26" s="1">
        <v>5</v>
      </c>
      <c r="AA26" s="1">
        <v>51</v>
      </c>
      <c r="AB26" s="1">
        <v>37</v>
      </c>
      <c r="AC26" s="1">
        <v>5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17</v>
      </c>
      <c r="AT26" s="1">
        <v>9</v>
      </c>
      <c r="AU26" s="1">
        <v>6</v>
      </c>
      <c r="AV26" s="1">
        <v>13</v>
      </c>
      <c r="AW26" s="1">
        <v>-1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22</v>
      </c>
      <c r="BF26" s="1">
        <v>67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</row>
    <row r="27" spans="1:64" x14ac:dyDescent="0.2">
      <c r="A27" s="1">
        <v>48082</v>
      </c>
      <c r="B27" s="1" t="s">
        <v>114</v>
      </c>
      <c r="C27" s="1">
        <v>12</v>
      </c>
      <c r="D27" s="1">
        <v>677</v>
      </c>
      <c r="E27" s="1" t="s">
        <v>64</v>
      </c>
      <c r="F27" s="1">
        <v>690</v>
      </c>
      <c r="G27" s="1" t="s">
        <v>101</v>
      </c>
      <c r="H27" s="2">
        <f t="shared" si="6"/>
        <v>54.930833333333332</v>
      </c>
      <c r="I27" s="2">
        <v>659.17</v>
      </c>
      <c r="J27" s="14">
        <f t="shared" si="2"/>
        <v>20434.27</v>
      </c>
      <c r="K27" s="15">
        <f t="shared" si="3"/>
        <v>31</v>
      </c>
      <c r="L27" s="1">
        <v>6.33</v>
      </c>
      <c r="M27" s="1">
        <v>-1.17</v>
      </c>
      <c r="N27" s="23">
        <v>16</v>
      </c>
      <c r="O27" s="1">
        <v>0.88</v>
      </c>
      <c r="P27" s="1">
        <v>0</v>
      </c>
      <c r="Q27" s="5">
        <v>0</v>
      </c>
      <c r="R27" s="1">
        <v>6.17</v>
      </c>
      <c r="S27" s="1">
        <v>5.08</v>
      </c>
      <c r="T27" s="5">
        <v>15</v>
      </c>
      <c r="U27" s="1"/>
      <c r="V27" s="1">
        <v>0</v>
      </c>
      <c r="W27" s="20">
        <v>4746.1000000000004</v>
      </c>
      <c r="X27" s="2">
        <v>1389.82</v>
      </c>
      <c r="Y27" s="1">
        <v>4</v>
      </c>
      <c r="Z27" s="1">
        <v>11</v>
      </c>
      <c r="AA27" s="1">
        <v>53</v>
      </c>
      <c r="AB27" s="1">
        <v>27</v>
      </c>
      <c r="AC27" s="1">
        <v>-14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2</v>
      </c>
      <c r="AV27" s="1">
        <v>17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23</v>
      </c>
      <c r="BD27" s="1">
        <v>16</v>
      </c>
      <c r="BE27" s="1">
        <v>22</v>
      </c>
      <c r="BF27" s="1">
        <v>42</v>
      </c>
      <c r="BG27" s="1">
        <v>61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</row>
    <row r="28" spans="1:64" x14ac:dyDescent="0.2">
      <c r="A28" s="1">
        <v>48055</v>
      </c>
      <c r="B28" s="1" t="s">
        <v>119</v>
      </c>
      <c r="C28" s="1">
        <v>12</v>
      </c>
      <c r="D28" s="1">
        <v>677</v>
      </c>
      <c r="E28" s="1" t="s">
        <v>64</v>
      </c>
      <c r="F28" s="1">
        <v>690</v>
      </c>
      <c r="G28" s="1" t="s">
        <v>101</v>
      </c>
      <c r="H28" s="2">
        <f t="shared" si="6"/>
        <v>54.930833333333332</v>
      </c>
      <c r="I28" s="2">
        <v>659.17</v>
      </c>
      <c r="J28" s="14">
        <f t="shared" si="2"/>
        <v>20434.27</v>
      </c>
      <c r="K28" s="15">
        <f t="shared" si="3"/>
        <v>31</v>
      </c>
      <c r="L28" s="1">
        <v>4.96</v>
      </c>
      <c r="M28" s="1">
        <v>-1.25</v>
      </c>
      <c r="N28" s="23">
        <v>16</v>
      </c>
      <c r="O28" s="1">
        <v>3.46</v>
      </c>
      <c r="P28" s="1">
        <v>0.08</v>
      </c>
      <c r="Q28" s="5">
        <v>0</v>
      </c>
      <c r="R28" s="1">
        <v>2.96</v>
      </c>
      <c r="S28" s="1">
        <v>0</v>
      </c>
      <c r="T28" s="5">
        <v>15</v>
      </c>
      <c r="U28" s="1"/>
      <c r="V28" s="1">
        <v>0</v>
      </c>
      <c r="W28" s="20">
        <v>4036.4</v>
      </c>
      <c r="X28" s="2">
        <v>-413.99</v>
      </c>
      <c r="Y28" s="1">
        <v>22</v>
      </c>
      <c r="Z28" s="1">
        <v>3</v>
      </c>
      <c r="AA28" s="1">
        <v>27</v>
      </c>
      <c r="AB28" s="1">
        <v>18</v>
      </c>
      <c r="AC28" s="1">
        <v>-15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27</v>
      </c>
      <c r="AT28" s="1">
        <v>8</v>
      </c>
      <c r="AU28" s="1">
        <v>6</v>
      </c>
      <c r="AV28" s="1">
        <v>9</v>
      </c>
      <c r="AW28" s="1">
        <v>1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1</v>
      </c>
      <c r="BD28" s="1">
        <v>19</v>
      </c>
      <c r="BE28" s="1">
        <v>11</v>
      </c>
      <c r="BF28" s="1">
        <v>28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</row>
    <row r="29" spans="1:64" x14ac:dyDescent="0.2">
      <c r="A29" s="1">
        <v>48044</v>
      </c>
      <c r="B29" s="1" t="s">
        <v>121</v>
      </c>
      <c r="C29" s="1">
        <v>12</v>
      </c>
      <c r="D29" s="1">
        <v>677</v>
      </c>
      <c r="E29" s="1" t="s">
        <v>64</v>
      </c>
      <c r="F29" s="1">
        <v>690</v>
      </c>
      <c r="G29" s="1" t="s">
        <v>101</v>
      </c>
      <c r="H29" s="2">
        <f t="shared" si="6"/>
        <v>54.930833333333332</v>
      </c>
      <c r="I29" s="2">
        <v>659.17</v>
      </c>
      <c r="J29" s="14">
        <f t="shared" si="2"/>
        <v>9887.5499999999993</v>
      </c>
      <c r="K29" s="15">
        <f t="shared" si="3"/>
        <v>15</v>
      </c>
      <c r="L29" s="1">
        <v>2.46</v>
      </c>
      <c r="M29" s="1">
        <v>0</v>
      </c>
      <c r="N29" s="23">
        <v>15</v>
      </c>
      <c r="O29" s="1">
        <v>3.83</v>
      </c>
      <c r="P29" s="1">
        <v>0.17</v>
      </c>
      <c r="Q29" s="5">
        <v>0</v>
      </c>
      <c r="R29" s="1">
        <v>4.79</v>
      </c>
      <c r="S29" s="1">
        <v>0.08</v>
      </c>
      <c r="T29" s="5">
        <v>0</v>
      </c>
      <c r="U29" s="1"/>
      <c r="V29" s="1">
        <v>0</v>
      </c>
      <c r="W29" s="20">
        <v>3932.9</v>
      </c>
      <c r="X29" s="2">
        <v>88.71</v>
      </c>
      <c r="Y29" s="1">
        <v>0</v>
      </c>
      <c r="Z29" s="1">
        <v>0</v>
      </c>
      <c r="AA29" s="1">
        <v>25</v>
      </c>
      <c r="AB29" s="1">
        <v>9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23</v>
      </c>
      <c r="AT29" s="1">
        <v>21</v>
      </c>
      <c r="AU29" s="1">
        <v>6</v>
      </c>
      <c r="AV29" s="1">
        <v>13</v>
      </c>
      <c r="AW29" s="1">
        <v>2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19</v>
      </c>
      <c r="BD29" s="1">
        <v>10</v>
      </c>
      <c r="BE29" s="1">
        <v>17</v>
      </c>
      <c r="BF29" s="1">
        <v>33</v>
      </c>
      <c r="BG29" s="1">
        <v>1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</row>
    <row r="30" spans="1:64" x14ac:dyDescent="0.2">
      <c r="A30" s="1">
        <v>48063</v>
      </c>
      <c r="B30" s="1" t="s">
        <v>118</v>
      </c>
      <c r="C30" s="1">
        <v>12</v>
      </c>
      <c r="D30" s="1">
        <v>677</v>
      </c>
      <c r="E30" s="1" t="s">
        <v>64</v>
      </c>
      <c r="F30" s="1">
        <v>690</v>
      </c>
      <c r="G30" s="1" t="s">
        <v>101</v>
      </c>
      <c r="H30" s="2">
        <f t="shared" si="6"/>
        <v>54.930833333333332</v>
      </c>
      <c r="I30" s="2">
        <v>659.17</v>
      </c>
      <c r="J30" s="14">
        <f t="shared" si="2"/>
        <v>10546.72</v>
      </c>
      <c r="K30" s="15">
        <f t="shared" si="3"/>
        <v>16</v>
      </c>
      <c r="L30" s="1">
        <v>3.46</v>
      </c>
      <c r="M30" s="1">
        <v>-0.17</v>
      </c>
      <c r="N30" s="23">
        <v>16</v>
      </c>
      <c r="O30" s="1">
        <v>3.62</v>
      </c>
      <c r="P30" s="1">
        <v>0.08</v>
      </c>
      <c r="Q30" s="5">
        <v>0</v>
      </c>
      <c r="R30" s="1">
        <v>3.83</v>
      </c>
      <c r="S30" s="1">
        <v>1.75</v>
      </c>
      <c r="T30" s="5">
        <v>0</v>
      </c>
      <c r="U30" s="1"/>
      <c r="V30" s="1">
        <v>0</v>
      </c>
      <c r="W30" s="20">
        <v>3873.76</v>
      </c>
      <c r="X30" s="2">
        <v>591.41</v>
      </c>
      <c r="Y30" s="1">
        <v>11</v>
      </c>
      <c r="Z30" s="1">
        <v>13</v>
      </c>
      <c r="AA30" s="1">
        <v>15</v>
      </c>
      <c r="AB30" s="1">
        <v>18</v>
      </c>
      <c r="AC30" s="1">
        <v>-2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27</v>
      </c>
      <c r="AT30" s="1">
        <v>17</v>
      </c>
      <c r="AU30" s="1">
        <v>2</v>
      </c>
      <c r="AV30" s="1">
        <v>12</v>
      </c>
      <c r="AW30" s="1">
        <v>1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26</v>
      </c>
      <c r="BD30" s="1">
        <v>18</v>
      </c>
      <c r="BE30" s="1">
        <v>11</v>
      </c>
      <c r="BF30" s="1">
        <v>0</v>
      </c>
      <c r="BG30" s="1">
        <v>21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</row>
    <row r="31" spans="1:64" x14ac:dyDescent="0.2">
      <c r="A31" s="1">
        <v>48058</v>
      </c>
      <c r="B31" s="1" t="s">
        <v>116</v>
      </c>
      <c r="C31" s="1">
        <v>12</v>
      </c>
      <c r="D31" s="1">
        <v>677</v>
      </c>
      <c r="E31" s="1" t="s">
        <v>64</v>
      </c>
      <c r="F31" s="1">
        <v>690</v>
      </c>
      <c r="G31" s="1" t="s">
        <v>101</v>
      </c>
      <c r="H31" s="2">
        <f t="shared" si="6"/>
        <v>54.930833333333332</v>
      </c>
      <c r="I31" s="2">
        <v>659.17</v>
      </c>
      <c r="J31" s="14">
        <f t="shared" si="2"/>
        <v>10546.72</v>
      </c>
      <c r="K31" s="15">
        <f t="shared" si="3"/>
        <v>16</v>
      </c>
      <c r="L31" s="1">
        <v>1.88</v>
      </c>
      <c r="M31" s="1">
        <v>1.92</v>
      </c>
      <c r="N31" s="23">
        <v>16</v>
      </c>
      <c r="O31" s="1">
        <v>4.08</v>
      </c>
      <c r="P31" s="1">
        <v>-0.08</v>
      </c>
      <c r="Q31" s="5">
        <v>0</v>
      </c>
      <c r="R31" s="1">
        <v>4.83</v>
      </c>
      <c r="S31" s="1">
        <v>1.83</v>
      </c>
      <c r="T31" s="5">
        <v>0</v>
      </c>
      <c r="U31" s="1"/>
      <c r="V31" s="1">
        <v>0</v>
      </c>
      <c r="W31" s="20">
        <v>3829.41</v>
      </c>
      <c r="X31" s="2">
        <v>1301.1099999999999</v>
      </c>
      <c r="Y31" s="1">
        <v>18</v>
      </c>
      <c r="Z31" s="1">
        <v>9</v>
      </c>
      <c r="AA31" s="1">
        <v>0</v>
      </c>
      <c r="AB31" s="1">
        <v>0</v>
      </c>
      <c r="AC31" s="1">
        <v>23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30</v>
      </c>
      <c r="AT31" s="1">
        <v>10</v>
      </c>
      <c r="AU31" s="1">
        <v>9</v>
      </c>
      <c r="AV31" s="1">
        <v>10</v>
      </c>
      <c r="AW31" s="1">
        <v>-1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16</v>
      </c>
      <c r="BD31" s="1">
        <v>12</v>
      </c>
      <c r="BE31" s="1">
        <v>21</v>
      </c>
      <c r="BF31" s="1">
        <v>30</v>
      </c>
      <c r="BG31" s="1">
        <v>22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</row>
    <row r="32" spans="1:64" x14ac:dyDescent="0.2">
      <c r="A32" s="1">
        <v>47026</v>
      </c>
      <c r="B32" s="1" t="s">
        <v>120</v>
      </c>
      <c r="C32" s="1">
        <v>12</v>
      </c>
      <c r="D32" s="1">
        <v>677</v>
      </c>
      <c r="E32" s="1" t="s">
        <v>64</v>
      </c>
      <c r="F32" s="1">
        <v>999</v>
      </c>
      <c r="G32" s="1" t="s">
        <v>67</v>
      </c>
      <c r="H32" s="2">
        <f t="shared" si="6"/>
        <v>54.930833333333332</v>
      </c>
      <c r="I32" s="2">
        <v>659.17</v>
      </c>
      <c r="J32" s="14">
        <f t="shared" si="2"/>
        <v>0</v>
      </c>
      <c r="K32" s="15">
        <f t="shared" si="3"/>
        <v>0</v>
      </c>
      <c r="L32" s="1">
        <v>0</v>
      </c>
      <c r="M32" s="1">
        <v>0</v>
      </c>
      <c r="N32" s="17">
        <f t="shared" ref="N32:N33" si="7">MAX(0,(TRUNC((L32*0.8)-M32)))</f>
        <v>0</v>
      </c>
      <c r="O32" s="1">
        <v>4.75</v>
      </c>
      <c r="P32" s="1">
        <v>12.42</v>
      </c>
      <c r="Q32" s="5">
        <v>0</v>
      </c>
      <c r="R32" s="1">
        <v>1.5</v>
      </c>
      <c r="S32" s="1">
        <v>0.5</v>
      </c>
      <c r="T32" s="17">
        <f t="shared" ref="T32:T33" si="8">MAX(0,(TRUNC((R32*0.8)-S32)))</f>
        <v>0</v>
      </c>
      <c r="U32" s="1"/>
      <c r="V32" s="1">
        <v>0</v>
      </c>
      <c r="W32" s="20">
        <v>3642</v>
      </c>
      <c r="X32" s="2">
        <v>7526.8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48</v>
      </c>
      <c r="AT32" s="1">
        <v>18</v>
      </c>
      <c r="AU32" s="1">
        <v>0</v>
      </c>
      <c r="AV32" s="1">
        <v>0</v>
      </c>
      <c r="AW32" s="1">
        <v>149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18</v>
      </c>
      <c r="BD32" s="1">
        <v>0</v>
      </c>
      <c r="BE32" s="1">
        <v>0</v>
      </c>
      <c r="BF32" s="1">
        <v>0</v>
      </c>
      <c r="BG32" s="1">
        <v>6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</row>
    <row r="33" spans="1:64" x14ac:dyDescent="0.2">
      <c r="A33" s="1">
        <v>47019</v>
      </c>
      <c r="B33" s="1" t="s">
        <v>123</v>
      </c>
      <c r="C33" s="1">
        <v>8</v>
      </c>
      <c r="D33" s="1">
        <v>677</v>
      </c>
      <c r="E33" s="1" t="s">
        <v>64</v>
      </c>
      <c r="F33" s="1">
        <v>61</v>
      </c>
      <c r="G33" s="1" t="s">
        <v>66</v>
      </c>
      <c r="H33" s="2">
        <v>152.41</v>
      </c>
      <c r="I33" s="2">
        <v>1219.28</v>
      </c>
      <c r="J33" s="14">
        <f t="shared" si="2"/>
        <v>0</v>
      </c>
      <c r="K33" s="15">
        <f t="shared" si="3"/>
        <v>0</v>
      </c>
      <c r="L33" s="1">
        <v>0.31</v>
      </c>
      <c r="M33" s="1">
        <v>3.25</v>
      </c>
      <c r="N33" s="17">
        <f t="shared" si="7"/>
        <v>0</v>
      </c>
      <c r="O33" s="1">
        <v>1.25</v>
      </c>
      <c r="P33" s="1">
        <v>1.25</v>
      </c>
      <c r="Q33" s="5">
        <v>0</v>
      </c>
      <c r="R33" s="1">
        <v>1</v>
      </c>
      <c r="S33" s="1">
        <v>0.75</v>
      </c>
      <c r="T33" s="17">
        <f t="shared" si="8"/>
        <v>0</v>
      </c>
      <c r="U33" s="1"/>
      <c r="V33" s="1">
        <v>0</v>
      </c>
      <c r="W33" s="20">
        <v>3124.4</v>
      </c>
      <c r="X33" s="2">
        <v>6401.22</v>
      </c>
      <c r="Y33" s="1">
        <v>0</v>
      </c>
      <c r="Z33" s="1">
        <v>2</v>
      </c>
      <c r="AA33" s="1">
        <v>1</v>
      </c>
      <c r="AB33" s="1">
        <v>1</v>
      </c>
      <c r="AC33" s="1">
        <v>26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2</v>
      </c>
      <c r="AT33" s="1">
        <v>0</v>
      </c>
      <c r="AU33" s="1">
        <v>5</v>
      </c>
      <c r="AV33" s="1">
        <v>6</v>
      </c>
      <c r="AW33" s="1">
        <v>10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16</v>
      </c>
      <c r="BG33" s="1">
        <v>6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</row>
    <row r="34" spans="1:64" x14ac:dyDescent="0.2">
      <c r="A34" s="1">
        <v>48029</v>
      </c>
      <c r="B34" s="1" t="s">
        <v>111</v>
      </c>
      <c r="C34" s="1">
        <v>12</v>
      </c>
      <c r="D34" s="1">
        <v>677</v>
      </c>
      <c r="E34" s="1" t="s">
        <v>64</v>
      </c>
      <c r="F34" s="1">
        <v>690</v>
      </c>
      <c r="G34" s="1" t="s">
        <v>101</v>
      </c>
      <c r="H34" s="2">
        <f t="shared" ref="H34:H35" si="9">I34/C34</f>
        <v>54.930833333333332</v>
      </c>
      <c r="I34" s="2">
        <v>659.17</v>
      </c>
      <c r="J34" s="14">
        <f t="shared" si="2"/>
        <v>10546.72</v>
      </c>
      <c r="K34" s="15">
        <f t="shared" si="3"/>
        <v>16</v>
      </c>
      <c r="L34" s="1">
        <v>2.79</v>
      </c>
      <c r="M34" s="1">
        <v>0.5</v>
      </c>
      <c r="N34" s="23">
        <v>16</v>
      </c>
      <c r="O34" s="1">
        <v>3.12</v>
      </c>
      <c r="P34" s="1">
        <v>1</v>
      </c>
      <c r="Q34" s="5">
        <v>0</v>
      </c>
      <c r="R34" s="1">
        <v>2.67</v>
      </c>
      <c r="S34" s="1">
        <v>0.08</v>
      </c>
      <c r="T34" s="5">
        <v>0</v>
      </c>
      <c r="U34" s="1"/>
      <c r="V34" s="1">
        <v>0</v>
      </c>
      <c r="W34" s="20">
        <v>3045.78</v>
      </c>
      <c r="X34" s="2">
        <v>561.84</v>
      </c>
      <c r="Y34" s="1">
        <v>29</v>
      </c>
      <c r="Z34" s="1">
        <v>9</v>
      </c>
      <c r="AA34" s="1">
        <v>0</v>
      </c>
      <c r="AB34" s="1">
        <v>0</v>
      </c>
      <c r="AC34" s="1">
        <v>6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19</v>
      </c>
      <c r="AT34" s="1">
        <v>9</v>
      </c>
      <c r="AU34" s="1">
        <v>9</v>
      </c>
      <c r="AV34" s="1">
        <v>10</v>
      </c>
      <c r="AW34" s="1">
        <v>12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20</v>
      </c>
      <c r="BD34" s="1">
        <v>12</v>
      </c>
      <c r="BE34" s="1">
        <v>6</v>
      </c>
      <c r="BF34" s="1">
        <v>0</v>
      </c>
      <c r="BG34" s="1">
        <v>1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</row>
    <row r="35" spans="1:64" x14ac:dyDescent="0.2">
      <c r="A35" s="1">
        <v>48085</v>
      </c>
      <c r="B35" s="1" t="s">
        <v>105</v>
      </c>
      <c r="C35" s="1">
        <v>12</v>
      </c>
      <c r="D35" s="1">
        <v>677</v>
      </c>
      <c r="E35" s="1" t="s">
        <v>64</v>
      </c>
      <c r="F35" s="1">
        <v>690</v>
      </c>
      <c r="G35" s="1" t="s">
        <v>101</v>
      </c>
      <c r="H35" s="2">
        <f t="shared" si="9"/>
        <v>54.930833333333332</v>
      </c>
      <c r="I35" s="2">
        <v>659.17</v>
      </c>
      <c r="J35" s="14">
        <f t="shared" si="2"/>
        <v>10546.72</v>
      </c>
      <c r="K35" s="15">
        <f t="shared" si="3"/>
        <v>16</v>
      </c>
      <c r="L35" s="1">
        <v>5.96</v>
      </c>
      <c r="M35" s="1">
        <v>2.33</v>
      </c>
      <c r="N35" s="23">
        <v>16</v>
      </c>
      <c r="O35" s="1">
        <v>2.38</v>
      </c>
      <c r="P35" s="1">
        <v>2</v>
      </c>
      <c r="Q35" s="5">
        <v>0</v>
      </c>
      <c r="R35" s="1">
        <v>0.04</v>
      </c>
      <c r="S35" s="1">
        <v>0</v>
      </c>
      <c r="T35" s="17">
        <f t="shared" ref="T35:T38" si="10">MAX(0,(TRUNC((R35*0.8)-S35)))</f>
        <v>0</v>
      </c>
      <c r="U35" s="1"/>
      <c r="V35" s="1">
        <v>0</v>
      </c>
      <c r="W35" s="20">
        <v>2971.86</v>
      </c>
      <c r="X35" s="2">
        <v>1537.68</v>
      </c>
      <c r="Y35" s="1">
        <v>0</v>
      </c>
      <c r="Z35" s="1">
        <v>0</v>
      </c>
      <c r="AA35" s="1">
        <v>65</v>
      </c>
      <c r="AB35" s="1">
        <v>13</v>
      </c>
      <c r="AC35" s="1">
        <v>28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5</v>
      </c>
      <c r="AT35" s="1">
        <v>5</v>
      </c>
      <c r="AU35" s="1">
        <v>11</v>
      </c>
      <c r="AV35" s="1">
        <v>20</v>
      </c>
      <c r="AW35" s="1">
        <v>24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1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</row>
    <row r="36" spans="1:64" x14ac:dyDescent="0.2">
      <c r="A36" s="1">
        <v>47210</v>
      </c>
      <c r="B36" s="1" t="s">
        <v>127</v>
      </c>
      <c r="C36" s="1">
        <v>12</v>
      </c>
      <c r="D36" s="1">
        <v>677</v>
      </c>
      <c r="E36" s="1" t="s">
        <v>64</v>
      </c>
      <c r="F36" s="1">
        <v>61</v>
      </c>
      <c r="G36" s="1" t="s">
        <v>66</v>
      </c>
      <c r="H36" s="2">
        <v>48.1554</v>
      </c>
      <c r="I36" s="2">
        <v>577.86479999999995</v>
      </c>
      <c r="J36" s="14">
        <f t="shared" si="2"/>
        <v>0</v>
      </c>
      <c r="K36" s="15">
        <f t="shared" si="3"/>
        <v>0</v>
      </c>
      <c r="L36" s="1">
        <v>0.88</v>
      </c>
      <c r="M36" s="1">
        <v>0.08</v>
      </c>
      <c r="N36" s="17">
        <f>MAX(0,(TRUNC((L36*0.8)-M36)))</f>
        <v>0</v>
      </c>
      <c r="O36" s="1">
        <v>2.12</v>
      </c>
      <c r="P36" s="1">
        <v>3.33</v>
      </c>
      <c r="Q36" s="5">
        <v>0</v>
      </c>
      <c r="R36" s="1">
        <v>0.12</v>
      </c>
      <c r="S36" s="1">
        <v>0.67</v>
      </c>
      <c r="T36" s="17">
        <f t="shared" si="10"/>
        <v>0</v>
      </c>
      <c r="U36" s="1"/>
      <c r="V36" s="1">
        <v>0</v>
      </c>
      <c r="W36" s="20">
        <v>1805.83</v>
      </c>
      <c r="X36" s="2">
        <v>2359.61</v>
      </c>
      <c r="Y36" s="1">
        <v>1</v>
      </c>
      <c r="Z36" s="1">
        <v>2</v>
      </c>
      <c r="AA36" s="1">
        <v>1</v>
      </c>
      <c r="AB36" s="1">
        <v>15</v>
      </c>
      <c r="AC36" s="1">
        <v>1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17</v>
      </c>
      <c r="AT36" s="1">
        <v>3</v>
      </c>
      <c r="AU36" s="1">
        <v>4</v>
      </c>
      <c r="AV36" s="1">
        <v>6</v>
      </c>
      <c r="AW36" s="1">
        <v>40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3</v>
      </c>
      <c r="BE36" s="1">
        <v>0</v>
      </c>
      <c r="BF36" s="1">
        <v>0</v>
      </c>
      <c r="BG36" s="1">
        <v>8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</row>
    <row r="37" spans="1:64" x14ac:dyDescent="0.2">
      <c r="A37" s="1">
        <v>48066</v>
      </c>
      <c r="B37" s="1" t="s">
        <v>129</v>
      </c>
      <c r="C37" s="1">
        <v>12</v>
      </c>
      <c r="D37" s="1">
        <v>677</v>
      </c>
      <c r="E37" s="1" t="s">
        <v>64</v>
      </c>
      <c r="F37" s="1">
        <v>690</v>
      </c>
      <c r="G37" s="1" t="s">
        <v>101</v>
      </c>
      <c r="H37" s="2">
        <v>29.570699999999999</v>
      </c>
      <c r="I37" s="2">
        <v>354.84840000000003</v>
      </c>
      <c r="J37" s="14">
        <f t="shared" si="2"/>
        <v>0</v>
      </c>
      <c r="K37" s="15">
        <f t="shared" si="3"/>
        <v>0</v>
      </c>
      <c r="L37" s="1">
        <v>1.67</v>
      </c>
      <c r="M37" s="1">
        <v>0.08</v>
      </c>
      <c r="N37" s="5">
        <v>0</v>
      </c>
      <c r="O37" s="1">
        <v>2</v>
      </c>
      <c r="P37" s="1">
        <v>3</v>
      </c>
      <c r="Q37" s="5">
        <v>0</v>
      </c>
      <c r="R37" s="1">
        <v>1.04</v>
      </c>
      <c r="S37" s="1">
        <v>0.5</v>
      </c>
      <c r="T37" s="17">
        <f t="shared" si="10"/>
        <v>0</v>
      </c>
      <c r="U37" s="1"/>
      <c r="V37" s="1">
        <v>0</v>
      </c>
      <c r="W37" s="20">
        <v>1670.74</v>
      </c>
      <c r="X37" s="2">
        <v>1271.54</v>
      </c>
      <c r="Y37" s="1">
        <v>16</v>
      </c>
      <c r="Z37" s="1">
        <v>8</v>
      </c>
      <c r="AA37" s="1">
        <v>0</v>
      </c>
      <c r="AB37" s="1">
        <v>0</v>
      </c>
      <c r="AC37" s="1">
        <v>1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14</v>
      </c>
      <c r="AT37" s="1">
        <v>1</v>
      </c>
      <c r="AU37" s="1">
        <v>7</v>
      </c>
      <c r="AV37" s="1">
        <v>5</v>
      </c>
      <c r="AW37" s="1">
        <v>36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11</v>
      </c>
      <c r="BD37" s="1">
        <v>3</v>
      </c>
      <c r="BE37" s="1">
        <v>0</v>
      </c>
      <c r="BF37" s="1">
        <v>0</v>
      </c>
      <c r="BG37" s="1">
        <v>6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</row>
    <row r="38" spans="1:64" x14ac:dyDescent="0.2">
      <c r="A38" s="1">
        <v>48049</v>
      </c>
      <c r="B38" s="1" t="s">
        <v>124</v>
      </c>
      <c r="C38" s="1">
        <v>12</v>
      </c>
      <c r="D38" s="1">
        <v>677</v>
      </c>
      <c r="E38" s="1" t="s">
        <v>64</v>
      </c>
      <c r="F38" s="1">
        <v>690</v>
      </c>
      <c r="G38" s="1" t="s">
        <v>101</v>
      </c>
      <c r="H38" s="2">
        <v>29.570699999999999</v>
      </c>
      <c r="I38" s="2">
        <v>354.84840000000003</v>
      </c>
      <c r="J38" s="14">
        <f t="shared" si="2"/>
        <v>0</v>
      </c>
      <c r="K38" s="15">
        <f t="shared" si="3"/>
        <v>0</v>
      </c>
      <c r="L38" s="1">
        <v>2.88</v>
      </c>
      <c r="M38" s="1">
        <v>0.17</v>
      </c>
      <c r="N38" s="5">
        <v>0</v>
      </c>
      <c r="O38" s="1">
        <v>0.67</v>
      </c>
      <c r="P38" s="1">
        <v>0</v>
      </c>
      <c r="Q38" s="5">
        <v>0</v>
      </c>
      <c r="R38" s="1">
        <v>0.96</v>
      </c>
      <c r="S38" s="1">
        <v>0</v>
      </c>
      <c r="T38" s="17">
        <f t="shared" si="10"/>
        <v>0</v>
      </c>
      <c r="U38" s="1"/>
      <c r="V38" s="1">
        <v>0</v>
      </c>
      <c r="W38" s="20">
        <v>1596.82</v>
      </c>
      <c r="X38" s="2">
        <v>59.14</v>
      </c>
      <c r="Y38" s="1">
        <v>0</v>
      </c>
      <c r="Z38" s="1">
        <v>10</v>
      </c>
      <c r="AA38" s="1">
        <v>25</v>
      </c>
      <c r="AB38" s="1">
        <v>9</v>
      </c>
      <c r="AC38" s="1">
        <v>2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3</v>
      </c>
      <c r="AV38" s="1">
        <v>10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11</v>
      </c>
      <c r="BF38" s="1">
        <v>1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</row>
    <row r="39" spans="1:64" x14ac:dyDescent="0.2">
      <c r="A39" s="1">
        <v>48080</v>
      </c>
      <c r="B39" s="1" t="s">
        <v>122</v>
      </c>
      <c r="C39" s="1">
        <v>12</v>
      </c>
      <c r="D39" s="1">
        <v>677</v>
      </c>
      <c r="E39" s="1" t="s">
        <v>64</v>
      </c>
      <c r="F39" s="1">
        <v>690</v>
      </c>
      <c r="G39" s="1" t="s">
        <v>101</v>
      </c>
      <c r="H39" s="2">
        <v>29.570699999999999</v>
      </c>
      <c r="I39" s="2">
        <v>354.84840000000003</v>
      </c>
      <c r="J39" s="14">
        <f t="shared" si="2"/>
        <v>0</v>
      </c>
      <c r="K39" s="15">
        <f t="shared" si="3"/>
        <v>0</v>
      </c>
      <c r="L39" s="1">
        <v>0</v>
      </c>
      <c r="M39" s="1">
        <v>0</v>
      </c>
      <c r="N39" s="17">
        <f t="shared" ref="N39:N41" si="11">MAX(0,(TRUNC((L39*0.8)-M39)))</f>
        <v>0</v>
      </c>
      <c r="O39" s="1">
        <v>1.62</v>
      </c>
      <c r="P39" s="1">
        <v>0</v>
      </c>
      <c r="Q39" s="5">
        <v>0</v>
      </c>
      <c r="R39" s="1">
        <v>1.75</v>
      </c>
      <c r="S39" s="1">
        <v>0</v>
      </c>
      <c r="T39" s="5">
        <v>0</v>
      </c>
      <c r="U39" s="1"/>
      <c r="V39" s="1">
        <v>0</v>
      </c>
      <c r="W39" s="20">
        <v>1197.6099999999999</v>
      </c>
      <c r="X39" s="2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13</v>
      </c>
      <c r="AV39" s="1">
        <v>13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12</v>
      </c>
      <c r="BD39" s="1">
        <v>10</v>
      </c>
      <c r="BE39" s="1">
        <v>4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</row>
    <row r="40" spans="1:64" x14ac:dyDescent="0.2">
      <c r="A40" s="1">
        <v>47036</v>
      </c>
      <c r="B40" s="1" t="s">
        <v>117</v>
      </c>
      <c r="C40" s="1">
        <v>24</v>
      </c>
      <c r="D40" s="1">
        <v>677</v>
      </c>
      <c r="E40" s="1" t="s">
        <v>64</v>
      </c>
      <c r="F40" s="1">
        <v>61</v>
      </c>
      <c r="G40" s="1" t="s">
        <v>66</v>
      </c>
      <c r="H40" s="2">
        <v>38.6661</v>
      </c>
      <c r="I40" s="2">
        <v>927.9864</v>
      </c>
      <c r="J40" s="14">
        <f t="shared" si="2"/>
        <v>0</v>
      </c>
      <c r="K40" s="15">
        <f t="shared" si="3"/>
        <v>0</v>
      </c>
      <c r="L40" s="1">
        <v>0.73</v>
      </c>
      <c r="M40" s="1">
        <v>0</v>
      </c>
      <c r="N40" s="17">
        <f t="shared" si="11"/>
        <v>0</v>
      </c>
      <c r="O40" s="1">
        <v>0</v>
      </c>
      <c r="P40" s="1">
        <v>0</v>
      </c>
      <c r="Q40" s="5">
        <v>0</v>
      </c>
      <c r="R40" s="1">
        <v>0.15</v>
      </c>
      <c r="S40" s="1">
        <v>0</v>
      </c>
      <c r="T40" s="17">
        <f t="shared" ref="T40:T91" si="12">MAX(0,(TRUNC((R40*0.8)-S40)))</f>
        <v>0</v>
      </c>
      <c r="U40" s="1"/>
      <c r="V40" s="1">
        <v>0</v>
      </c>
      <c r="W40" s="20">
        <v>811.99</v>
      </c>
      <c r="X40" s="2">
        <v>0</v>
      </c>
      <c r="Y40" s="1">
        <v>0</v>
      </c>
      <c r="Z40" s="1">
        <v>0</v>
      </c>
      <c r="AA40" s="1">
        <v>4</v>
      </c>
      <c r="AB40" s="1">
        <v>27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2</v>
      </c>
      <c r="BF40" s="1">
        <v>3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</row>
    <row r="41" spans="1:64" x14ac:dyDescent="0.2">
      <c r="A41" s="1">
        <v>48056</v>
      </c>
      <c r="B41" s="1" t="s">
        <v>134</v>
      </c>
      <c r="C41" s="1">
        <v>12</v>
      </c>
      <c r="D41" s="1">
        <v>677</v>
      </c>
      <c r="E41" s="1" t="s">
        <v>64</v>
      </c>
      <c r="F41" s="1">
        <v>690</v>
      </c>
      <c r="G41" s="1" t="s">
        <v>101</v>
      </c>
      <c r="H41" s="2">
        <v>29.570699999999999</v>
      </c>
      <c r="I41" s="2">
        <v>354.84840000000003</v>
      </c>
      <c r="J41" s="14">
        <f t="shared" si="2"/>
        <v>0</v>
      </c>
      <c r="K41" s="15">
        <f t="shared" si="3"/>
        <v>0</v>
      </c>
      <c r="L41" s="1">
        <v>0</v>
      </c>
      <c r="M41" s="1">
        <v>0</v>
      </c>
      <c r="N41" s="17">
        <f t="shared" si="11"/>
        <v>0</v>
      </c>
      <c r="O41" s="1">
        <v>1</v>
      </c>
      <c r="P41" s="1">
        <v>0</v>
      </c>
      <c r="Q41" s="5">
        <v>0</v>
      </c>
      <c r="R41" s="1">
        <v>0.04</v>
      </c>
      <c r="S41" s="1">
        <v>0</v>
      </c>
      <c r="T41" s="17">
        <f t="shared" si="12"/>
        <v>0</v>
      </c>
      <c r="U41" s="1"/>
      <c r="V41" s="1">
        <v>0</v>
      </c>
      <c r="W41" s="20">
        <v>369.63</v>
      </c>
      <c r="X41" s="2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8</v>
      </c>
      <c r="AV41" s="1">
        <v>8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1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</row>
    <row r="42" spans="1:64" x14ac:dyDescent="0.2">
      <c r="A42" s="1">
        <v>564</v>
      </c>
      <c r="B42" s="1" t="s">
        <v>136</v>
      </c>
      <c r="C42" s="1">
        <v>96</v>
      </c>
      <c r="D42" s="1">
        <v>677</v>
      </c>
      <c r="E42" s="1" t="s">
        <v>64</v>
      </c>
      <c r="F42" s="1">
        <v>690</v>
      </c>
      <c r="G42" s="1" t="s">
        <v>101</v>
      </c>
      <c r="H42" s="2">
        <v>3.6968999999999999</v>
      </c>
      <c r="I42" s="2">
        <v>354.9024</v>
      </c>
      <c r="J42" s="14">
        <f t="shared" si="2"/>
        <v>0</v>
      </c>
      <c r="K42" s="4">
        <v>0</v>
      </c>
      <c r="L42" s="1">
        <v>0.73</v>
      </c>
      <c r="M42" s="1">
        <v>-1.1499999999999999</v>
      </c>
      <c r="N42" s="5">
        <v>0</v>
      </c>
      <c r="O42" s="1">
        <v>0</v>
      </c>
      <c r="P42" s="1">
        <v>0</v>
      </c>
      <c r="Q42" s="5">
        <v>0</v>
      </c>
      <c r="R42" s="1">
        <v>0.01</v>
      </c>
      <c r="S42" s="1">
        <v>-0.02</v>
      </c>
      <c r="T42" s="17">
        <f t="shared" si="12"/>
        <v>0</v>
      </c>
      <c r="U42" s="1"/>
      <c r="V42" s="1">
        <v>0</v>
      </c>
      <c r="W42" s="20">
        <v>264.33</v>
      </c>
      <c r="X42" s="2">
        <v>-414.05</v>
      </c>
      <c r="Y42" s="1">
        <v>37</v>
      </c>
      <c r="Z42" s="1">
        <v>30</v>
      </c>
      <c r="AA42" s="1">
        <v>10</v>
      </c>
      <c r="AB42" s="1">
        <v>17</v>
      </c>
      <c r="AC42" s="1">
        <v>-110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2</v>
      </c>
      <c r="BE42" s="1">
        <v>0</v>
      </c>
      <c r="BF42" s="1">
        <v>0</v>
      </c>
      <c r="BG42" s="1">
        <v>-2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</row>
    <row r="43" spans="1:64" x14ac:dyDescent="0.2">
      <c r="A43" s="1">
        <v>47009</v>
      </c>
      <c r="B43" s="1" t="s">
        <v>130</v>
      </c>
      <c r="C43" s="1">
        <v>12</v>
      </c>
      <c r="D43" s="1">
        <v>677</v>
      </c>
      <c r="E43" s="1" t="s">
        <v>64</v>
      </c>
      <c r="F43" s="1">
        <v>61</v>
      </c>
      <c r="G43" s="1" t="s">
        <v>66</v>
      </c>
      <c r="H43" s="2">
        <v>138.47</v>
      </c>
      <c r="I43" s="2">
        <v>1661.64</v>
      </c>
      <c r="J43" s="14">
        <f t="shared" si="2"/>
        <v>0</v>
      </c>
      <c r="K43" s="15">
        <f t="shared" ref="K43:K44" si="13">SUM(N43+Q43+T43)</f>
        <v>0</v>
      </c>
      <c r="L43" s="1">
        <v>0</v>
      </c>
      <c r="M43" s="1">
        <v>0</v>
      </c>
      <c r="N43" s="17">
        <f t="shared" ref="N43:N44" si="14">MAX(0,(TRUNC((L43*0.8)-M43)))</f>
        <v>0</v>
      </c>
      <c r="O43" s="1">
        <v>0.12</v>
      </c>
      <c r="P43" s="1">
        <v>0</v>
      </c>
      <c r="Q43" s="5">
        <v>0</v>
      </c>
      <c r="R43" s="1">
        <v>0</v>
      </c>
      <c r="S43" s="1">
        <v>0</v>
      </c>
      <c r="T43" s="17">
        <f t="shared" si="12"/>
        <v>0</v>
      </c>
      <c r="U43" s="1"/>
      <c r="V43" s="1">
        <v>0</v>
      </c>
      <c r="W43" s="20">
        <v>207.7</v>
      </c>
      <c r="X43" s="2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1</v>
      </c>
      <c r="AV43" s="1">
        <v>1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</row>
    <row r="44" spans="1:64" x14ac:dyDescent="0.2">
      <c r="A44" s="1">
        <v>504</v>
      </c>
      <c r="B44" s="1" t="s">
        <v>138</v>
      </c>
      <c r="C44" s="1">
        <v>96</v>
      </c>
      <c r="D44" s="1">
        <v>677</v>
      </c>
      <c r="E44" s="1" t="s">
        <v>64</v>
      </c>
      <c r="F44" s="1">
        <v>690</v>
      </c>
      <c r="G44" s="1" t="s">
        <v>101</v>
      </c>
      <c r="H44" s="2">
        <v>3.6968999999999999</v>
      </c>
      <c r="I44" s="2">
        <v>354.9024</v>
      </c>
      <c r="J44" s="14">
        <f t="shared" si="2"/>
        <v>0</v>
      </c>
      <c r="K44" s="15">
        <f t="shared" si="13"/>
        <v>0</v>
      </c>
      <c r="L44" s="1">
        <v>0.56000000000000005</v>
      </c>
      <c r="M44" s="1">
        <v>-0.43</v>
      </c>
      <c r="N44" s="17">
        <f t="shared" si="14"/>
        <v>0</v>
      </c>
      <c r="O44" s="1">
        <v>0</v>
      </c>
      <c r="P44" s="1">
        <v>0</v>
      </c>
      <c r="Q44" s="5">
        <v>0</v>
      </c>
      <c r="R44" s="1">
        <v>0</v>
      </c>
      <c r="S44" s="1">
        <v>0</v>
      </c>
      <c r="T44" s="17">
        <f t="shared" si="12"/>
        <v>0</v>
      </c>
      <c r="U44" s="1"/>
      <c r="V44" s="1">
        <v>0</v>
      </c>
      <c r="W44" s="20">
        <v>199.63</v>
      </c>
      <c r="X44" s="2">
        <v>-151.57</v>
      </c>
      <c r="Y44" s="1">
        <v>11</v>
      </c>
      <c r="Z44" s="1">
        <v>9</v>
      </c>
      <c r="AA44" s="1">
        <v>25</v>
      </c>
      <c r="AB44" s="1">
        <v>27</v>
      </c>
      <c r="AC44" s="1">
        <v>-41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</row>
    <row r="45" spans="1:64" x14ac:dyDescent="0.2">
      <c r="A45" s="1">
        <v>561</v>
      </c>
      <c r="B45" s="1" t="s">
        <v>132</v>
      </c>
      <c r="C45" s="1">
        <v>96</v>
      </c>
      <c r="D45" s="1">
        <v>677</v>
      </c>
      <c r="E45" s="1" t="s">
        <v>64</v>
      </c>
      <c r="F45" s="1">
        <v>690</v>
      </c>
      <c r="G45" s="1" t="s">
        <v>101</v>
      </c>
      <c r="H45" s="2">
        <v>3.6968999999999999</v>
      </c>
      <c r="I45" s="2">
        <v>354.9024</v>
      </c>
      <c r="J45" s="14">
        <f t="shared" si="2"/>
        <v>0</v>
      </c>
      <c r="K45" s="4">
        <v>0</v>
      </c>
      <c r="L45" s="1">
        <v>0.53</v>
      </c>
      <c r="M45" s="1">
        <v>-0.8</v>
      </c>
      <c r="N45" s="5">
        <v>0</v>
      </c>
      <c r="O45" s="1">
        <v>0</v>
      </c>
      <c r="P45" s="1">
        <v>0</v>
      </c>
      <c r="Q45" s="5">
        <v>0</v>
      </c>
      <c r="R45" s="1">
        <v>0</v>
      </c>
      <c r="S45" s="1">
        <v>0</v>
      </c>
      <c r="T45" s="17">
        <f t="shared" si="12"/>
        <v>0</v>
      </c>
      <c r="U45" s="1"/>
      <c r="V45" s="1">
        <v>0</v>
      </c>
      <c r="W45" s="20">
        <v>188.54</v>
      </c>
      <c r="X45" s="2">
        <v>-284.66000000000003</v>
      </c>
      <c r="Y45" s="1">
        <v>23</v>
      </c>
      <c r="Z45" s="1">
        <v>24</v>
      </c>
      <c r="AA45" s="1">
        <v>9</v>
      </c>
      <c r="AB45" s="1">
        <v>14</v>
      </c>
      <c r="AC45" s="1">
        <v>-77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</row>
    <row r="46" spans="1:64" x14ac:dyDescent="0.2">
      <c r="A46" s="1">
        <v>566</v>
      </c>
      <c r="B46" s="1" t="s">
        <v>140</v>
      </c>
      <c r="C46" s="1">
        <v>96</v>
      </c>
      <c r="D46" s="1">
        <v>677</v>
      </c>
      <c r="E46" s="1" t="s">
        <v>64</v>
      </c>
      <c r="F46" s="1">
        <v>690</v>
      </c>
      <c r="G46" s="1" t="s">
        <v>101</v>
      </c>
      <c r="H46" s="2">
        <v>3.6968999999999999</v>
      </c>
      <c r="I46" s="2">
        <v>354.9024</v>
      </c>
      <c r="J46" s="14">
        <f t="shared" si="2"/>
        <v>0</v>
      </c>
      <c r="K46" s="15">
        <f>SUM(N46+Q46+T46)</f>
        <v>0</v>
      </c>
      <c r="L46" s="1">
        <v>0.49</v>
      </c>
      <c r="M46" s="1">
        <v>-0.2</v>
      </c>
      <c r="N46" s="17">
        <f>MAX(0,(TRUNC((L46*0.8)-M46)))</f>
        <v>0</v>
      </c>
      <c r="O46" s="1">
        <v>0</v>
      </c>
      <c r="P46" s="1">
        <v>0</v>
      </c>
      <c r="Q46" s="5">
        <v>0</v>
      </c>
      <c r="R46" s="1">
        <v>0.03</v>
      </c>
      <c r="S46" s="1">
        <v>0</v>
      </c>
      <c r="T46" s="17">
        <f t="shared" si="12"/>
        <v>0</v>
      </c>
      <c r="U46" s="1"/>
      <c r="V46" s="1">
        <v>0</v>
      </c>
      <c r="W46" s="20">
        <v>184.85</v>
      </c>
      <c r="X46" s="2">
        <v>-70.239999999999995</v>
      </c>
      <c r="Y46" s="1">
        <v>0</v>
      </c>
      <c r="Z46" s="1">
        <v>19</v>
      </c>
      <c r="AA46" s="1">
        <v>31</v>
      </c>
      <c r="AB46" s="1">
        <v>14</v>
      </c>
      <c r="AC46" s="1">
        <v>-19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5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</row>
    <row r="47" spans="1:64" x14ac:dyDescent="0.2">
      <c r="A47" s="1">
        <v>560</v>
      </c>
      <c r="B47" s="1" t="s">
        <v>133</v>
      </c>
      <c r="C47" s="1">
        <v>96</v>
      </c>
      <c r="D47" s="1">
        <v>677</v>
      </c>
      <c r="E47" s="1" t="s">
        <v>64</v>
      </c>
      <c r="F47" s="1">
        <v>690</v>
      </c>
      <c r="G47" s="1" t="s">
        <v>101</v>
      </c>
      <c r="H47" s="2">
        <v>3.6968999999999999</v>
      </c>
      <c r="I47" s="2">
        <v>354.9024</v>
      </c>
      <c r="J47" s="14">
        <f t="shared" si="2"/>
        <v>0</v>
      </c>
      <c r="K47" s="4">
        <v>0</v>
      </c>
      <c r="L47" s="1">
        <v>0.41</v>
      </c>
      <c r="M47" s="1">
        <v>-0.7</v>
      </c>
      <c r="N47" s="5">
        <v>0</v>
      </c>
      <c r="O47" s="1">
        <v>0</v>
      </c>
      <c r="P47" s="1">
        <v>0</v>
      </c>
      <c r="Q47" s="5">
        <v>0</v>
      </c>
      <c r="R47" s="1">
        <v>0</v>
      </c>
      <c r="S47" s="1">
        <v>0</v>
      </c>
      <c r="T47" s="17">
        <f t="shared" si="12"/>
        <v>0</v>
      </c>
      <c r="U47" s="1"/>
      <c r="V47" s="1">
        <v>0</v>
      </c>
      <c r="W47" s="20">
        <v>144.18</v>
      </c>
      <c r="X47" s="2">
        <v>-247.69</v>
      </c>
      <c r="Y47" s="1">
        <v>0</v>
      </c>
      <c r="Z47" s="1">
        <v>0</v>
      </c>
      <c r="AA47" s="1">
        <v>32</v>
      </c>
      <c r="AB47" s="1">
        <v>14</v>
      </c>
      <c r="AC47" s="1">
        <v>-67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</row>
    <row r="48" spans="1:64" x14ac:dyDescent="0.2">
      <c r="A48" s="1">
        <v>565</v>
      </c>
      <c r="B48" s="1" t="s">
        <v>137</v>
      </c>
      <c r="C48" s="1">
        <v>96</v>
      </c>
      <c r="D48" s="1">
        <v>677</v>
      </c>
      <c r="E48" s="1" t="s">
        <v>64</v>
      </c>
      <c r="F48" s="1">
        <v>690</v>
      </c>
      <c r="G48" s="1" t="s">
        <v>101</v>
      </c>
      <c r="H48" s="2">
        <v>3.6968999999999999</v>
      </c>
      <c r="I48" s="2">
        <v>354.9024</v>
      </c>
      <c r="J48" s="14">
        <f t="shared" si="2"/>
        <v>0</v>
      </c>
      <c r="K48" s="15">
        <f t="shared" ref="K48:K91" si="15">SUM(N48+Q48+T48)</f>
        <v>0</v>
      </c>
      <c r="L48" s="1">
        <v>0.36</v>
      </c>
      <c r="M48" s="1">
        <v>-0.71</v>
      </c>
      <c r="N48" s="17">
        <f t="shared" ref="N48:N91" si="16">MAX(0,(TRUNC((L48*0.8)-M48)))</f>
        <v>0</v>
      </c>
      <c r="O48" s="1">
        <v>0</v>
      </c>
      <c r="P48" s="1">
        <v>0</v>
      </c>
      <c r="Q48" s="5">
        <v>0</v>
      </c>
      <c r="R48" s="1">
        <v>0</v>
      </c>
      <c r="S48" s="1">
        <v>0</v>
      </c>
      <c r="T48" s="17">
        <f t="shared" si="12"/>
        <v>0</v>
      </c>
      <c r="U48" s="1"/>
      <c r="V48" s="1">
        <v>0</v>
      </c>
      <c r="W48" s="20">
        <v>129.38999999999999</v>
      </c>
      <c r="X48" s="2">
        <v>-251.39</v>
      </c>
      <c r="Y48" s="1">
        <v>9</v>
      </c>
      <c r="Z48" s="1">
        <v>5</v>
      </c>
      <c r="AA48" s="1">
        <v>17</v>
      </c>
      <c r="AB48" s="1">
        <v>13</v>
      </c>
      <c r="AC48" s="1">
        <v>-68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</row>
    <row r="49" spans="1:64" x14ac:dyDescent="0.2">
      <c r="A49" s="1">
        <v>562</v>
      </c>
      <c r="B49" s="1" t="s">
        <v>131</v>
      </c>
      <c r="C49" s="1">
        <v>96</v>
      </c>
      <c r="D49" s="1">
        <v>677</v>
      </c>
      <c r="E49" s="1" t="s">
        <v>64</v>
      </c>
      <c r="F49" s="1">
        <v>690</v>
      </c>
      <c r="G49" s="1" t="s">
        <v>101</v>
      </c>
      <c r="H49" s="2">
        <v>3.6968999999999999</v>
      </c>
      <c r="I49" s="2">
        <v>354.9024</v>
      </c>
      <c r="J49" s="14">
        <f t="shared" si="2"/>
        <v>0</v>
      </c>
      <c r="K49" s="15">
        <f t="shared" si="15"/>
        <v>0</v>
      </c>
      <c r="L49" s="1">
        <v>0.32</v>
      </c>
      <c r="M49" s="1">
        <v>-0.7</v>
      </c>
      <c r="N49" s="17">
        <f t="shared" si="16"/>
        <v>0</v>
      </c>
      <c r="O49" s="1">
        <v>0</v>
      </c>
      <c r="P49" s="1">
        <v>0</v>
      </c>
      <c r="Q49" s="5">
        <v>0</v>
      </c>
      <c r="R49" s="1">
        <v>0.01</v>
      </c>
      <c r="S49" s="1">
        <v>-0.01</v>
      </c>
      <c r="T49" s="17">
        <f t="shared" si="12"/>
        <v>0</v>
      </c>
      <c r="U49" s="1"/>
      <c r="V49" s="1">
        <v>0</v>
      </c>
      <c r="W49" s="20">
        <v>116.45</v>
      </c>
      <c r="X49" s="2">
        <v>-251.39</v>
      </c>
      <c r="Y49" s="1">
        <v>20</v>
      </c>
      <c r="Z49" s="1">
        <v>14</v>
      </c>
      <c r="AA49" s="1">
        <v>4</v>
      </c>
      <c r="AB49" s="1">
        <v>0</v>
      </c>
      <c r="AC49" s="1">
        <v>-67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1</v>
      </c>
      <c r="BE49" s="1">
        <v>0</v>
      </c>
      <c r="BF49" s="1">
        <v>0</v>
      </c>
      <c r="BG49" s="1">
        <v>-1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</row>
    <row r="50" spans="1:64" x14ac:dyDescent="0.2">
      <c r="A50" s="1">
        <v>519</v>
      </c>
      <c r="B50" s="1" t="s">
        <v>143</v>
      </c>
      <c r="C50" s="1">
        <v>96</v>
      </c>
      <c r="D50" s="1">
        <v>677</v>
      </c>
      <c r="E50" s="1" t="s">
        <v>64</v>
      </c>
      <c r="F50" s="1">
        <v>690</v>
      </c>
      <c r="G50" s="1" t="s">
        <v>101</v>
      </c>
      <c r="H50" s="2">
        <v>3.6968999999999999</v>
      </c>
      <c r="I50" s="2">
        <v>354.9024</v>
      </c>
      <c r="J50" s="14">
        <f t="shared" si="2"/>
        <v>0</v>
      </c>
      <c r="K50" s="15">
        <f t="shared" si="15"/>
        <v>0</v>
      </c>
      <c r="L50" s="1">
        <v>0.3</v>
      </c>
      <c r="M50" s="1">
        <v>-0.44</v>
      </c>
      <c r="N50" s="17">
        <f t="shared" si="16"/>
        <v>0</v>
      </c>
      <c r="O50" s="1">
        <v>0</v>
      </c>
      <c r="P50" s="1">
        <v>0</v>
      </c>
      <c r="Q50" s="5">
        <v>0</v>
      </c>
      <c r="R50" s="1">
        <v>0</v>
      </c>
      <c r="S50" s="1">
        <v>0</v>
      </c>
      <c r="T50" s="17">
        <f t="shared" si="12"/>
        <v>0</v>
      </c>
      <c r="U50" s="1"/>
      <c r="V50" s="1">
        <v>0</v>
      </c>
      <c r="W50" s="20">
        <v>105.36</v>
      </c>
      <c r="X50" s="2">
        <v>-155.27000000000001</v>
      </c>
      <c r="Y50" s="1">
        <v>11</v>
      </c>
      <c r="Z50" s="1">
        <v>18</v>
      </c>
      <c r="AA50" s="1">
        <v>7</v>
      </c>
      <c r="AB50" s="1">
        <v>3</v>
      </c>
      <c r="AC50" s="1">
        <v>-42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</row>
    <row r="51" spans="1:64" x14ac:dyDescent="0.2">
      <c r="A51" s="1">
        <v>501</v>
      </c>
      <c r="B51" s="1" t="s">
        <v>145</v>
      </c>
      <c r="C51" s="1">
        <v>96</v>
      </c>
      <c r="D51" s="1">
        <v>677</v>
      </c>
      <c r="E51" s="1" t="s">
        <v>64</v>
      </c>
      <c r="F51" s="1">
        <v>690</v>
      </c>
      <c r="G51" s="1" t="s">
        <v>101</v>
      </c>
      <c r="H51" s="2">
        <v>3.6968999999999999</v>
      </c>
      <c r="I51" s="2">
        <v>354.9024</v>
      </c>
      <c r="J51" s="14">
        <f t="shared" si="2"/>
        <v>0</v>
      </c>
      <c r="K51" s="15">
        <f t="shared" si="15"/>
        <v>0</v>
      </c>
      <c r="L51" s="1">
        <v>0.26</v>
      </c>
      <c r="M51" s="1">
        <v>-0.28999999999999998</v>
      </c>
      <c r="N51" s="17">
        <f t="shared" si="16"/>
        <v>0</v>
      </c>
      <c r="O51" s="1">
        <v>0</v>
      </c>
      <c r="P51" s="1">
        <v>0</v>
      </c>
      <c r="Q51" s="5">
        <v>0</v>
      </c>
      <c r="R51" s="1">
        <v>0.04</v>
      </c>
      <c r="S51" s="1">
        <v>-0.08</v>
      </c>
      <c r="T51" s="17">
        <f t="shared" si="12"/>
        <v>0</v>
      </c>
      <c r="U51" s="1"/>
      <c r="V51" s="1">
        <v>0</v>
      </c>
      <c r="W51" s="20">
        <v>105.36</v>
      </c>
      <c r="X51" s="2">
        <v>-133.09</v>
      </c>
      <c r="Y51" s="1">
        <v>1</v>
      </c>
      <c r="Z51" s="1">
        <v>15</v>
      </c>
      <c r="AA51" s="1">
        <v>9</v>
      </c>
      <c r="AB51" s="1">
        <v>14</v>
      </c>
      <c r="AC51" s="1">
        <v>-28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8</v>
      </c>
      <c r="BE51" s="1">
        <v>0</v>
      </c>
      <c r="BF51" s="1">
        <v>0</v>
      </c>
      <c r="BG51" s="1">
        <v>-8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</row>
    <row r="52" spans="1:64" x14ac:dyDescent="0.2">
      <c r="A52" s="1">
        <v>567</v>
      </c>
      <c r="B52" s="1" t="s">
        <v>135</v>
      </c>
      <c r="C52" s="1">
        <v>96</v>
      </c>
      <c r="D52" s="1">
        <v>677</v>
      </c>
      <c r="E52" s="1" t="s">
        <v>64</v>
      </c>
      <c r="F52" s="1">
        <v>690</v>
      </c>
      <c r="G52" s="1" t="s">
        <v>101</v>
      </c>
      <c r="H52" s="2">
        <v>3.6968999999999999</v>
      </c>
      <c r="I52" s="2">
        <v>354.9024</v>
      </c>
      <c r="J52" s="14">
        <f t="shared" si="2"/>
        <v>0</v>
      </c>
      <c r="K52" s="15">
        <f t="shared" si="15"/>
        <v>0</v>
      </c>
      <c r="L52" s="1">
        <v>0.28000000000000003</v>
      </c>
      <c r="M52" s="1">
        <v>-0.7</v>
      </c>
      <c r="N52" s="17">
        <f t="shared" si="16"/>
        <v>0</v>
      </c>
      <c r="O52" s="1">
        <v>0</v>
      </c>
      <c r="P52" s="1">
        <v>0</v>
      </c>
      <c r="Q52" s="5">
        <v>0</v>
      </c>
      <c r="R52" s="1">
        <v>0</v>
      </c>
      <c r="S52" s="1">
        <v>0.01</v>
      </c>
      <c r="T52" s="17">
        <f t="shared" si="12"/>
        <v>0</v>
      </c>
      <c r="U52" s="1"/>
      <c r="V52" s="1">
        <v>0</v>
      </c>
      <c r="W52" s="20">
        <v>99.82</v>
      </c>
      <c r="X52" s="2">
        <v>-244</v>
      </c>
      <c r="Y52" s="1">
        <v>6</v>
      </c>
      <c r="Z52" s="1">
        <v>14</v>
      </c>
      <c r="AA52" s="1">
        <v>13</v>
      </c>
      <c r="AB52" s="1">
        <v>2</v>
      </c>
      <c r="AC52" s="1">
        <v>-67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1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</row>
    <row r="53" spans="1:64" x14ac:dyDescent="0.2">
      <c r="A53" s="1">
        <v>526</v>
      </c>
      <c r="B53" s="1" t="s">
        <v>144</v>
      </c>
      <c r="C53" s="1">
        <v>96</v>
      </c>
      <c r="D53" s="1">
        <v>677</v>
      </c>
      <c r="E53" s="1" t="s">
        <v>64</v>
      </c>
      <c r="F53" s="1">
        <v>690</v>
      </c>
      <c r="G53" s="1" t="s">
        <v>101</v>
      </c>
      <c r="H53" s="2">
        <v>3.6968999999999999</v>
      </c>
      <c r="I53" s="2">
        <v>354.9024</v>
      </c>
      <c r="J53" s="14">
        <f t="shared" si="2"/>
        <v>0</v>
      </c>
      <c r="K53" s="15">
        <f t="shared" si="15"/>
        <v>0</v>
      </c>
      <c r="L53" s="1">
        <v>0.2</v>
      </c>
      <c r="M53" s="1">
        <v>-0.06</v>
      </c>
      <c r="N53" s="17">
        <f t="shared" si="16"/>
        <v>0</v>
      </c>
      <c r="O53" s="1">
        <v>0</v>
      </c>
      <c r="P53" s="1">
        <v>0</v>
      </c>
      <c r="Q53" s="5">
        <v>0</v>
      </c>
      <c r="R53" s="1">
        <v>0</v>
      </c>
      <c r="S53" s="1">
        <v>0</v>
      </c>
      <c r="T53" s="17">
        <f t="shared" si="12"/>
        <v>0</v>
      </c>
      <c r="U53" s="1"/>
      <c r="V53" s="1">
        <v>0</v>
      </c>
      <c r="W53" s="20">
        <v>70.239999999999995</v>
      </c>
      <c r="X53" s="2">
        <v>-22.18</v>
      </c>
      <c r="Y53" s="1">
        <v>0</v>
      </c>
      <c r="Z53" s="1">
        <v>11</v>
      </c>
      <c r="AA53" s="1">
        <v>9</v>
      </c>
      <c r="AB53" s="1">
        <v>9</v>
      </c>
      <c r="AC53" s="1">
        <v>-6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</row>
    <row r="54" spans="1:64" x14ac:dyDescent="0.2">
      <c r="A54" s="1">
        <v>510</v>
      </c>
      <c r="B54" s="1" t="s">
        <v>146</v>
      </c>
      <c r="C54" s="1">
        <v>96</v>
      </c>
      <c r="D54" s="1">
        <v>677</v>
      </c>
      <c r="E54" s="1" t="s">
        <v>64</v>
      </c>
      <c r="F54" s="1">
        <v>690</v>
      </c>
      <c r="G54" s="1" t="s">
        <v>101</v>
      </c>
      <c r="H54" s="2">
        <v>3.6968999999999999</v>
      </c>
      <c r="I54" s="2">
        <v>354.9024</v>
      </c>
      <c r="J54" s="14">
        <f t="shared" si="2"/>
        <v>0</v>
      </c>
      <c r="K54" s="15">
        <f t="shared" si="15"/>
        <v>0</v>
      </c>
      <c r="L54" s="1">
        <v>0.11</v>
      </c>
      <c r="M54" s="1">
        <v>0</v>
      </c>
      <c r="N54" s="17">
        <f t="shared" si="16"/>
        <v>0</v>
      </c>
      <c r="O54" s="1">
        <v>0</v>
      </c>
      <c r="P54" s="1">
        <v>0</v>
      </c>
      <c r="Q54" s="5">
        <v>0</v>
      </c>
      <c r="R54" s="1">
        <v>0</v>
      </c>
      <c r="S54" s="1">
        <v>0</v>
      </c>
      <c r="T54" s="17">
        <f t="shared" si="12"/>
        <v>0</v>
      </c>
      <c r="U54" s="1"/>
      <c r="V54" s="1">
        <v>0</v>
      </c>
      <c r="W54" s="20">
        <v>40.67</v>
      </c>
      <c r="X54" s="2">
        <v>0</v>
      </c>
      <c r="Y54" s="1">
        <v>0</v>
      </c>
      <c r="Z54" s="1">
        <v>0</v>
      </c>
      <c r="AA54" s="1">
        <v>6</v>
      </c>
      <c r="AB54" s="1">
        <v>10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</row>
    <row r="55" spans="1:64" x14ac:dyDescent="0.2">
      <c r="A55" s="1">
        <v>506</v>
      </c>
      <c r="B55" s="1" t="s">
        <v>139</v>
      </c>
      <c r="C55" s="1">
        <v>96</v>
      </c>
      <c r="D55" s="1">
        <v>677</v>
      </c>
      <c r="E55" s="1" t="s">
        <v>64</v>
      </c>
      <c r="F55" s="1">
        <v>690</v>
      </c>
      <c r="G55" s="1" t="s">
        <v>101</v>
      </c>
      <c r="H55" s="2">
        <v>3.6968999999999999</v>
      </c>
      <c r="I55" s="2">
        <v>354.9024</v>
      </c>
      <c r="J55" s="14">
        <f t="shared" si="2"/>
        <v>0</v>
      </c>
      <c r="K55" s="15">
        <f t="shared" si="15"/>
        <v>0</v>
      </c>
      <c r="L55" s="1">
        <v>0.1</v>
      </c>
      <c r="M55" s="1">
        <v>-0.17</v>
      </c>
      <c r="N55" s="17">
        <f t="shared" si="16"/>
        <v>0</v>
      </c>
      <c r="O55" s="1">
        <v>0</v>
      </c>
      <c r="P55" s="1">
        <v>0</v>
      </c>
      <c r="Q55" s="5">
        <v>0</v>
      </c>
      <c r="R55" s="1">
        <v>0</v>
      </c>
      <c r="S55" s="1">
        <v>0</v>
      </c>
      <c r="T55" s="17">
        <f t="shared" si="12"/>
        <v>0</v>
      </c>
      <c r="U55" s="1"/>
      <c r="V55" s="1">
        <v>0</v>
      </c>
      <c r="W55" s="20">
        <v>35.119999999999997</v>
      </c>
      <c r="X55" s="2">
        <v>-59.15</v>
      </c>
      <c r="Y55" s="1">
        <v>4</v>
      </c>
      <c r="Z55" s="1">
        <v>11</v>
      </c>
      <c r="AA55" s="1">
        <v>0</v>
      </c>
      <c r="AB55" s="1">
        <v>0</v>
      </c>
      <c r="AC55" s="1">
        <v>-16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</row>
    <row r="56" spans="1:64" x14ac:dyDescent="0.2">
      <c r="A56" s="1">
        <v>509</v>
      </c>
      <c r="B56" s="1" t="s">
        <v>141</v>
      </c>
      <c r="C56" s="1">
        <v>96</v>
      </c>
      <c r="D56" s="1">
        <v>677</v>
      </c>
      <c r="E56" s="1" t="s">
        <v>64</v>
      </c>
      <c r="F56" s="1">
        <v>690</v>
      </c>
      <c r="G56" s="1" t="s">
        <v>101</v>
      </c>
      <c r="H56" s="2">
        <v>3.6968999999999999</v>
      </c>
      <c r="I56" s="2">
        <v>354.9024</v>
      </c>
      <c r="J56" s="14">
        <f t="shared" si="2"/>
        <v>0</v>
      </c>
      <c r="K56" s="15">
        <f t="shared" si="15"/>
        <v>0</v>
      </c>
      <c r="L56" s="1">
        <v>0.04</v>
      </c>
      <c r="M56" s="1">
        <v>-0.2</v>
      </c>
      <c r="N56" s="17">
        <f t="shared" si="16"/>
        <v>0</v>
      </c>
      <c r="O56" s="1">
        <v>0</v>
      </c>
      <c r="P56" s="1">
        <v>0</v>
      </c>
      <c r="Q56" s="5">
        <v>0</v>
      </c>
      <c r="R56" s="1">
        <v>0</v>
      </c>
      <c r="S56" s="1">
        <v>0</v>
      </c>
      <c r="T56" s="17">
        <f t="shared" si="12"/>
        <v>0</v>
      </c>
      <c r="U56" s="1"/>
      <c r="V56" s="1">
        <v>0</v>
      </c>
      <c r="W56" s="20">
        <v>14.79</v>
      </c>
      <c r="X56" s="2">
        <v>-70.239999999999995</v>
      </c>
      <c r="Y56" s="1">
        <v>3</v>
      </c>
      <c r="Z56" s="1">
        <v>2</v>
      </c>
      <c r="AA56" s="1">
        <v>0</v>
      </c>
      <c r="AB56" s="1">
        <v>0</v>
      </c>
      <c r="AC56" s="1">
        <v>-19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</row>
    <row r="57" spans="1:64" x14ac:dyDescent="0.2">
      <c r="A57" s="1">
        <v>514</v>
      </c>
      <c r="B57" s="1" t="s">
        <v>147</v>
      </c>
      <c r="C57" s="1">
        <v>96</v>
      </c>
      <c r="D57" s="1">
        <v>677</v>
      </c>
      <c r="E57" s="1" t="s">
        <v>64</v>
      </c>
      <c r="F57" s="1">
        <v>690</v>
      </c>
      <c r="G57" s="1" t="s">
        <v>101</v>
      </c>
      <c r="H57" s="2">
        <v>3.6968999999999999</v>
      </c>
      <c r="I57" s="2">
        <v>354.9024</v>
      </c>
      <c r="J57" s="14">
        <f t="shared" si="2"/>
        <v>0</v>
      </c>
      <c r="K57" s="15">
        <f t="shared" si="15"/>
        <v>0</v>
      </c>
      <c r="L57" s="1">
        <v>0.01</v>
      </c>
      <c r="M57" s="1">
        <v>-0.01</v>
      </c>
      <c r="N57" s="17">
        <f t="shared" si="16"/>
        <v>0</v>
      </c>
      <c r="O57" s="1">
        <v>0</v>
      </c>
      <c r="P57" s="1">
        <v>0</v>
      </c>
      <c r="Q57" s="5">
        <v>0</v>
      </c>
      <c r="R57" s="1">
        <v>0</v>
      </c>
      <c r="S57" s="1">
        <v>0</v>
      </c>
      <c r="T57" s="17">
        <f t="shared" si="12"/>
        <v>0</v>
      </c>
      <c r="U57" s="1"/>
      <c r="V57" s="1">
        <v>0</v>
      </c>
      <c r="W57" s="20">
        <v>3.7</v>
      </c>
      <c r="X57" s="2">
        <v>-3.7</v>
      </c>
      <c r="Y57" s="1">
        <v>0</v>
      </c>
      <c r="Z57" s="1">
        <v>2</v>
      </c>
      <c r="AA57" s="1">
        <v>0</v>
      </c>
      <c r="AB57" s="1">
        <v>0</v>
      </c>
      <c r="AC57" s="1">
        <v>-1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</row>
    <row r="58" spans="1:64" x14ac:dyDescent="0.2">
      <c r="A58" s="1">
        <v>563</v>
      </c>
      <c r="B58" s="1" t="s">
        <v>155</v>
      </c>
      <c r="C58" s="1">
        <v>96</v>
      </c>
      <c r="D58" s="1">
        <v>677</v>
      </c>
      <c r="E58" s="1" t="s">
        <v>64</v>
      </c>
      <c r="F58" s="1">
        <v>690</v>
      </c>
      <c r="G58" s="1" t="s">
        <v>101</v>
      </c>
      <c r="H58" s="2">
        <v>3.6968999999999999</v>
      </c>
      <c r="I58" s="2">
        <v>354.9024</v>
      </c>
      <c r="J58" s="14">
        <f t="shared" si="2"/>
        <v>0</v>
      </c>
      <c r="K58" s="15">
        <f t="shared" si="15"/>
        <v>0</v>
      </c>
      <c r="L58" s="1">
        <v>0</v>
      </c>
      <c r="M58" s="1">
        <v>0</v>
      </c>
      <c r="N58" s="17">
        <f t="shared" si="16"/>
        <v>0</v>
      </c>
      <c r="O58" s="1">
        <v>0</v>
      </c>
      <c r="P58" s="1">
        <v>0</v>
      </c>
      <c r="Q58" s="5">
        <v>0</v>
      </c>
      <c r="R58" s="1">
        <v>0</v>
      </c>
      <c r="S58" s="1">
        <v>0</v>
      </c>
      <c r="T58" s="17">
        <f t="shared" si="12"/>
        <v>0</v>
      </c>
      <c r="U58" s="1"/>
      <c r="V58" s="1">
        <v>0</v>
      </c>
      <c r="W58" s="20">
        <v>0</v>
      </c>
      <c r="X58" s="2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</row>
    <row r="59" spans="1:64" x14ac:dyDescent="0.2">
      <c r="A59" s="1">
        <v>543</v>
      </c>
      <c r="B59" s="1" t="s">
        <v>154</v>
      </c>
      <c r="C59" s="1">
        <v>96</v>
      </c>
      <c r="D59" s="1">
        <v>677</v>
      </c>
      <c r="E59" s="1" t="s">
        <v>64</v>
      </c>
      <c r="F59" s="1">
        <v>690</v>
      </c>
      <c r="G59" s="1" t="s">
        <v>101</v>
      </c>
      <c r="H59" s="2">
        <v>3.6968999999999999</v>
      </c>
      <c r="I59" s="2">
        <v>354.9024</v>
      </c>
      <c r="J59" s="14">
        <f t="shared" si="2"/>
        <v>0</v>
      </c>
      <c r="K59" s="15">
        <f t="shared" si="15"/>
        <v>0</v>
      </c>
      <c r="L59" s="1">
        <v>0</v>
      </c>
      <c r="M59" s="1">
        <v>0</v>
      </c>
      <c r="N59" s="17">
        <f t="shared" si="16"/>
        <v>0</v>
      </c>
      <c r="O59" s="1">
        <v>0</v>
      </c>
      <c r="P59" s="1">
        <v>0</v>
      </c>
      <c r="Q59" s="5">
        <v>0</v>
      </c>
      <c r="R59" s="1">
        <v>0</v>
      </c>
      <c r="S59" s="1">
        <v>0</v>
      </c>
      <c r="T59" s="17">
        <f t="shared" si="12"/>
        <v>0</v>
      </c>
      <c r="U59" s="1"/>
      <c r="V59" s="1">
        <v>0</v>
      </c>
      <c r="W59" s="20">
        <v>0</v>
      </c>
      <c r="X59" s="2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</row>
    <row r="60" spans="1:64" x14ac:dyDescent="0.2">
      <c r="A60" s="1">
        <v>8042</v>
      </c>
      <c r="B60" s="1" t="s">
        <v>77</v>
      </c>
      <c r="C60" s="1">
        <v>72</v>
      </c>
      <c r="D60" s="1">
        <v>677</v>
      </c>
      <c r="E60" s="1" t="s">
        <v>64</v>
      </c>
      <c r="F60" s="1">
        <v>999</v>
      </c>
      <c r="G60" s="1" t="s">
        <v>67</v>
      </c>
      <c r="H60" s="2">
        <v>6.5368000000000004</v>
      </c>
      <c r="I60" s="2">
        <v>470.64960000000002</v>
      </c>
      <c r="J60" s="14">
        <f t="shared" si="2"/>
        <v>0</v>
      </c>
      <c r="K60" s="15">
        <f t="shared" si="15"/>
        <v>0</v>
      </c>
      <c r="L60" s="1">
        <v>0</v>
      </c>
      <c r="M60" s="1">
        <v>0</v>
      </c>
      <c r="N60" s="17">
        <f t="shared" si="16"/>
        <v>0</v>
      </c>
      <c r="O60" s="1">
        <v>0</v>
      </c>
      <c r="P60" s="1">
        <v>0</v>
      </c>
      <c r="Q60" s="5">
        <v>0</v>
      </c>
      <c r="R60" s="1">
        <v>0</v>
      </c>
      <c r="S60" s="1">
        <v>0</v>
      </c>
      <c r="T60" s="17">
        <f t="shared" si="12"/>
        <v>0</v>
      </c>
      <c r="U60" s="1"/>
      <c r="V60" s="1">
        <v>0</v>
      </c>
      <c r="W60" s="20">
        <v>0</v>
      </c>
      <c r="X60" s="2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</row>
    <row r="61" spans="1:64" x14ac:dyDescent="0.2">
      <c r="A61" s="1">
        <v>8038</v>
      </c>
      <c r="B61" s="1" t="s">
        <v>156</v>
      </c>
      <c r="C61" s="1">
        <v>6</v>
      </c>
      <c r="D61" s="1">
        <v>677</v>
      </c>
      <c r="E61" s="1" t="s">
        <v>64</v>
      </c>
      <c r="F61" s="1">
        <v>61</v>
      </c>
      <c r="G61" s="1" t="s">
        <v>66</v>
      </c>
      <c r="H61" s="2">
        <v>77</v>
      </c>
      <c r="I61" s="2">
        <v>462</v>
      </c>
      <c r="J61" s="14">
        <f t="shared" si="2"/>
        <v>0</v>
      </c>
      <c r="K61" s="15">
        <f t="shared" si="15"/>
        <v>0</v>
      </c>
      <c r="L61" s="1">
        <v>0</v>
      </c>
      <c r="M61" s="1">
        <v>0</v>
      </c>
      <c r="N61" s="17">
        <f t="shared" si="16"/>
        <v>0</v>
      </c>
      <c r="O61" s="1">
        <v>0</v>
      </c>
      <c r="P61" s="1">
        <v>0</v>
      </c>
      <c r="Q61" s="5">
        <v>0</v>
      </c>
      <c r="R61" s="1">
        <v>0</v>
      </c>
      <c r="S61" s="1">
        <v>0</v>
      </c>
      <c r="T61" s="17">
        <f t="shared" si="12"/>
        <v>0</v>
      </c>
      <c r="U61" s="1"/>
      <c r="V61" s="1">
        <v>0</v>
      </c>
      <c r="W61" s="20">
        <v>0</v>
      </c>
      <c r="X61" s="2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</row>
    <row r="62" spans="1:64" x14ac:dyDescent="0.2">
      <c r="A62" s="1">
        <v>8041</v>
      </c>
      <c r="B62" s="1" t="s">
        <v>77</v>
      </c>
      <c r="C62" s="1">
        <v>72</v>
      </c>
      <c r="D62" s="1">
        <v>677</v>
      </c>
      <c r="E62" s="1" t="s">
        <v>64</v>
      </c>
      <c r="F62" s="1">
        <v>999</v>
      </c>
      <c r="G62" s="1" t="s">
        <v>67</v>
      </c>
      <c r="H62" s="2">
        <v>6.5368000000000004</v>
      </c>
      <c r="I62" s="2">
        <v>470.64960000000002</v>
      </c>
      <c r="J62" s="14">
        <f t="shared" si="2"/>
        <v>0</v>
      </c>
      <c r="K62" s="15">
        <f t="shared" si="15"/>
        <v>0</v>
      </c>
      <c r="L62" s="1">
        <v>0</v>
      </c>
      <c r="M62" s="1">
        <v>0</v>
      </c>
      <c r="N62" s="17">
        <f t="shared" si="16"/>
        <v>0</v>
      </c>
      <c r="O62" s="1">
        <v>0</v>
      </c>
      <c r="P62" s="1">
        <v>0</v>
      </c>
      <c r="Q62" s="5">
        <v>0</v>
      </c>
      <c r="R62" s="1">
        <v>0</v>
      </c>
      <c r="S62" s="1">
        <v>0</v>
      </c>
      <c r="T62" s="17">
        <f t="shared" si="12"/>
        <v>0</v>
      </c>
      <c r="U62" s="1"/>
      <c r="V62" s="1">
        <v>0</v>
      </c>
      <c r="W62" s="20">
        <v>0</v>
      </c>
      <c r="X62" s="2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</row>
    <row r="63" spans="1:64" x14ac:dyDescent="0.2">
      <c r="A63" s="1">
        <v>515</v>
      </c>
      <c r="B63" s="1" t="s">
        <v>152</v>
      </c>
      <c r="C63" s="1">
        <v>96</v>
      </c>
      <c r="D63" s="1">
        <v>677</v>
      </c>
      <c r="E63" s="1" t="s">
        <v>64</v>
      </c>
      <c r="F63" s="1">
        <v>690</v>
      </c>
      <c r="G63" s="1" t="s">
        <v>101</v>
      </c>
      <c r="H63" s="2">
        <v>3.6968999999999999</v>
      </c>
      <c r="I63" s="2">
        <v>354.9024</v>
      </c>
      <c r="J63" s="14">
        <f t="shared" si="2"/>
        <v>0</v>
      </c>
      <c r="K63" s="15">
        <f t="shared" si="15"/>
        <v>0</v>
      </c>
      <c r="L63" s="1">
        <v>0</v>
      </c>
      <c r="M63" s="1">
        <v>0</v>
      </c>
      <c r="N63" s="17">
        <f t="shared" si="16"/>
        <v>0</v>
      </c>
      <c r="O63" s="1">
        <v>0</v>
      </c>
      <c r="P63" s="1">
        <v>0</v>
      </c>
      <c r="Q63" s="5">
        <v>0</v>
      </c>
      <c r="R63" s="1">
        <v>0</v>
      </c>
      <c r="S63" s="1">
        <v>0</v>
      </c>
      <c r="T63" s="17">
        <f t="shared" si="12"/>
        <v>0</v>
      </c>
      <c r="U63" s="1"/>
      <c r="V63" s="1">
        <v>0</v>
      </c>
      <c r="W63" s="20">
        <v>0</v>
      </c>
      <c r="X63" s="2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</row>
    <row r="64" spans="1:64" x14ac:dyDescent="0.2">
      <c r="A64" s="1">
        <v>512</v>
      </c>
      <c r="B64" s="1" t="s">
        <v>151</v>
      </c>
      <c r="C64" s="1">
        <v>96</v>
      </c>
      <c r="D64" s="1">
        <v>677</v>
      </c>
      <c r="E64" s="1" t="s">
        <v>64</v>
      </c>
      <c r="F64" s="1">
        <v>690</v>
      </c>
      <c r="G64" s="1" t="s">
        <v>101</v>
      </c>
      <c r="H64" s="2">
        <v>3.6968999999999999</v>
      </c>
      <c r="I64" s="2">
        <v>354.9024</v>
      </c>
      <c r="J64" s="14">
        <f t="shared" si="2"/>
        <v>0</v>
      </c>
      <c r="K64" s="15">
        <f t="shared" si="15"/>
        <v>0</v>
      </c>
      <c r="L64" s="1">
        <v>0</v>
      </c>
      <c r="M64" s="1">
        <v>0</v>
      </c>
      <c r="N64" s="17">
        <f t="shared" si="16"/>
        <v>0</v>
      </c>
      <c r="O64" s="1">
        <v>0</v>
      </c>
      <c r="P64" s="1">
        <v>0</v>
      </c>
      <c r="Q64" s="5">
        <v>0</v>
      </c>
      <c r="R64" s="1">
        <v>0</v>
      </c>
      <c r="S64" s="1">
        <v>0</v>
      </c>
      <c r="T64" s="17">
        <f t="shared" si="12"/>
        <v>0</v>
      </c>
      <c r="U64" s="1"/>
      <c r="V64" s="1">
        <v>0</v>
      </c>
      <c r="W64" s="20">
        <v>0</v>
      </c>
      <c r="X64" s="2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</row>
    <row r="65" spans="1:64" x14ac:dyDescent="0.2">
      <c r="A65" s="1">
        <v>511</v>
      </c>
      <c r="B65" s="1" t="s">
        <v>150</v>
      </c>
      <c r="C65" s="1">
        <v>96</v>
      </c>
      <c r="D65" s="1">
        <v>677</v>
      </c>
      <c r="E65" s="1" t="s">
        <v>64</v>
      </c>
      <c r="F65" s="1">
        <v>690</v>
      </c>
      <c r="G65" s="1" t="s">
        <v>101</v>
      </c>
      <c r="H65" s="2">
        <v>3.6968999999999999</v>
      </c>
      <c r="I65" s="2">
        <v>354.9024</v>
      </c>
      <c r="J65" s="14">
        <f t="shared" si="2"/>
        <v>0</v>
      </c>
      <c r="K65" s="15">
        <f t="shared" si="15"/>
        <v>0</v>
      </c>
      <c r="L65" s="1">
        <v>0</v>
      </c>
      <c r="M65" s="1">
        <v>0</v>
      </c>
      <c r="N65" s="17">
        <f t="shared" si="16"/>
        <v>0</v>
      </c>
      <c r="O65" s="1">
        <v>0</v>
      </c>
      <c r="P65" s="1">
        <v>0</v>
      </c>
      <c r="Q65" s="5">
        <v>0</v>
      </c>
      <c r="R65" s="1">
        <v>0</v>
      </c>
      <c r="S65" s="1">
        <v>0</v>
      </c>
      <c r="T65" s="17">
        <f t="shared" si="12"/>
        <v>0</v>
      </c>
      <c r="U65" s="1"/>
      <c r="V65" s="1">
        <v>0</v>
      </c>
      <c r="W65" s="20">
        <v>0</v>
      </c>
      <c r="X65" s="2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</row>
    <row r="66" spans="1:64" x14ac:dyDescent="0.2">
      <c r="A66" s="1">
        <v>516</v>
      </c>
      <c r="B66" s="1" t="s">
        <v>153</v>
      </c>
      <c r="C66" s="1">
        <v>96</v>
      </c>
      <c r="D66" s="1">
        <v>677</v>
      </c>
      <c r="E66" s="1" t="s">
        <v>64</v>
      </c>
      <c r="F66" s="1">
        <v>690</v>
      </c>
      <c r="G66" s="1" t="s">
        <v>101</v>
      </c>
      <c r="H66" s="2">
        <v>3.6968999999999999</v>
      </c>
      <c r="I66" s="2">
        <v>354.9024</v>
      </c>
      <c r="J66" s="14">
        <f t="shared" si="2"/>
        <v>0</v>
      </c>
      <c r="K66" s="15">
        <f t="shared" si="15"/>
        <v>0</v>
      </c>
      <c r="L66" s="1">
        <v>0</v>
      </c>
      <c r="M66" s="1">
        <v>0</v>
      </c>
      <c r="N66" s="17">
        <f t="shared" si="16"/>
        <v>0</v>
      </c>
      <c r="O66" s="1">
        <v>0</v>
      </c>
      <c r="P66" s="1">
        <v>0</v>
      </c>
      <c r="Q66" s="5">
        <v>0</v>
      </c>
      <c r="R66" s="1">
        <v>0</v>
      </c>
      <c r="S66" s="1">
        <v>0</v>
      </c>
      <c r="T66" s="17">
        <f t="shared" si="12"/>
        <v>0</v>
      </c>
      <c r="U66" s="1"/>
      <c r="V66" s="1">
        <v>0</v>
      </c>
      <c r="W66" s="20">
        <v>0</v>
      </c>
      <c r="X66" s="2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</row>
    <row r="67" spans="1:64" x14ac:dyDescent="0.2">
      <c r="A67" s="1">
        <v>47028</v>
      </c>
      <c r="B67" s="1" t="s">
        <v>81</v>
      </c>
      <c r="C67" s="1">
        <v>24</v>
      </c>
      <c r="D67" s="1">
        <v>677</v>
      </c>
      <c r="E67" s="1" t="s">
        <v>64</v>
      </c>
      <c r="F67" s="1">
        <v>999</v>
      </c>
      <c r="G67" s="1" t="s">
        <v>67</v>
      </c>
      <c r="H67" s="2">
        <v>37.9</v>
      </c>
      <c r="I67" s="2">
        <v>909.6</v>
      </c>
      <c r="J67" s="14">
        <f t="shared" si="2"/>
        <v>0</v>
      </c>
      <c r="K67" s="15">
        <f t="shared" si="15"/>
        <v>0</v>
      </c>
      <c r="L67" s="1">
        <v>0</v>
      </c>
      <c r="M67" s="1">
        <v>0</v>
      </c>
      <c r="N67" s="17">
        <f t="shared" si="16"/>
        <v>0</v>
      </c>
      <c r="O67" s="1">
        <v>0</v>
      </c>
      <c r="P67" s="1">
        <v>0</v>
      </c>
      <c r="Q67" s="5">
        <v>0</v>
      </c>
      <c r="R67" s="1">
        <v>0</v>
      </c>
      <c r="S67" s="1">
        <v>0</v>
      </c>
      <c r="T67" s="17">
        <f t="shared" si="12"/>
        <v>0</v>
      </c>
      <c r="U67" s="1"/>
      <c r="V67" s="1">
        <v>0</v>
      </c>
      <c r="W67" s="20">
        <v>0</v>
      </c>
      <c r="X67" s="2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</row>
    <row r="68" spans="1:64" x14ac:dyDescent="0.2">
      <c r="A68" s="1">
        <v>48083</v>
      </c>
      <c r="B68" s="1" t="s">
        <v>142</v>
      </c>
      <c r="C68" s="1">
        <v>12</v>
      </c>
      <c r="D68" s="1">
        <v>677</v>
      </c>
      <c r="E68" s="1" t="s">
        <v>64</v>
      </c>
      <c r="F68" s="1">
        <v>690</v>
      </c>
      <c r="G68" s="1" t="s">
        <v>101</v>
      </c>
      <c r="H68" s="2">
        <v>29.570699999999999</v>
      </c>
      <c r="I68" s="2">
        <v>354.84840000000003</v>
      </c>
      <c r="J68" s="14">
        <f t="shared" si="2"/>
        <v>0</v>
      </c>
      <c r="K68" s="15">
        <f t="shared" si="15"/>
        <v>0</v>
      </c>
      <c r="L68" s="1">
        <v>0</v>
      </c>
      <c r="M68" s="1">
        <v>0</v>
      </c>
      <c r="N68" s="17">
        <f t="shared" si="16"/>
        <v>0</v>
      </c>
      <c r="O68" s="1">
        <v>0</v>
      </c>
      <c r="P68" s="1">
        <v>0</v>
      </c>
      <c r="Q68" s="5">
        <v>0</v>
      </c>
      <c r="R68" s="1">
        <v>0</v>
      </c>
      <c r="S68" s="1">
        <v>0</v>
      </c>
      <c r="T68" s="17">
        <f t="shared" si="12"/>
        <v>0</v>
      </c>
      <c r="U68" s="1"/>
      <c r="V68" s="1">
        <v>0</v>
      </c>
      <c r="W68" s="20">
        <v>0</v>
      </c>
      <c r="X68" s="2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</row>
    <row r="69" spans="1:64" x14ac:dyDescent="0.2">
      <c r="A69" s="1">
        <v>47125</v>
      </c>
      <c r="B69" s="1" t="s">
        <v>81</v>
      </c>
      <c r="C69" s="1">
        <v>15</v>
      </c>
      <c r="D69" s="1">
        <v>677</v>
      </c>
      <c r="E69" s="1" t="s">
        <v>64</v>
      </c>
      <c r="F69" s="1">
        <v>999</v>
      </c>
      <c r="G69" s="1" t="s">
        <v>67</v>
      </c>
      <c r="H69" s="2">
        <v>37.9</v>
      </c>
      <c r="I69" s="2">
        <v>568.5</v>
      </c>
      <c r="J69" s="14">
        <f t="shared" si="2"/>
        <v>0</v>
      </c>
      <c r="K69" s="15">
        <f t="shared" si="15"/>
        <v>0</v>
      </c>
      <c r="L69" s="1">
        <v>0</v>
      </c>
      <c r="M69" s="1">
        <v>0</v>
      </c>
      <c r="N69" s="17">
        <f t="shared" si="16"/>
        <v>0</v>
      </c>
      <c r="O69" s="1">
        <v>0</v>
      </c>
      <c r="P69" s="1">
        <v>0</v>
      </c>
      <c r="Q69" s="5">
        <v>0</v>
      </c>
      <c r="R69" s="1">
        <v>0</v>
      </c>
      <c r="S69" s="1">
        <v>0</v>
      </c>
      <c r="T69" s="17">
        <f t="shared" si="12"/>
        <v>0</v>
      </c>
      <c r="U69" s="1"/>
      <c r="V69" s="1">
        <v>0</v>
      </c>
      <c r="W69" s="20">
        <v>0</v>
      </c>
      <c r="X69" s="2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</row>
    <row r="70" spans="1:64" x14ac:dyDescent="0.2">
      <c r="A70" s="1">
        <v>47050</v>
      </c>
      <c r="B70" s="1" t="s">
        <v>81</v>
      </c>
      <c r="C70" s="1">
        <v>24</v>
      </c>
      <c r="D70" s="1">
        <v>677</v>
      </c>
      <c r="E70" s="1" t="s">
        <v>64</v>
      </c>
      <c r="F70" s="1">
        <v>999</v>
      </c>
      <c r="G70" s="1" t="s">
        <v>67</v>
      </c>
      <c r="H70" s="2">
        <v>16.470099999999999</v>
      </c>
      <c r="I70" s="2">
        <v>395.2824</v>
      </c>
      <c r="J70" s="14">
        <f t="shared" si="2"/>
        <v>0</v>
      </c>
      <c r="K70" s="15">
        <f t="shared" si="15"/>
        <v>0</v>
      </c>
      <c r="L70" s="1">
        <v>0</v>
      </c>
      <c r="M70" s="1">
        <v>0</v>
      </c>
      <c r="N70" s="17">
        <f t="shared" si="16"/>
        <v>0</v>
      </c>
      <c r="O70" s="1">
        <v>0</v>
      </c>
      <c r="P70" s="1">
        <v>0</v>
      </c>
      <c r="Q70" s="5">
        <v>0</v>
      </c>
      <c r="R70" s="1">
        <v>0</v>
      </c>
      <c r="S70" s="1">
        <v>0</v>
      </c>
      <c r="T70" s="17">
        <f t="shared" si="12"/>
        <v>0</v>
      </c>
      <c r="U70" s="1"/>
      <c r="V70" s="1">
        <v>0</v>
      </c>
      <c r="W70" s="20">
        <v>0</v>
      </c>
      <c r="X70" s="2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</row>
    <row r="71" spans="1:64" x14ac:dyDescent="0.2">
      <c r="A71" s="1">
        <v>47049</v>
      </c>
      <c r="B71" s="1" t="s">
        <v>165</v>
      </c>
      <c r="C71" s="1">
        <v>12</v>
      </c>
      <c r="D71" s="1">
        <v>677</v>
      </c>
      <c r="E71" s="1" t="s">
        <v>64</v>
      </c>
      <c r="F71" s="1">
        <v>999</v>
      </c>
      <c r="G71" s="1" t="s">
        <v>67</v>
      </c>
      <c r="H71" s="2">
        <v>34.17</v>
      </c>
      <c r="I71" s="2">
        <v>410.04</v>
      </c>
      <c r="J71" s="14">
        <f t="shared" si="2"/>
        <v>0</v>
      </c>
      <c r="K71" s="15">
        <f t="shared" si="15"/>
        <v>0</v>
      </c>
      <c r="L71" s="1">
        <v>0</v>
      </c>
      <c r="M71" s="1">
        <v>0</v>
      </c>
      <c r="N71" s="17">
        <f t="shared" si="16"/>
        <v>0</v>
      </c>
      <c r="O71" s="1">
        <v>0</v>
      </c>
      <c r="P71" s="1">
        <v>0</v>
      </c>
      <c r="Q71" s="5">
        <v>0</v>
      </c>
      <c r="R71" s="1">
        <v>0</v>
      </c>
      <c r="S71" s="1">
        <v>0</v>
      </c>
      <c r="T71" s="17">
        <f t="shared" si="12"/>
        <v>0</v>
      </c>
      <c r="U71" s="1"/>
      <c r="V71" s="1">
        <v>0</v>
      </c>
      <c r="W71" s="20">
        <v>0</v>
      </c>
      <c r="X71" s="2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</row>
    <row r="72" spans="1:64" x14ac:dyDescent="0.2">
      <c r="A72" s="1">
        <v>47048</v>
      </c>
      <c r="B72" s="1" t="s">
        <v>166</v>
      </c>
      <c r="C72" s="1">
        <v>4</v>
      </c>
      <c r="D72" s="1">
        <v>677</v>
      </c>
      <c r="E72" s="1" t="s">
        <v>64</v>
      </c>
      <c r="F72" s="1">
        <v>677</v>
      </c>
      <c r="G72" s="1" t="s">
        <v>84</v>
      </c>
      <c r="H72" s="2">
        <v>119.16</v>
      </c>
      <c r="I72" s="2">
        <v>476.64</v>
      </c>
      <c r="J72" s="14">
        <f t="shared" si="2"/>
        <v>0</v>
      </c>
      <c r="K72" s="15">
        <f t="shared" si="15"/>
        <v>0</v>
      </c>
      <c r="L72" s="1">
        <v>0</v>
      </c>
      <c r="M72" s="1">
        <v>0</v>
      </c>
      <c r="N72" s="17">
        <f t="shared" si="16"/>
        <v>0</v>
      </c>
      <c r="O72" s="1">
        <v>0</v>
      </c>
      <c r="P72" s="1">
        <v>0</v>
      </c>
      <c r="Q72" s="5">
        <v>0</v>
      </c>
      <c r="R72" s="1">
        <v>0</v>
      </c>
      <c r="S72" s="1">
        <v>0</v>
      </c>
      <c r="T72" s="17">
        <f t="shared" si="12"/>
        <v>0</v>
      </c>
      <c r="U72" s="1"/>
      <c r="V72" s="1">
        <v>0</v>
      </c>
      <c r="W72" s="20">
        <v>0</v>
      </c>
      <c r="X72" s="2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</row>
    <row r="73" spans="1:64" x14ac:dyDescent="0.2">
      <c r="A73" s="1">
        <v>47047</v>
      </c>
      <c r="B73" s="1">
        <v>47047</v>
      </c>
      <c r="C73" s="1">
        <v>15</v>
      </c>
      <c r="D73" s="1">
        <v>677</v>
      </c>
      <c r="E73" s="1" t="s">
        <v>64</v>
      </c>
      <c r="F73" s="1">
        <v>999</v>
      </c>
      <c r="G73" s="1" t="s">
        <v>67</v>
      </c>
      <c r="H73" s="2">
        <v>20.947700000000001</v>
      </c>
      <c r="I73" s="2">
        <v>314.21550000000002</v>
      </c>
      <c r="J73" s="14">
        <f t="shared" si="2"/>
        <v>0</v>
      </c>
      <c r="K73" s="15">
        <f t="shared" si="15"/>
        <v>0</v>
      </c>
      <c r="L73" s="1">
        <v>0</v>
      </c>
      <c r="M73" s="1">
        <v>0</v>
      </c>
      <c r="N73" s="17">
        <f t="shared" si="16"/>
        <v>0</v>
      </c>
      <c r="O73" s="1">
        <v>0</v>
      </c>
      <c r="P73" s="1">
        <v>0</v>
      </c>
      <c r="Q73" s="5">
        <v>0</v>
      </c>
      <c r="R73" s="1">
        <v>0</v>
      </c>
      <c r="S73" s="1">
        <v>0</v>
      </c>
      <c r="T73" s="17">
        <f t="shared" si="12"/>
        <v>0</v>
      </c>
      <c r="U73" s="1"/>
      <c r="V73" s="1">
        <v>0</v>
      </c>
      <c r="W73" s="20">
        <v>0</v>
      </c>
      <c r="X73" s="2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</row>
    <row r="74" spans="1:64" x14ac:dyDescent="0.2">
      <c r="A74" s="1">
        <v>47044</v>
      </c>
      <c r="B74" s="1" t="s">
        <v>81</v>
      </c>
      <c r="C74" s="1">
        <v>12</v>
      </c>
      <c r="D74" s="1">
        <v>677</v>
      </c>
      <c r="E74" s="1" t="s">
        <v>64</v>
      </c>
      <c r="F74" s="1">
        <v>999</v>
      </c>
      <c r="G74" s="1" t="s">
        <v>67</v>
      </c>
      <c r="H74" s="2">
        <v>18.04</v>
      </c>
      <c r="I74" s="2">
        <v>216.48</v>
      </c>
      <c r="J74" s="14">
        <f t="shared" si="2"/>
        <v>0</v>
      </c>
      <c r="K74" s="15">
        <f t="shared" si="15"/>
        <v>0</v>
      </c>
      <c r="L74" s="1">
        <v>0</v>
      </c>
      <c r="M74" s="1">
        <v>0</v>
      </c>
      <c r="N74" s="17">
        <f t="shared" si="16"/>
        <v>0</v>
      </c>
      <c r="O74" s="1">
        <v>0</v>
      </c>
      <c r="P74" s="1">
        <v>0</v>
      </c>
      <c r="Q74" s="5">
        <v>0</v>
      </c>
      <c r="R74" s="1">
        <v>0</v>
      </c>
      <c r="S74" s="1">
        <v>0</v>
      </c>
      <c r="T74" s="17">
        <f t="shared" si="12"/>
        <v>0</v>
      </c>
      <c r="U74" s="1"/>
      <c r="V74" s="1">
        <v>0</v>
      </c>
      <c r="W74" s="20">
        <v>0</v>
      </c>
      <c r="X74" s="2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</row>
    <row r="75" spans="1:64" x14ac:dyDescent="0.2">
      <c r="A75" s="1">
        <v>47037</v>
      </c>
      <c r="B75" s="1" t="s">
        <v>81</v>
      </c>
      <c r="C75" s="1">
        <v>24</v>
      </c>
      <c r="D75" s="1">
        <v>677</v>
      </c>
      <c r="E75" s="1" t="s">
        <v>64</v>
      </c>
      <c r="F75" s="1">
        <v>999</v>
      </c>
      <c r="G75" s="1" t="s">
        <v>67</v>
      </c>
      <c r="H75" s="2">
        <v>20.088100000000001</v>
      </c>
      <c r="I75" s="2">
        <v>482.11439999999999</v>
      </c>
      <c r="J75" s="14">
        <f t="shared" si="2"/>
        <v>0</v>
      </c>
      <c r="K75" s="15">
        <f t="shared" si="15"/>
        <v>0</v>
      </c>
      <c r="L75" s="1">
        <v>0</v>
      </c>
      <c r="M75" s="1">
        <v>0</v>
      </c>
      <c r="N75" s="17">
        <f t="shared" si="16"/>
        <v>0</v>
      </c>
      <c r="O75" s="1">
        <v>0</v>
      </c>
      <c r="P75" s="1">
        <v>0</v>
      </c>
      <c r="Q75" s="5">
        <v>0</v>
      </c>
      <c r="R75" s="1">
        <v>0</v>
      </c>
      <c r="S75" s="1">
        <v>0</v>
      </c>
      <c r="T75" s="17">
        <f t="shared" si="12"/>
        <v>0</v>
      </c>
      <c r="U75" s="1"/>
      <c r="V75" s="1">
        <v>0</v>
      </c>
      <c r="W75" s="20">
        <v>0</v>
      </c>
      <c r="X75" s="2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</row>
    <row r="76" spans="1:64" x14ac:dyDescent="0.2">
      <c r="A76" s="1">
        <v>47034</v>
      </c>
      <c r="B76" s="1" t="s">
        <v>81</v>
      </c>
      <c r="C76" s="1">
        <v>12</v>
      </c>
      <c r="D76" s="1">
        <v>677</v>
      </c>
      <c r="E76" s="1" t="s">
        <v>64</v>
      </c>
      <c r="F76" s="1">
        <v>999</v>
      </c>
      <c r="G76" s="1" t="s">
        <v>67</v>
      </c>
      <c r="H76" s="2">
        <v>25.038699999999999</v>
      </c>
      <c r="I76" s="2">
        <v>300.46440000000001</v>
      </c>
      <c r="J76" s="14">
        <f t="shared" si="2"/>
        <v>0</v>
      </c>
      <c r="K76" s="15">
        <f t="shared" si="15"/>
        <v>0</v>
      </c>
      <c r="L76" s="1">
        <v>0</v>
      </c>
      <c r="M76" s="1">
        <v>0</v>
      </c>
      <c r="N76" s="17">
        <f t="shared" si="16"/>
        <v>0</v>
      </c>
      <c r="O76" s="1">
        <v>0</v>
      </c>
      <c r="P76" s="1">
        <v>0</v>
      </c>
      <c r="Q76" s="5">
        <v>0</v>
      </c>
      <c r="R76" s="1">
        <v>0</v>
      </c>
      <c r="S76" s="1">
        <v>0</v>
      </c>
      <c r="T76" s="17">
        <f t="shared" si="12"/>
        <v>0</v>
      </c>
      <c r="U76" s="1"/>
      <c r="V76" s="1">
        <v>0</v>
      </c>
      <c r="W76" s="20">
        <v>0</v>
      </c>
      <c r="X76" s="2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</row>
    <row r="77" spans="1:64" x14ac:dyDescent="0.2">
      <c r="A77" s="1">
        <v>47032</v>
      </c>
      <c r="B77" s="1" t="s">
        <v>81</v>
      </c>
      <c r="C77" s="1">
        <v>12</v>
      </c>
      <c r="D77" s="1">
        <v>677</v>
      </c>
      <c r="E77" s="1" t="s">
        <v>64</v>
      </c>
      <c r="F77" s="1">
        <v>999</v>
      </c>
      <c r="G77" s="1" t="s">
        <v>67</v>
      </c>
      <c r="H77" s="2">
        <v>22.49</v>
      </c>
      <c r="I77" s="2">
        <v>269.88</v>
      </c>
      <c r="J77" s="14">
        <f t="shared" si="2"/>
        <v>0</v>
      </c>
      <c r="K77" s="15">
        <f t="shared" si="15"/>
        <v>0</v>
      </c>
      <c r="L77" s="1">
        <v>0</v>
      </c>
      <c r="M77" s="1">
        <v>0</v>
      </c>
      <c r="N77" s="17">
        <f t="shared" si="16"/>
        <v>0</v>
      </c>
      <c r="O77" s="1">
        <v>0</v>
      </c>
      <c r="P77" s="1">
        <v>0</v>
      </c>
      <c r="Q77" s="5">
        <v>0</v>
      </c>
      <c r="R77" s="1">
        <v>0</v>
      </c>
      <c r="S77" s="1">
        <v>0</v>
      </c>
      <c r="T77" s="17">
        <f t="shared" si="12"/>
        <v>0</v>
      </c>
      <c r="U77" s="1"/>
      <c r="V77" s="1">
        <v>0</v>
      </c>
      <c r="W77" s="20">
        <v>0</v>
      </c>
      <c r="X77" s="2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</row>
    <row r="78" spans="1:64" x14ac:dyDescent="0.2">
      <c r="A78" s="1">
        <v>47017</v>
      </c>
      <c r="B78" s="1" t="s">
        <v>81</v>
      </c>
      <c r="C78" s="1">
        <v>6</v>
      </c>
      <c r="D78" s="1">
        <v>677</v>
      </c>
      <c r="E78" s="1" t="s">
        <v>64</v>
      </c>
      <c r="F78" s="1">
        <v>999</v>
      </c>
      <c r="G78" s="1" t="s">
        <v>67</v>
      </c>
      <c r="H78" s="2">
        <v>51.17</v>
      </c>
      <c r="I78" s="2">
        <v>307.02</v>
      </c>
      <c r="J78" s="14">
        <f t="shared" si="2"/>
        <v>0</v>
      </c>
      <c r="K78" s="15">
        <f t="shared" si="15"/>
        <v>0</v>
      </c>
      <c r="L78" s="1">
        <v>0</v>
      </c>
      <c r="M78" s="1">
        <v>0</v>
      </c>
      <c r="N78" s="17">
        <f t="shared" si="16"/>
        <v>0</v>
      </c>
      <c r="O78" s="1">
        <v>0</v>
      </c>
      <c r="P78" s="1">
        <v>0</v>
      </c>
      <c r="Q78" s="5">
        <v>0</v>
      </c>
      <c r="R78" s="1">
        <v>0</v>
      </c>
      <c r="S78" s="1">
        <v>0</v>
      </c>
      <c r="T78" s="17">
        <f t="shared" si="12"/>
        <v>0</v>
      </c>
      <c r="U78" s="1"/>
      <c r="V78" s="1">
        <v>0</v>
      </c>
      <c r="W78" s="20">
        <v>0</v>
      </c>
      <c r="X78" s="2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</row>
    <row r="79" spans="1:64" x14ac:dyDescent="0.2">
      <c r="A79" s="1">
        <v>47030</v>
      </c>
      <c r="B79" s="1" t="s">
        <v>163</v>
      </c>
      <c r="C79" s="1">
        <v>12</v>
      </c>
      <c r="D79" s="1">
        <v>677</v>
      </c>
      <c r="E79" s="1" t="s">
        <v>64</v>
      </c>
      <c r="F79" s="1">
        <v>999</v>
      </c>
      <c r="G79" s="1" t="s">
        <v>67</v>
      </c>
      <c r="H79" s="2">
        <v>109.64</v>
      </c>
      <c r="I79" s="2">
        <v>1315.68</v>
      </c>
      <c r="J79" s="14">
        <f t="shared" si="2"/>
        <v>0</v>
      </c>
      <c r="K79" s="15">
        <f t="shared" si="15"/>
        <v>0</v>
      </c>
      <c r="L79" s="1">
        <v>0</v>
      </c>
      <c r="M79" s="1">
        <v>0</v>
      </c>
      <c r="N79" s="17">
        <f t="shared" si="16"/>
        <v>0</v>
      </c>
      <c r="O79" s="1">
        <v>0</v>
      </c>
      <c r="P79" s="1">
        <v>0</v>
      </c>
      <c r="Q79" s="5">
        <v>0</v>
      </c>
      <c r="R79" s="1">
        <v>0</v>
      </c>
      <c r="S79" s="1">
        <v>0</v>
      </c>
      <c r="T79" s="17">
        <f t="shared" si="12"/>
        <v>0</v>
      </c>
      <c r="U79" s="1"/>
      <c r="V79" s="1">
        <v>0</v>
      </c>
      <c r="W79" s="20">
        <v>0</v>
      </c>
      <c r="X79" s="2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</row>
    <row r="80" spans="1:64" x14ac:dyDescent="0.2">
      <c r="A80" s="1">
        <v>9099</v>
      </c>
      <c r="B80" s="1" t="s">
        <v>77</v>
      </c>
      <c r="C80" s="1">
        <v>24</v>
      </c>
      <c r="D80" s="1">
        <v>677</v>
      </c>
      <c r="E80" s="1" t="s">
        <v>64</v>
      </c>
      <c r="F80" s="1">
        <v>999</v>
      </c>
      <c r="G80" s="1" t="s">
        <v>67</v>
      </c>
      <c r="H80" s="2">
        <v>15.6492</v>
      </c>
      <c r="I80" s="2">
        <v>375.58080000000001</v>
      </c>
      <c r="J80" s="14">
        <f t="shared" si="2"/>
        <v>0</v>
      </c>
      <c r="K80" s="15">
        <f t="shared" si="15"/>
        <v>0</v>
      </c>
      <c r="L80" s="1">
        <v>0</v>
      </c>
      <c r="M80" s="1">
        <v>0</v>
      </c>
      <c r="N80" s="17">
        <f t="shared" si="16"/>
        <v>0</v>
      </c>
      <c r="O80" s="1">
        <v>0</v>
      </c>
      <c r="P80" s="1">
        <v>0</v>
      </c>
      <c r="Q80" s="5">
        <v>0</v>
      </c>
      <c r="R80" s="1">
        <v>0</v>
      </c>
      <c r="S80" s="1">
        <v>0</v>
      </c>
      <c r="T80" s="17">
        <f t="shared" si="12"/>
        <v>0</v>
      </c>
      <c r="U80" s="1"/>
      <c r="V80" s="1">
        <v>0</v>
      </c>
      <c r="W80" s="20">
        <v>0</v>
      </c>
      <c r="X80" s="2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</row>
    <row r="81" spans="1:64" x14ac:dyDescent="0.2">
      <c r="A81" s="1">
        <v>47025</v>
      </c>
      <c r="B81" s="1" t="s">
        <v>162</v>
      </c>
      <c r="C81" s="1">
        <v>24</v>
      </c>
      <c r="D81" s="1">
        <v>677</v>
      </c>
      <c r="E81" s="1" t="s">
        <v>64</v>
      </c>
      <c r="F81" s="1">
        <v>677</v>
      </c>
      <c r="G81" s="1" t="s">
        <v>84</v>
      </c>
      <c r="H81" s="2">
        <v>48.56</v>
      </c>
      <c r="I81" s="2">
        <v>1165.44</v>
      </c>
      <c r="J81" s="14">
        <f t="shared" si="2"/>
        <v>0</v>
      </c>
      <c r="K81" s="15">
        <f t="shared" si="15"/>
        <v>0</v>
      </c>
      <c r="L81" s="1">
        <v>0</v>
      </c>
      <c r="M81" s="1">
        <v>0</v>
      </c>
      <c r="N81" s="17">
        <f t="shared" si="16"/>
        <v>0</v>
      </c>
      <c r="O81" s="1">
        <v>0</v>
      </c>
      <c r="P81" s="1">
        <v>0</v>
      </c>
      <c r="Q81" s="5">
        <v>0</v>
      </c>
      <c r="R81" s="1">
        <v>0</v>
      </c>
      <c r="S81" s="1">
        <v>0</v>
      </c>
      <c r="T81" s="17">
        <f t="shared" si="12"/>
        <v>0</v>
      </c>
      <c r="U81" s="1"/>
      <c r="V81" s="1">
        <v>0</v>
      </c>
      <c r="W81" s="20">
        <v>0</v>
      </c>
      <c r="X81" s="2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</row>
    <row r="82" spans="1:64" x14ac:dyDescent="0.2">
      <c r="A82" s="1">
        <v>47022</v>
      </c>
      <c r="B82" s="1" t="s">
        <v>75</v>
      </c>
      <c r="C82" s="1">
        <v>10</v>
      </c>
      <c r="D82" s="1">
        <v>677</v>
      </c>
      <c r="E82" s="1" t="s">
        <v>64</v>
      </c>
      <c r="F82" s="1">
        <v>998</v>
      </c>
      <c r="G82" s="1" t="s">
        <v>73</v>
      </c>
      <c r="H82" s="2">
        <v>127.43</v>
      </c>
      <c r="I82" s="2">
        <v>1274.3</v>
      </c>
      <c r="J82" s="14">
        <f t="shared" si="2"/>
        <v>0</v>
      </c>
      <c r="K82" s="15">
        <f t="shared" si="15"/>
        <v>0</v>
      </c>
      <c r="L82" s="1">
        <v>0</v>
      </c>
      <c r="M82" s="1">
        <v>0</v>
      </c>
      <c r="N82" s="17">
        <f t="shared" si="16"/>
        <v>0</v>
      </c>
      <c r="O82" s="1">
        <v>0</v>
      </c>
      <c r="P82" s="1">
        <v>0</v>
      </c>
      <c r="Q82" s="5">
        <v>0</v>
      </c>
      <c r="R82" s="1">
        <v>0</v>
      </c>
      <c r="S82" s="1">
        <v>0</v>
      </c>
      <c r="T82" s="17">
        <f t="shared" si="12"/>
        <v>0</v>
      </c>
      <c r="U82" s="1"/>
      <c r="V82" s="1">
        <v>0</v>
      </c>
      <c r="W82" s="20">
        <v>0</v>
      </c>
      <c r="X82" s="2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</row>
    <row r="83" spans="1:64" x14ac:dyDescent="0.2">
      <c r="A83" s="1">
        <v>47021</v>
      </c>
      <c r="B83" s="1" t="s">
        <v>81</v>
      </c>
      <c r="C83" s="1">
        <v>10</v>
      </c>
      <c r="D83" s="1">
        <v>677</v>
      </c>
      <c r="E83" s="1" t="s">
        <v>64</v>
      </c>
      <c r="F83" s="1">
        <v>999</v>
      </c>
      <c r="G83" s="1" t="s">
        <v>67</v>
      </c>
      <c r="H83" s="2">
        <v>34.318800000000003</v>
      </c>
      <c r="I83" s="2">
        <v>343.18799999999999</v>
      </c>
      <c r="J83" s="14">
        <f t="shared" si="2"/>
        <v>0</v>
      </c>
      <c r="K83" s="15">
        <f t="shared" si="15"/>
        <v>0</v>
      </c>
      <c r="L83" s="1">
        <v>0</v>
      </c>
      <c r="M83" s="1">
        <v>0</v>
      </c>
      <c r="N83" s="17">
        <f t="shared" si="16"/>
        <v>0</v>
      </c>
      <c r="O83" s="1">
        <v>0</v>
      </c>
      <c r="P83" s="1">
        <v>0</v>
      </c>
      <c r="Q83" s="5">
        <v>0</v>
      </c>
      <c r="R83" s="1">
        <v>0</v>
      </c>
      <c r="S83" s="1">
        <v>0</v>
      </c>
      <c r="T83" s="17">
        <f t="shared" si="12"/>
        <v>0</v>
      </c>
      <c r="U83" s="1"/>
      <c r="V83" s="1">
        <v>0</v>
      </c>
      <c r="W83" s="20">
        <v>0</v>
      </c>
      <c r="X83" s="2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</row>
    <row r="84" spans="1:64" x14ac:dyDescent="0.2">
      <c r="A84" s="1">
        <v>47018</v>
      </c>
      <c r="B84" s="1" t="s">
        <v>161</v>
      </c>
      <c r="C84" s="1">
        <v>6</v>
      </c>
      <c r="D84" s="1">
        <v>677</v>
      </c>
      <c r="E84" s="1" t="s">
        <v>64</v>
      </c>
      <c r="F84" s="1">
        <v>61</v>
      </c>
      <c r="G84" s="1" t="s">
        <v>66</v>
      </c>
      <c r="H84" s="2">
        <v>77.28</v>
      </c>
      <c r="I84" s="2">
        <v>463.68</v>
      </c>
      <c r="J84" s="14">
        <f t="shared" si="2"/>
        <v>0</v>
      </c>
      <c r="K84" s="15">
        <f t="shared" si="15"/>
        <v>0</v>
      </c>
      <c r="L84" s="1">
        <v>0</v>
      </c>
      <c r="M84" s="1">
        <v>0</v>
      </c>
      <c r="N84" s="17">
        <f t="shared" si="16"/>
        <v>0</v>
      </c>
      <c r="O84" s="1">
        <v>0</v>
      </c>
      <c r="P84" s="1">
        <v>0</v>
      </c>
      <c r="Q84" s="5">
        <v>0</v>
      </c>
      <c r="R84" s="1">
        <v>0</v>
      </c>
      <c r="S84" s="1">
        <v>0</v>
      </c>
      <c r="T84" s="17">
        <f t="shared" si="12"/>
        <v>0</v>
      </c>
      <c r="U84" s="1"/>
      <c r="V84" s="1">
        <v>0</v>
      </c>
      <c r="W84" s="20">
        <v>0</v>
      </c>
      <c r="X84" s="2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</row>
    <row r="85" spans="1:64" x14ac:dyDescent="0.2">
      <c r="A85" s="1">
        <v>85</v>
      </c>
      <c r="B85" s="1" t="s">
        <v>148</v>
      </c>
      <c r="C85" s="1">
        <v>192</v>
      </c>
      <c r="D85" s="1">
        <v>677</v>
      </c>
      <c r="E85" s="1" t="s">
        <v>64</v>
      </c>
      <c r="F85" s="1">
        <v>1</v>
      </c>
      <c r="G85" s="1" t="s">
        <v>149</v>
      </c>
      <c r="H85" s="2">
        <v>6</v>
      </c>
      <c r="I85" s="2">
        <v>1152</v>
      </c>
      <c r="J85" s="14">
        <f t="shared" si="2"/>
        <v>0</v>
      </c>
      <c r="K85" s="15">
        <f t="shared" si="15"/>
        <v>0</v>
      </c>
      <c r="L85" s="1">
        <v>0</v>
      </c>
      <c r="M85" s="1">
        <v>0</v>
      </c>
      <c r="N85" s="17">
        <f t="shared" si="16"/>
        <v>0</v>
      </c>
      <c r="O85" s="1">
        <v>0</v>
      </c>
      <c r="P85" s="1">
        <v>0</v>
      </c>
      <c r="Q85" s="5">
        <v>0</v>
      </c>
      <c r="R85" s="1">
        <v>0</v>
      </c>
      <c r="S85" s="1">
        <v>0</v>
      </c>
      <c r="T85" s="17">
        <f t="shared" si="12"/>
        <v>0</v>
      </c>
      <c r="U85" s="1"/>
      <c r="V85" s="1">
        <v>0</v>
      </c>
      <c r="W85" s="20">
        <v>0</v>
      </c>
      <c r="X85" s="2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</row>
    <row r="86" spans="1:64" x14ac:dyDescent="0.2">
      <c r="A86" s="1">
        <v>47016</v>
      </c>
      <c r="B86" s="1" t="s">
        <v>160</v>
      </c>
      <c r="C86" s="1">
        <v>12</v>
      </c>
      <c r="D86" s="1">
        <v>677</v>
      </c>
      <c r="E86" s="1" t="s">
        <v>64</v>
      </c>
      <c r="F86" s="1">
        <v>1</v>
      </c>
      <c r="G86" s="1" t="s">
        <v>149</v>
      </c>
      <c r="H86" s="2">
        <v>7.68</v>
      </c>
      <c r="I86" s="2">
        <v>92.16</v>
      </c>
      <c r="J86" s="14">
        <f t="shared" si="2"/>
        <v>0</v>
      </c>
      <c r="K86" s="15">
        <f t="shared" si="15"/>
        <v>0</v>
      </c>
      <c r="L86" s="1">
        <v>0</v>
      </c>
      <c r="M86" s="1">
        <v>0</v>
      </c>
      <c r="N86" s="17">
        <f t="shared" si="16"/>
        <v>0</v>
      </c>
      <c r="O86" s="1">
        <v>0</v>
      </c>
      <c r="P86" s="1">
        <v>0</v>
      </c>
      <c r="Q86" s="5">
        <v>0</v>
      </c>
      <c r="R86" s="1">
        <v>0</v>
      </c>
      <c r="S86" s="1">
        <v>0</v>
      </c>
      <c r="T86" s="17">
        <f t="shared" si="12"/>
        <v>0</v>
      </c>
      <c r="U86" s="1"/>
      <c r="V86" s="1">
        <v>0</v>
      </c>
      <c r="W86" s="20">
        <v>0</v>
      </c>
      <c r="X86" s="2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</row>
    <row r="87" spans="1:64" x14ac:dyDescent="0.2">
      <c r="A87" s="1">
        <v>47013</v>
      </c>
      <c r="B87" s="1" t="s">
        <v>159</v>
      </c>
      <c r="C87" s="1">
        <v>4</v>
      </c>
      <c r="D87" s="1">
        <v>677</v>
      </c>
      <c r="E87" s="1" t="s">
        <v>64</v>
      </c>
      <c r="F87" s="1">
        <v>61</v>
      </c>
      <c r="G87" s="1" t="s">
        <v>66</v>
      </c>
      <c r="H87" s="2">
        <v>92.19</v>
      </c>
      <c r="I87" s="2">
        <v>368.76</v>
      </c>
      <c r="J87" s="14">
        <f t="shared" si="2"/>
        <v>0</v>
      </c>
      <c r="K87" s="15">
        <f t="shared" si="15"/>
        <v>0</v>
      </c>
      <c r="L87" s="1">
        <v>0</v>
      </c>
      <c r="M87" s="1">
        <v>0</v>
      </c>
      <c r="N87" s="17">
        <f t="shared" si="16"/>
        <v>0</v>
      </c>
      <c r="O87" s="1">
        <v>0</v>
      </c>
      <c r="P87" s="1">
        <v>0</v>
      </c>
      <c r="Q87" s="5">
        <v>0</v>
      </c>
      <c r="R87" s="1">
        <v>0</v>
      </c>
      <c r="S87" s="1">
        <v>0</v>
      </c>
      <c r="T87" s="17">
        <f t="shared" si="12"/>
        <v>0</v>
      </c>
      <c r="U87" s="1"/>
      <c r="V87" s="1">
        <v>0</v>
      </c>
      <c r="W87" s="20">
        <v>0</v>
      </c>
      <c r="X87" s="2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</row>
    <row r="88" spans="1:64" x14ac:dyDescent="0.2">
      <c r="A88" s="1">
        <v>47011</v>
      </c>
      <c r="B88" s="1" t="s">
        <v>158</v>
      </c>
      <c r="C88" s="1">
        <v>24</v>
      </c>
      <c r="D88" s="1">
        <v>677</v>
      </c>
      <c r="E88" s="1" t="s">
        <v>64</v>
      </c>
      <c r="F88" s="1">
        <v>677</v>
      </c>
      <c r="G88" s="1" t="s">
        <v>84</v>
      </c>
      <c r="H88" s="2">
        <v>21.65</v>
      </c>
      <c r="I88" s="2">
        <v>519.6</v>
      </c>
      <c r="J88" s="14">
        <f t="shared" si="2"/>
        <v>0</v>
      </c>
      <c r="K88" s="15">
        <f t="shared" si="15"/>
        <v>0</v>
      </c>
      <c r="L88" s="1">
        <v>0</v>
      </c>
      <c r="M88" s="1">
        <v>0</v>
      </c>
      <c r="N88" s="17">
        <f t="shared" si="16"/>
        <v>0</v>
      </c>
      <c r="O88" s="1">
        <v>0</v>
      </c>
      <c r="P88" s="1">
        <v>0</v>
      </c>
      <c r="Q88" s="5">
        <v>0</v>
      </c>
      <c r="R88" s="1">
        <v>0</v>
      </c>
      <c r="S88" s="1">
        <v>0</v>
      </c>
      <c r="T88" s="17">
        <f t="shared" si="12"/>
        <v>0</v>
      </c>
      <c r="U88" s="1"/>
      <c r="V88" s="1">
        <v>0</v>
      </c>
      <c r="W88" s="20">
        <v>0</v>
      </c>
      <c r="X88" s="2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</row>
    <row r="89" spans="1:64" x14ac:dyDescent="0.2">
      <c r="A89" s="1">
        <v>47007</v>
      </c>
      <c r="B89" s="1" t="s">
        <v>157</v>
      </c>
      <c r="C89" s="1">
        <v>12</v>
      </c>
      <c r="D89" s="1">
        <v>677</v>
      </c>
      <c r="E89" s="1" t="s">
        <v>64</v>
      </c>
      <c r="F89" s="1">
        <v>1</v>
      </c>
      <c r="G89" s="1" t="s">
        <v>149</v>
      </c>
      <c r="H89" s="2">
        <v>7.68</v>
      </c>
      <c r="I89" s="2">
        <v>92.16</v>
      </c>
      <c r="J89" s="14">
        <f t="shared" si="2"/>
        <v>0</v>
      </c>
      <c r="K89" s="15">
        <f t="shared" si="15"/>
        <v>0</v>
      </c>
      <c r="L89" s="1">
        <v>0</v>
      </c>
      <c r="M89" s="1">
        <v>0</v>
      </c>
      <c r="N89" s="17">
        <f t="shared" si="16"/>
        <v>0</v>
      </c>
      <c r="O89" s="1">
        <v>0</v>
      </c>
      <c r="P89" s="1">
        <v>0</v>
      </c>
      <c r="Q89" s="5">
        <v>0</v>
      </c>
      <c r="R89" s="1">
        <v>0</v>
      </c>
      <c r="S89" s="1">
        <v>0</v>
      </c>
      <c r="T89" s="17">
        <f t="shared" si="12"/>
        <v>0</v>
      </c>
      <c r="U89" s="1"/>
      <c r="V89" s="1">
        <v>0</v>
      </c>
      <c r="W89" s="20">
        <v>0</v>
      </c>
      <c r="X89" s="2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</row>
    <row r="90" spans="1:64" x14ac:dyDescent="0.2">
      <c r="A90" s="1">
        <v>47006</v>
      </c>
      <c r="B90" s="1" t="s">
        <v>72</v>
      </c>
      <c r="C90" s="1">
        <v>24</v>
      </c>
      <c r="D90" s="1">
        <v>677</v>
      </c>
      <c r="E90" s="1" t="s">
        <v>64</v>
      </c>
      <c r="F90" s="1">
        <v>998</v>
      </c>
      <c r="G90" s="1" t="s">
        <v>73</v>
      </c>
      <c r="H90" s="2">
        <v>20.635100000000001</v>
      </c>
      <c r="I90" s="2">
        <v>495.24239999999998</v>
      </c>
      <c r="J90" s="14">
        <f t="shared" si="2"/>
        <v>0</v>
      </c>
      <c r="K90" s="15">
        <f t="shared" si="15"/>
        <v>0</v>
      </c>
      <c r="L90" s="1">
        <v>0</v>
      </c>
      <c r="M90" s="1">
        <v>0</v>
      </c>
      <c r="N90" s="17">
        <f t="shared" si="16"/>
        <v>0</v>
      </c>
      <c r="O90" s="1">
        <v>0</v>
      </c>
      <c r="P90" s="1">
        <v>0</v>
      </c>
      <c r="Q90" s="5">
        <v>0</v>
      </c>
      <c r="R90" s="1">
        <v>0</v>
      </c>
      <c r="S90" s="1">
        <v>0</v>
      </c>
      <c r="T90" s="17">
        <f t="shared" si="12"/>
        <v>0</v>
      </c>
      <c r="U90" s="1"/>
      <c r="V90" s="1">
        <v>0</v>
      </c>
      <c r="W90" s="20">
        <v>0</v>
      </c>
      <c r="X90" s="2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</row>
    <row r="91" spans="1:64" x14ac:dyDescent="0.2">
      <c r="A91" s="1">
        <v>47031</v>
      </c>
      <c r="B91" s="1" t="s">
        <v>164</v>
      </c>
      <c r="C91" s="1">
        <v>4</v>
      </c>
      <c r="D91" s="1">
        <v>677</v>
      </c>
      <c r="E91" s="1" t="s">
        <v>64</v>
      </c>
      <c r="F91" s="1">
        <v>61</v>
      </c>
      <c r="G91" s="1" t="s">
        <v>66</v>
      </c>
      <c r="H91" s="2">
        <v>92.19</v>
      </c>
      <c r="I91" s="2">
        <v>368.76</v>
      </c>
      <c r="J91" s="14">
        <f t="shared" si="2"/>
        <v>0</v>
      </c>
      <c r="K91" s="15">
        <f t="shared" si="15"/>
        <v>0</v>
      </c>
      <c r="L91" s="1">
        <v>0</v>
      </c>
      <c r="M91" s="1">
        <v>0</v>
      </c>
      <c r="N91" s="17">
        <f t="shared" si="16"/>
        <v>0</v>
      </c>
      <c r="O91" s="1">
        <v>0</v>
      </c>
      <c r="P91" s="1">
        <v>0</v>
      </c>
      <c r="Q91" s="5">
        <v>0</v>
      </c>
      <c r="R91" s="1">
        <v>0</v>
      </c>
      <c r="S91" s="1">
        <v>0</v>
      </c>
      <c r="T91" s="17">
        <f t="shared" si="12"/>
        <v>0</v>
      </c>
      <c r="U91" s="1"/>
      <c r="V91" s="1">
        <v>0</v>
      </c>
      <c r="W91" s="20">
        <v>0</v>
      </c>
      <c r="X91" s="2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</row>
    <row r="92" spans="1:64" x14ac:dyDescent="0.2">
      <c r="H92" s="26"/>
      <c r="I92" s="26"/>
      <c r="J92" s="26"/>
      <c r="Q92" s="5">
        <v>0</v>
      </c>
      <c r="W92" s="26"/>
      <c r="X92" s="26"/>
    </row>
    <row r="93" spans="1:64" x14ac:dyDescent="0.2">
      <c r="H93" s="26"/>
      <c r="I93" s="26"/>
      <c r="J93" s="26"/>
      <c r="Q93" s="5">
        <v>0</v>
      </c>
      <c r="W93" s="26"/>
      <c r="X93" s="26"/>
    </row>
    <row r="94" spans="1:64" x14ac:dyDescent="0.2">
      <c r="H94" s="26"/>
      <c r="I94" s="26"/>
      <c r="J94" s="26"/>
      <c r="Q94" s="5">
        <v>0</v>
      </c>
      <c r="W94" s="26"/>
      <c r="X94" s="26"/>
    </row>
    <row r="95" spans="1:64" x14ac:dyDescent="0.2">
      <c r="H95" s="26"/>
      <c r="I95" s="26"/>
      <c r="J95" s="26"/>
      <c r="Q95" s="5">
        <v>0</v>
      </c>
      <c r="W95" s="26"/>
      <c r="X95" s="26"/>
    </row>
    <row r="96" spans="1:64" x14ac:dyDescent="0.2">
      <c r="H96" s="26"/>
      <c r="I96" s="26"/>
      <c r="J96" s="26"/>
      <c r="Q96" s="5">
        <v>0</v>
      </c>
      <c r="W96" s="26"/>
      <c r="X96" s="26"/>
    </row>
    <row r="97" spans="8:24" x14ac:dyDescent="0.2">
      <c r="H97" s="26"/>
      <c r="I97" s="26"/>
      <c r="J97" s="26"/>
      <c r="Q97" s="5">
        <v>0</v>
      </c>
      <c r="W97" s="26"/>
      <c r="X97" s="26"/>
    </row>
    <row r="98" spans="8:24" x14ac:dyDescent="0.2">
      <c r="H98" s="26"/>
      <c r="I98" s="26"/>
      <c r="J98" s="26"/>
      <c r="Q98" s="5">
        <v>0</v>
      </c>
      <c r="W98" s="26"/>
      <c r="X98" s="26"/>
    </row>
    <row r="99" spans="8:24" x14ac:dyDescent="0.2">
      <c r="H99" s="26"/>
      <c r="I99" s="26"/>
      <c r="J99" s="26"/>
      <c r="Q99" s="5">
        <v>0</v>
      </c>
      <c r="W99" s="26"/>
      <c r="X99" s="26"/>
    </row>
    <row r="100" spans="8:24" x14ac:dyDescent="0.2">
      <c r="H100" s="26"/>
      <c r="I100" s="26"/>
      <c r="J100" s="26"/>
      <c r="Q100" s="5">
        <v>0</v>
      </c>
      <c r="W100" s="26"/>
      <c r="X100" s="26"/>
    </row>
    <row r="101" spans="8:24" x14ac:dyDescent="0.2">
      <c r="H101" s="26"/>
      <c r="I101" s="26"/>
      <c r="J101" s="26"/>
      <c r="Q101" s="5">
        <v>0</v>
      </c>
      <c r="W101" s="26"/>
      <c r="X101" s="26"/>
    </row>
    <row r="102" spans="8:24" x14ac:dyDescent="0.2">
      <c r="H102" s="26"/>
      <c r="I102" s="26"/>
      <c r="J102" s="26"/>
      <c r="Q102" s="5">
        <v>0</v>
      </c>
      <c r="W102" s="26"/>
      <c r="X102" s="26"/>
    </row>
    <row r="103" spans="8:24" x14ac:dyDescent="0.2">
      <c r="H103" s="26"/>
      <c r="I103" s="26"/>
      <c r="J103" s="26"/>
      <c r="Q103" s="5">
        <v>0</v>
      </c>
      <c r="W103" s="26"/>
      <c r="X103" s="26"/>
    </row>
    <row r="104" spans="8:24" x14ac:dyDescent="0.2">
      <c r="H104" s="26"/>
      <c r="I104" s="26"/>
      <c r="J104" s="26"/>
      <c r="Q104" s="5">
        <v>0</v>
      </c>
      <c r="W104" s="26"/>
      <c r="X104" s="26"/>
    </row>
    <row r="105" spans="8:24" x14ac:dyDescent="0.2">
      <c r="H105" s="26"/>
      <c r="I105" s="26"/>
      <c r="J105" s="26"/>
      <c r="Q105" s="5">
        <v>0</v>
      </c>
      <c r="W105" s="26"/>
      <c r="X105" s="26"/>
    </row>
    <row r="106" spans="8:24" x14ac:dyDescent="0.2">
      <c r="H106" s="26"/>
      <c r="I106" s="26"/>
      <c r="J106" s="26"/>
      <c r="Q106" s="5">
        <v>0</v>
      </c>
      <c r="W106" s="26"/>
      <c r="X106" s="26"/>
    </row>
    <row r="107" spans="8:24" x14ac:dyDescent="0.2">
      <c r="H107" s="26"/>
      <c r="I107" s="26"/>
      <c r="J107" s="26"/>
      <c r="Q107" s="5">
        <v>0</v>
      </c>
      <c r="W107" s="26"/>
      <c r="X107" s="26"/>
    </row>
    <row r="108" spans="8:24" x14ac:dyDescent="0.2">
      <c r="H108" s="26"/>
      <c r="I108" s="26"/>
      <c r="J108" s="26"/>
      <c r="Q108" s="5">
        <v>0</v>
      </c>
      <c r="W108" s="26"/>
      <c r="X108" s="26"/>
    </row>
    <row r="109" spans="8:24" x14ac:dyDescent="0.2">
      <c r="H109" s="26"/>
      <c r="I109" s="26"/>
      <c r="J109" s="26"/>
      <c r="Q109" s="5">
        <v>0</v>
      </c>
      <c r="W109" s="26"/>
      <c r="X109" s="26"/>
    </row>
    <row r="110" spans="8:24" x14ac:dyDescent="0.2">
      <c r="H110" s="26"/>
      <c r="I110" s="26"/>
      <c r="J110" s="26"/>
      <c r="Q110" s="5">
        <v>0</v>
      </c>
      <c r="W110" s="26"/>
      <c r="X110" s="26"/>
    </row>
    <row r="111" spans="8:24" x14ac:dyDescent="0.2">
      <c r="H111" s="26"/>
      <c r="I111" s="26"/>
      <c r="J111" s="26"/>
      <c r="Q111" s="5">
        <v>0</v>
      </c>
      <c r="W111" s="26"/>
      <c r="X111" s="26"/>
    </row>
    <row r="112" spans="8:24" x14ac:dyDescent="0.2">
      <c r="H112" s="26"/>
      <c r="I112" s="26"/>
      <c r="J112" s="26"/>
      <c r="Q112" s="5">
        <v>0</v>
      </c>
      <c r="W112" s="26"/>
      <c r="X112" s="26"/>
    </row>
    <row r="113" spans="8:24" x14ac:dyDescent="0.2">
      <c r="H113" s="26"/>
      <c r="I113" s="26"/>
      <c r="J113" s="26"/>
      <c r="W113" s="26"/>
      <c r="X113" s="26"/>
    </row>
    <row r="114" spans="8:24" x14ac:dyDescent="0.2">
      <c r="H114" s="26"/>
      <c r="I114" s="26"/>
      <c r="J114" s="26"/>
      <c r="W114" s="26"/>
      <c r="X114" s="26"/>
    </row>
    <row r="115" spans="8:24" x14ac:dyDescent="0.2">
      <c r="H115" s="26"/>
      <c r="I115" s="26"/>
      <c r="J115" s="26"/>
      <c r="W115" s="26"/>
      <c r="X115" s="26"/>
    </row>
    <row r="116" spans="8:24" x14ac:dyDescent="0.2">
      <c r="H116" s="26"/>
      <c r="I116" s="26"/>
      <c r="J116" s="26"/>
      <c r="W116" s="26"/>
      <c r="X116" s="26"/>
    </row>
    <row r="117" spans="8:24" x14ac:dyDescent="0.2">
      <c r="H117" s="26"/>
      <c r="I117" s="26"/>
      <c r="J117" s="26"/>
      <c r="W117" s="26"/>
      <c r="X117" s="26"/>
    </row>
    <row r="118" spans="8:24" x14ac:dyDescent="0.2">
      <c r="H118" s="26"/>
      <c r="I118" s="26"/>
      <c r="J118" s="26"/>
      <c r="W118" s="26"/>
      <c r="X118" s="26"/>
    </row>
    <row r="119" spans="8:24" x14ac:dyDescent="0.2">
      <c r="H119" s="26"/>
      <c r="I119" s="26"/>
      <c r="J119" s="26"/>
      <c r="W119" s="26"/>
      <c r="X119" s="26"/>
    </row>
    <row r="120" spans="8:24" x14ac:dyDescent="0.2">
      <c r="H120" s="26"/>
      <c r="I120" s="26"/>
      <c r="J120" s="26"/>
      <c r="W120" s="26"/>
      <c r="X120" s="26"/>
    </row>
    <row r="121" spans="8:24" x14ac:dyDescent="0.2">
      <c r="H121" s="26"/>
      <c r="I121" s="26"/>
      <c r="J121" s="26"/>
      <c r="W121" s="26"/>
      <c r="X121" s="26"/>
    </row>
    <row r="122" spans="8:24" x14ac:dyDescent="0.2">
      <c r="H122" s="26"/>
      <c r="I122" s="26"/>
      <c r="J122" s="26"/>
      <c r="W122" s="26"/>
      <c r="X122" s="26"/>
    </row>
    <row r="123" spans="8:24" x14ac:dyDescent="0.2">
      <c r="H123" s="26"/>
      <c r="I123" s="26"/>
      <c r="J123" s="26"/>
      <c r="W123" s="26"/>
      <c r="X123" s="26"/>
    </row>
    <row r="124" spans="8:24" x14ac:dyDescent="0.2">
      <c r="H124" s="26"/>
      <c r="I124" s="26"/>
      <c r="J124" s="26"/>
      <c r="W124" s="26"/>
      <c r="X124" s="26"/>
    </row>
    <row r="125" spans="8:24" x14ac:dyDescent="0.2">
      <c r="H125" s="26"/>
      <c r="I125" s="26"/>
      <c r="J125" s="26"/>
      <c r="W125" s="26"/>
      <c r="X125" s="26"/>
    </row>
    <row r="126" spans="8:24" x14ac:dyDescent="0.2">
      <c r="H126" s="26"/>
      <c r="I126" s="26"/>
      <c r="J126" s="26"/>
      <c r="W126" s="26"/>
      <c r="X126" s="26"/>
    </row>
    <row r="127" spans="8:24" x14ac:dyDescent="0.2">
      <c r="H127" s="26"/>
      <c r="I127" s="26"/>
      <c r="J127" s="26"/>
      <c r="W127" s="26"/>
      <c r="X127" s="26"/>
    </row>
    <row r="128" spans="8:24" x14ac:dyDescent="0.2">
      <c r="H128" s="26"/>
      <c r="I128" s="26"/>
      <c r="J128" s="26"/>
      <c r="W128" s="26"/>
      <c r="X128" s="26"/>
    </row>
    <row r="129" spans="8:24" x14ac:dyDescent="0.2">
      <c r="H129" s="26"/>
      <c r="I129" s="26"/>
      <c r="J129" s="26"/>
      <c r="W129" s="26"/>
      <c r="X129" s="26"/>
    </row>
    <row r="130" spans="8:24" x14ac:dyDescent="0.2">
      <c r="H130" s="26"/>
      <c r="I130" s="26"/>
      <c r="J130" s="26"/>
      <c r="W130" s="26"/>
      <c r="X130" s="26"/>
    </row>
    <row r="131" spans="8:24" x14ac:dyDescent="0.2">
      <c r="H131" s="26"/>
      <c r="I131" s="26"/>
      <c r="J131" s="26"/>
      <c r="W131" s="26"/>
      <c r="X131" s="26"/>
    </row>
    <row r="132" spans="8:24" x14ac:dyDescent="0.2">
      <c r="H132" s="26"/>
      <c r="I132" s="26"/>
      <c r="J132" s="26"/>
      <c r="W132" s="26"/>
      <c r="X132" s="26"/>
    </row>
    <row r="133" spans="8:24" x14ac:dyDescent="0.2">
      <c r="H133" s="26"/>
      <c r="I133" s="26"/>
      <c r="J133" s="26"/>
      <c r="W133" s="26"/>
      <c r="X133" s="26"/>
    </row>
    <row r="134" spans="8:24" x14ac:dyDescent="0.2">
      <c r="H134" s="26"/>
      <c r="I134" s="26"/>
      <c r="J134" s="26"/>
      <c r="W134" s="26"/>
      <c r="X134" s="26"/>
    </row>
    <row r="135" spans="8:24" x14ac:dyDescent="0.2">
      <c r="H135" s="26"/>
      <c r="I135" s="26"/>
      <c r="J135" s="26"/>
      <c r="W135" s="26"/>
      <c r="X135" s="26"/>
    </row>
    <row r="136" spans="8:24" x14ac:dyDescent="0.2">
      <c r="H136" s="26"/>
      <c r="I136" s="26"/>
      <c r="J136" s="26"/>
      <c r="W136" s="26"/>
      <c r="X136" s="26"/>
    </row>
    <row r="137" spans="8:24" x14ac:dyDescent="0.2">
      <c r="H137" s="26"/>
      <c r="I137" s="26"/>
      <c r="J137" s="26"/>
      <c r="W137" s="26"/>
      <c r="X137" s="26"/>
    </row>
    <row r="138" spans="8:24" x14ac:dyDescent="0.2">
      <c r="H138" s="26"/>
      <c r="I138" s="26"/>
      <c r="J138" s="26"/>
      <c r="W138" s="26"/>
      <c r="X138" s="26"/>
    </row>
    <row r="139" spans="8:24" x14ac:dyDescent="0.2">
      <c r="H139" s="26"/>
      <c r="I139" s="26"/>
      <c r="J139" s="26"/>
      <c r="W139" s="26"/>
      <c r="X139" s="26"/>
    </row>
    <row r="140" spans="8:24" x14ac:dyDescent="0.2">
      <c r="H140" s="26"/>
      <c r="I140" s="26"/>
      <c r="J140" s="26"/>
      <c r="W140" s="26"/>
      <c r="X140" s="26"/>
    </row>
    <row r="141" spans="8:24" x14ac:dyDescent="0.2">
      <c r="H141" s="26"/>
      <c r="I141" s="26"/>
      <c r="J141" s="26"/>
      <c r="W141" s="26"/>
      <c r="X141" s="26"/>
    </row>
    <row r="142" spans="8:24" x14ac:dyDescent="0.2">
      <c r="H142" s="26"/>
      <c r="I142" s="26"/>
      <c r="J142" s="26"/>
      <c r="W142" s="26"/>
      <c r="X142" s="26"/>
    </row>
    <row r="143" spans="8:24" x14ac:dyDescent="0.2">
      <c r="H143" s="26"/>
      <c r="I143" s="26"/>
      <c r="J143" s="26"/>
      <c r="W143" s="26"/>
      <c r="X143" s="26"/>
    </row>
    <row r="144" spans="8:24" x14ac:dyDescent="0.2">
      <c r="H144" s="26"/>
      <c r="I144" s="26"/>
      <c r="J144" s="26"/>
      <c r="W144" s="26"/>
      <c r="X144" s="26"/>
    </row>
    <row r="145" spans="8:24" x14ac:dyDescent="0.2">
      <c r="H145" s="26"/>
      <c r="I145" s="26"/>
      <c r="J145" s="26"/>
      <c r="W145" s="26"/>
      <c r="X145" s="26"/>
    </row>
    <row r="146" spans="8:24" x14ac:dyDescent="0.2">
      <c r="H146" s="26"/>
      <c r="I146" s="26"/>
      <c r="J146" s="26"/>
      <c r="W146" s="26"/>
      <c r="X146" s="26"/>
    </row>
    <row r="147" spans="8:24" x14ac:dyDescent="0.2">
      <c r="H147" s="26"/>
      <c r="I147" s="26"/>
      <c r="J147" s="26"/>
      <c r="W147" s="26"/>
      <c r="X147" s="26"/>
    </row>
    <row r="148" spans="8:24" x14ac:dyDescent="0.2">
      <c r="H148" s="26"/>
      <c r="I148" s="26"/>
      <c r="J148" s="26"/>
      <c r="W148" s="26"/>
      <c r="X148" s="26"/>
    </row>
    <row r="149" spans="8:24" x14ac:dyDescent="0.2">
      <c r="H149" s="26"/>
      <c r="I149" s="26"/>
      <c r="J149" s="26"/>
      <c r="W149" s="26"/>
      <c r="X149" s="26"/>
    </row>
    <row r="150" spans="8:24" x14ac:dyDescent="0.2">
      <c r="H150" s="26"/>
      <c r="I150" s="26"/>
      <c r="J150" s="26"/>
      <c r="W150" s="26"/>
      <c r="X150" s="26"/>
    </row>
    <row r="151" spans="8:24" x14ac:dyDescent="0.2">
      <c r="H151" s="26"/>
      <c r="I151" s="26"/>
      <c r="J151" s="26"/>
      <c r="W151" s="26"/>
      <c r="X151" s="26"/>
    </row>
    <row r="152" spans="8:24" x14ac:dyDescent="0.2">
      <c r="H152" s="26"/>
      <c r="I152" s="26"/>
      <c r="J152" s="26"/>
      <c r="W152" s="26"/>
      <c r="X152" s="26"/>
    </row>
    <row r="153" spans="8:24" x14ac:dyDescent="0.2">
      <c r="H153" s="26"/>
      <c r="I153" s="26"/>
      <c r="J153" s="26"/>
      <c r="W153" s="26"/>
      <c r="X153" s="26"/>
    </row>
    <row r="154" spans="8:24" x14ac:dyDescent="0.2">
      <c r="H154" s="26"/>
      <c r="I154" s="26"/>
      <c r="J154" s="26"/>
      <c r="W154" s="26"/>
      <c r="X154" s="26"/>
    </row>
    <row r="155" spans="8:24" x14ac:dyDescent="0.2">
      <c r="H155" s="26"/>
      <c r="I155" s="26"/>
      <c r="J155" s="26"/>
      <c r="W155" s="26"/>
      <c r="X155" s="26"/>
    </row>
    <row r="156" spans="8:24" x14ac:dyDescent="0.2">
      <c r="H156" s="26"/>
      <c r="I156" s="26"/>
      <c r="J156" s="26"/>
      <c r="W156" s="26"/>
      <c r="X156" s="26"/>
    </row>
    <row r="157" spans="8:24" x14ac:dyDescent="0.2">
      <c r="H157" s="26"/>
      <c r="I157" s="26"/>
      <c r="J157" s="26"/>
      <c r="W157" s="26"/>
      <c r="X157" s="26"/>
    </row>
    <row r="158" spans="8:24" x14ac:dyDescent="0.2">
      <c r="H158" s="26"/>
      <c r="I158" s="26"/>
      <c r="J158" s="26"/>
      <c r="W158" s="26"/>
      <c r="X158" s="26"/>
    </row>
    <row r="159" spans="8:24" x14ac:dyDescent="0.2">
      <c r="H159" s="26"/>
      <c r="I159" s="26"/>
      <c r="J159" s="26"/>
      <c r="W159" s="26"/>
      <c r="X159" s="26"/>
    </row>
    <row r="160" spans="8:24" x14ac:dyDescent="0.2">
      <c r="H160" s="26"/>
      <c r="I160" s="26"/>
      <c r="J160" s="26"/>
      <c r="W160" s="26"/>
      <c r="X160" s="26"/>
    </row>
    <row r="161" spans="8:24" x14ac:dyDescent="0.2">
      <c r="H161" s="26"/>
      <c r="I161" s="26"/>
      <c r="J161" s="26"/>
      <c r="W161" s="26"/>
      <c r="X161" s="26"/>
    </row>
    <row r="162" spans="8:24" x14ac:dyDescent="0.2">
      <c r="H162" s="26"/>
      <c r="I162" s="26"/>
      <c r="J162" s="26"/>
      <c r="W162" s="26"/>
      <c r="X162" s="26"/>
    </row>
    <row r="163" spans="8:24" x14ac:dyDescent="0.2">
      <c r="H163" s="26"/>
      <c r="I163" s="26"/>
      <c r="J163" s="26"/>
      <c r="W163" s="26"/>
      <c r="X163" s="26"/>
    </row>
    <row r="164" spans="8:24" x14ac:dyDescent="0.2">
      <c r="H164" s="26"/>
      <c r="I164" s="26"/>
      <c r="J164" s="26"/>
      <c r="W164" s="26"/>
      <c r="X164" s="26"/>
    </row>
    <row r="165" spans="8:24" x14ac:dyDescent="0.2">
      <c r="H165" s="26"/>
      <c r="I165" s="26"/>
      <c r="J165" s="26"/>
      <c r="W165" s="26"/>
      <c r="X165" s="26"/>
    </row>
    <row r="166" spans="8:24" x14ac:dyDescent="0.2">
      <c r="H166" s="26"/>
      <c r="I166" s="26"/>
      <c r="J166" s="26"/>
      <c r="W166" s="26"/>
      <c r="X166" s="26"/>
    </row>
    <row r="167" spans="8:24" x14ac:dyDescent="0.2">
      <c r="H167" s="26"/>
      <c r="I167" s="26"/>
      <c r="J167" s="26"/>
      <c r="W167" s="26"/>
      <c r="X167" s="26"/>
    </row>
    <row r="168" spans="8:24" x14ac:dyDescent="0.2">
      <c r="H168" s="26"/>
      <c r="I168" s="26"/>
      <c r="J168" s="26"/>
      <c r="W168" s="26"/>
      <c r="X168" s="26"/>
    </row>
    <row r="169" spans="8:24" x14ac:dyDescent="0.2">
      <c r="H169" s="26"/>
      <c r="I169" s="26"/>
      <c r="J169" s="26"/>
      <c r="W169" s="26"/>
      <c r="X169" s="26"/>
    </row>
    <row r="170" spans="8:24" x14ac:dyDescent="0.2">
      <c r="H170" s="26"/>
      <c r="I170" s="26"/>
      <c r="J170" s="26"/>
      <c r="W170" s="26"/>
      <c r="X170" s="26"/>
    </row>
    <row r="171" spans="8:24" x14ac:dyDescent="0.2">
      <c r="H171" s="26"/>
      <c r="I171" s="26"/>
      <c r="J171" s="26"/>
      <c r="W171" s="26"/>
      <c r="X171" s="26"/>
    </row>
    <row r="172" spans="8:24" x14ac:dyDescent="0.2">
      <c r="H172" s="26"/>
      <c r="I172" s="26"/>
      <c r="J172" s="26"/>
      <c r="W172" s="26"/>
      <c r="X172" s="26"/>
    </row>
    <row r="173" spans="8:24" x14ac:dyDescent="0.2">
      <c r="H173" s="26"/>
      <c r="I173" s="26"/>
      <c r="J173" s="26"/>
      <c r="W173" s="26"/>
      <c r="X173" s="26"/>
    </row>
    <row r="174" spans="8:24" x14ac:dyDescent="0.2">
      <c r="H174" s="26"/>
      <c r="I174" s="26"/>
      <c r="J174" s="26"/>
      <c r="W174" s="26"/>
      <c r="X174" s="26"/>
    </row>
    <row r="175" spans="8:24" x14ac:dyDescent="0.2">
      <c r="H175" s="26"/>
      <c r="I175" s="26"/>
      <c r="J175" s="26"/>
      <c r="W175" s="26"/>
      <c r="X175" s="26"/>
    </row>
    <row r="176" spans="8:24" x14ac:dyDescent="0.2">
      <c r="H176" s="26"/>
      <c r="I176" s="26"/>
      <c r="J176" s="26"/>
      <c r="W176" s="26"/>
      <c r="X176" s="26"/>
    </row>
    <row r="177" spans="8:24" x14ac:dyDescent="0.2">
      <c r="H177" s="26"/>
      <c r="I177" s="26"/>
      <c r="J177" s="26"/>
      <c r="W177" s="26"/>
      <c r="X177" s="26"/>
    </row>
    <row r="178" spans="8:24" x14ac:dyDescent="0.2">
      <c r="H178" s="26"/>
      <c r="I178" s="26"/>
      <c r="J178" s="26"/>
      <c r="W178" s="26"/>
      <c r="X178" s="26"/>
    </row>
    <row r="179" spans="8:24" x14ac:dyDescent="0.2">
      <c r="H179" s="26"/>
      <c r="I179" s="26"/>
      <c r="J179" s="26"/>
      <c r="W179" s="26"/>
      <c r="X179" s="26"/>
    </row>
    <row r="180" spans="8:24" x14ac:dyDescent="0.2">
      <c r="H180" s="26"/>
      <c r="I180" s="26"/>
      <c r="J180" s="26"/>
      <c r="W180" s="26"/>
      <c r="X180" s="26"/>
    </row>
    <row r="181" spans="8:24" x14ac:dyDescent="0.2">
      <c r="H181" s="26"/>
      <c r="I181" s="26"/>
      <c r="J181" s="26"/>
      <c r="W181" s="26"/>
      <c r="X181" s="26"/>
    </row>
    <row r="182" spans="8:24" x14ac:dyDescent="0.2">
      <c r="H182" s="26"/>
      <c r="I182" s="26"/>
      <c r="J182" s="26"/>
      <c r="W182" s="26"/>
      <c r="X182" s="26"/>
    </row>
    <row r="183" spans="8:24" x14ac:dyDescent="0.2">
      <c r="H183" s="26"/>
      <c r="I183" s="26"/>
      <c r="J183" s="26"/>
      <c r="W183" s="26"/>
      <c r="X183" s="26"/>
    </row>
    <row r="184" spans="8:24" x14ac:dyDescent="0.2">
      <c r="H184" s="26"/>
      <c r="I184" s="26"/>
      <c r="J184" s="26"/>
      <c r="W184" s="26"/>
      <c r="X184" s="26"/>
    </row>
    <row r="185" spans="8:24" x14ac:dyDescent="0.2">
      <c r="H185" s="26"/>
      <c r="I185" s="26"/>
      <c r="J185" s="26"/>
      <c r="W185" s="26"/>
      <c r="X185" s="26"/>
    </row>
    <row r="186" spans="8:24" x14ac:dyDescent="0.2">
      <c r="H186" s="26"/>
      <c r="I186" s="26"/>
      <c r="J186" s="26"/>
      <c r="W186" s="26"/>
      <c r="X186" s="26"/>
    </row>
    <row r="187" spans="8:24" x14ac:dyDescent="0.2">
      <c r="H187" s="26"/>
      <c r="I187" s="26"/>
      <c r="J187" s="26"/>
      <c r="W187" s="26"/>
      <c r="X187" s="26"/>
    </row>
    <row r="188" spans="8:24" x14ac:dyDescent="0.2">
      <c r="H188" s="26"/>
      <c r="I188" s="26"/>
      <c r="J188" s="26"/>
      <c r="W188" s="26"/>
      <c r="X188" s="26"/>
    </row>
    <row r="189" spans="8:24" x14ac:dyDescent="0.2">
      <c r="H189" s="26"/>
      <c r="I189" s="26"/>
      <c r="J189" s="26"/>
      <c r="W189" s="26"/>
      <c r="X189" s="26"/>
    </row>
    <row r="190" spans="8:24" x14ac:dyDescent="0.2">
      <c r="H190" s="26"/>
      <c r="I190" s="26"/>
      <c r="J190" s="26"/>
      <c r="W190" s="26"/>
      <c r="X190" s="26"/>
    </row>
    <row r="191" spans="8:24" x14ac:dyDescent="0.2">
      <c r="H191" s="26"/>
      <c r="I191" s="26"/>
      <c r="J191" s="26"/>
      <c r="W191" s="26"/>
      <c r="X191" s="26"/>
    </row>
    <row r="192" spans="8:24" x14ac:dyDescent="0.2">
      <c r="H192" s="26"/>
      <c r="I192" s="26"/>
      <c r="J192" s="26"/>
      <c r="W192" s="26"/>
      <c r="X192" s="26"/>
    </row>
    <row r="193" spans="8:24" x14ac:dyDescent="0.2">
      <c r="H193" s="26"/>
      <c r="I193" s="26"/>
      <c r="J193" s="26"/>
      <c r="W193" s="26"/>
      <c r="X193" s="26"/>
    </row>
    <row r="194" spans="8:24" x14ac:dyDescent="0.2">
      <c r="H194" s="26"/>
      <c r="I194" s="26"/>
      <c r="J194" s="26"/>
      <c r="W194" s="26"/>
      <c r="X194" s="26"/>
    </row>
    <row r="195" spans="8:24" x14ac:dyDescent="0.2">
      <c r="H195" s="26"/>
      <c r="I195" s="26"/>
      <c r="J195" s="26"/>
      <c r="W195" s="26"/>
      <c r="X195" s="26"/>
    </row>
    <row r="196" spans="8:24" x14ac:dyDescent="0.2">
      <c r="H196" s="26"/>
      <c r="I196" s="26"/>
      <c r="J196" s="26"/>
      <c r="W196" s="26"/>
      <c r="X196" s="26"/>
    </row>
    <row r="197" spans="8:24" x14ac:dyDescent="0.2">
      <c r="H197" s="26"/>
      <c r="I197" s="26"/>
      <c r="J197" s="26"/>
      <c r="W197" s="26"/>
      <c r="X197" s="26"/>
    </row>
    <row r="198" spans="8:24" x14ac:dyDescent="0.2">
      <c r="H198" s="26"/>
      <c r="I198" s="26"/>
      <c r="J198" s="26"/>
      <c r="W198" s="26"/>
      <c r="X198" s="26"/>
    </row>
    <row r="199" spans="8:24" x14ac:dyDescent="0.2">
      <c r="H199" s="26"/>
      <c r="I199" s="26"/>
      <c r="J199" s="26"/>
      <c r="W199" s="26"/>
      <c r="X199" s="26"/>
    </row>
    <row r="200" spans="8:24" x14ac:dyDescent="0.2">
      <c r="H200" s="26"/>
      <c r="I200" s="26"/>
      <c r="J200" s="26"/>
      <c r="W200" s="26"/>
      <c r="X200" s="26"/>
    </row>
    <row r="201" spans="8:24" x14ac:dyDescent="0.2">
      <c r="H201" s="26"/>
      <c r="I201" s="26"/>
      <c r="J201" s="26"/>
      <c r="W201" s="26"/>
      <c r="X201" s="26"/>
    </row>
    <row r="202" spans="8:24" x14ac:dyDescent="0.2">
      <c r="H202" s="26"/>
      <c r="I202" s="26"/>
      <c r="J202" s="26"/>
      <c r="W202" s="26"/>
      <c r="X202" s="26"/>
    </row>
    <row r="203" spans="8:24" x14ac:dyDescent="0.2">
      <c r="H203" s="26"/>
      <c r="I203" s="26"/>
      <c r="J203" s="26"/>
      <c r="W203" s="26"/>
      <c r="X203" s="26"/>
    </row>
    <row r="204" spans="8:24" x14ac:dyDescent="0.2">
      <c r="H204" s="26"/>
      <c r="I204" s="26"/>
      <c r="J204" s="26"/>
      <c r="W204" s="26"/>
      <c r="X204" s="26"/>
    </row>
    <row r="205" spans="8:24" x14ac:dyDescent="0.2">
      <c r="H205" s="26"/>
      <c r="I205" s="26"/>
      <c r="J205" s="26"/>
      <c r="W205" s="26"/>
      <c r="X205" s="26"/>
    </row>
    <row r="206" spans="8:24" x14ac:dyDescent="0.2">
      <c r="H206" s="26"/>
      <c r="I206" s="26"/>
      <c r="J206" s="26"/>
      <c r="W206" s="26"/>
      <c r="X206" s="26"/>
    </row>
    <row r="207" spans="8:24" x14ac:dyDescent="0.2">
      <c r="H207" s="26"/>
      <c r="I207" s="26"/>
      <c r="J207" s="26"/>
      <c r="W207" s="26"/>
      <c r="X207" s="26"/>
    </row>
    <row r="208" spans="8:24" x14ac:dyDescent="0.2">
      <c r="H208" s="26"/>
      <c r="I208" s="26"/>
      <c r="J208" s="26"/>
      <c r="W208" s="26"/>
      <c r="X208" s="26"/>
    </row>
    <row r="209" spans="8:24" x14ac:dyDescent="0.2">
      <c r="H209" s="26"/>
      <c r="I209" s="26"/>
      <c r="J209" s="26"/>
      <c r="W209" s="26"/>
      <c r="X209" s="26"/>
    </row>
    <row r="210" spans="8:24" x14ac:dyDescent="0.2">
      <c r="H210" s="26"/>
      <c r="I210" s="26"/>
      <c r="J210" s="26"/>
      <c r="W210" s="26"/>
      <c r="X210" s="26"/>
    </row>
    <row r="211" spans="8:24" x14ac:dyDescent="0.2">
      <c r="H211" s="26"/>
      <c r="I211" s="26"/>
      <c r="J211" s="26"/>
      <c r="W211" s="26"/>
      <c r="X211" s="26"/>
    </row>
    <row r="212" spans="8:24" x14ac:dyDescent="0.2">
      <c r="H212" s="26"/>
      <c r="I212" s="26"/>
      <c r="J212" s="26"/>
      <c r="W212" s="26"/>
      <c r="X212" s="26"/>
    </row>
    <row r="213" spans="8:24" x14ac:dyDescent="0.2">
      <c r="H213" s="26"/>
      <c r="I213" s="26"/>
      <c r="J213" s="26"/>
      <c r="W213" s="26"/>
      <c r="X213" s="26"/>
    </row>
    <row r="214" spans="8:24" x14ac:dyDescent="0.2">
      <c r="H214" s="26"/>
      <c r="I214" s="26"/>
      <c r="J214" s="26"/>
      <c r="W214" s="26"/>
      <c r="X214" s="26"/>
    </row>
    <row r="215" spans="8:24" x14ac:dyDescent="0.2">
      <c r="H215" s="26"/>
      <c r="I215" s="26"/>
      <c r="J215" s="26"/>
      <c r="W215" s="26"/>
      <c r="X215" s="26"/>
    </row>
    <row r="216" spans="8:24" x14ac:dyDescent="0.2">
      <c r="H216" s="26"/>
      <c r="I216" s="26"/>
      <c r="J216" s="26"/>
      <c r="W216" s="26"/>
      <c r="X216" s="26"/>
    </row>
    <row r="217" spans="8:24" x14ac:dyDescent="0.2">
      <c r="H217" s="26"/>
      <c r="I217" s="26"/>
      <c r="J217" s="26"/>
      <c r="W217" s="26"/>
      <c r="X217" s="26"/>
    </row>
    <row r="218" spans="8:24" x14ac:dyDescent="0.2">
      <c r="H218" s="26"/>
      <c r="I218" s="26"/>
      <c r="J218" s="26"/>
      <c r="W218" s="26"/>
      <c r="X218" s="26"/>
    </row>
    <row r="219" spans="8:24" x14ac:dyDescent="0.2">
      <c r="H219" s="26"/>
      <c r="I219" s="26"/>
      <c r="J219" s="26"/>
      <c r="W219" s="26"/>
      <c r="X219" s="26"/>
    </row>
    <row r="220" spans="8:24" x14ac:dyDescent="0.2">
      <c r="H220" s="26"/>
      <c r="I220" s="26"/>
      <c r="J220" s="26"/>
      <c r="W220" s="26"/>
      <c r="X220" s="26"/>
    </row>
    <row r="221" spans="8:24" x14ac:dyDescent="0.2">
      <c r="H221" s="26"/>
      <c r="I221" s="26"/>
      <c r="J221" s="26"/>
      <c r="W221" s="26"/>
      <c r="X221" s="26"/>
    </row>
    <row r="222" spans="8:24" x14ac:dyDescent="0.2">
      <c r="H222" s="26"/>
      <c r="I222" s="26"/>
      <c r="J222" s="26"/>
      <c r="W222" s="26"/>
      <c r="X222" s="26"/>
    </row>
    <row r="223" spans="8:24" x14ac:dyDescent="0.2">
      <c r="H223" s="26"/>
      <c r="I223" s="26"/>
      <c r="J223" s="26"/>
      <c r="W223" s="26"/>
      <c r="X223" s="26"/>
    </row>
    <row r="224" spans="8:24" x14ac:dyDescent="0.2">
      <c r="H224" s="26"/>
      <c r="I224" s="26"/>
      <c r="J224" s="26"/>
      <c r="W224" s="26"/>
      <c r="X224" s="26"/>
    </row>
    <row r="225" spans="8:24" x14ac:dyDescent="0.2">
      <c r="H225" s="26"/>
      <c r="I225" s="26"/>
      <c r="J225" s="26"/>
      <c r="W225" s="26"/>
      <c r="X225" s="26"/>
    </row>
    <row r="226" spans="8:24" x14ac:dyDescent="0.2">
      <c r="H226" s="26"/>
      <c r="I226" s="26"/>
      <c r="J226" s="26"/>
      <c r="W226" s="26"/>
      <c r="X226" s="26"/>
    </row>
    <row r="227" spans="8:24" x14ac:dyDescent="0.2">
      <c r="H227" s="26"/>
      <c r="I227" s="26"/>
      <c r="J227" s="26"/>
      <c r="W227" s="26"/>
      <c r="X227" s="26"/>
    </row>
    <row r="228" spans="8:24" x14ac:dyDescent="0.2">
      <c r="H228" s="26"/>
      <c r="I228" s="26"/>
      <c r="J228" s="26"/>
      <c r="W228" s="26"/>
      <c r="X228" s="26"/>
    </row>
    <row r="229" spans="8:24" x14ac:dyDescent="0.2">
      <c r="H229" s="26"/>
      <c r="I229" s="26"/>
      <c r="J229" s="26"/>
      <c r="W229" s="26"/>
      <c r="X229" s="26"/>
    </row>
    <row r="230" spans="8:24" x14ac:dyDescent="0.2">
      <c r="H230" s="26"/>
      <c r="I230" s="26"/>
      <c r="J230" s="26"/>
      <c r="W230" s="26"/>
      <c r="X230" s="26"/>
    </row>
    <row r="231" spans="8:24" x14ac:dyDescent="0.2">
      <c r="H231" s="26"/>
      <c r="I231" s="26"/>
      <c r="J231" s="26"/>
      <c r="W231" s="26"/>
      <c r="X231" s="26"/>
    </row>
    <row r="232" spans="8:24" x14ac:dyDescent="0.2">
      <c r="H232" s="26"/>
      <c r="I232" s="26"/>
      <c r="J232" s="26"/>
      <c r="W232" s="26"/>
      <c r="X232" s="26"/>
    </row>
    <row r="233" spans="8:24" x14ac:dyDescent="0.2">
      <c r="H233" s="26"/>
      <c r="I233" s="26"/>
      <c r="J233" s="26"/>
      <c r="W233" s="26"/>
      <c r="X233" s="26"/>
    </row>
    <row r="234" spans="8:24" x14ac:dyDescent="0.2">
      <c r="H234" s="26"/>
      <c r="I234" s="26"/>
      <c r="J234" s="26"/>
      <c r="W234" s="26"/>
      <c r="X234" s="26"/>
    </row>
    <row r="235" spans="8:24" x14ac:dyDescent="0.2">
      <c r="H235" s="26"/>
      <c r="I235" s="26"/>
      <c r="J235" s="26"/>
      <c r="W235" s="26"/>
      <c r="X235" s="26"/>
    </row>
    <row r="236" spans="8:24" x14ac:dyDescent="0.2">
      <c r="H236" s="26"/>
      <c r="I236" s="26"/>
      <c r="J236" s="26"/>
      <c r="W236" s="26"/>
      <c r="X236" s="26"/>
    </row>
    <row r="237" spans="8:24" x14ac:dyDescent="0.2">
      <c r="H237" s="26"/>
      <c r="I237" s="26"/>
      <c r="J237" s="26"/>
      <c r="W237" s="26"/>
      <c r="X237" s="26"/>
    </row>
    <row r="238" spans="8:24" x14ac:dyDescent="0.2">
      <c r="H238" s="26"/>
      <c r="I238" s="26"/>
      <c r="J238" s="26"/>
      <c r="W238" s="26"/>
      <c r="X238" s="26"/>
    </row>
    <row r="239" spans="8:24" x14ac:dyDescent="0.2">
      <c r="H239" s="26"/>
      <c r="I239" s="26"/>
      <c r="J239" s="26"/>
      <c r="W239" s="26"/>
      <c r="X239" s="26"/>
    </row>
    <row r="240" spans="8:24" x14ac:dyDescent="0.2">
      <c r="H240" s="26"/>
      <c r="I240" s="26"/>
      <c r="J240" s="26"/>
      <c r="W240" s="26"/>
      <c r="X240" s="26"/>
    </row>
    <row r="241" spans="8:24" x14ac:dyDescent="0.2">
      <c r="H241" s="26"/>
      <c r="I241" s="26"/>
      <c r="J241" s="26"/>
      <c r="W241" s="26"/>
      <c r="X241" s="26"/>
    </row>
    <row r="242" spans="8:24" x14ac:dyDescent="0.2">
      <c r="H242" s="26"/>
      <c r="I242" s="26"/>
      <c r="J242" s="26"/>
      <c r="W242" s="26"/>
      <c r="X242" s="26"/>
    </row>
    <row r="243" spans="8:24" x14ac:dyDescent="0.2">
      <c r="H243" s="26"/>
      <c r="I243" s="26"/>
      <c r="J243" s="26"/>
      <c r="W243" s="26"/>
      <c r="X243" s="26"/>
    </row>
    <row r="244" spans="8:24" x14ac:dyDescent="0.2">
      <c r="H244" s="26"/>
      <c r="I244" s="26"/>
      <c r="J244" s="26"/>
      <c r="W244" s="26"/>
      <c r="X244" s="26"/>
    </row>
    <row r="245" spans="8:24" x14ac:dyDescent="0.2">
      <c r="H245" s="26"/>
      <c r="I245" s="26"/>
      <c r="J245" s="26"/>
      <c r="W245" s="26"/>
      <c r="X245" s="26"/>
    </row>
    <row r="246" spans="8:24" x14ac:dyDescent="0.2">
      <c r="H246" s="26"/>
      <c r="I246" s="26"/>
      <c r="J246" s="26"/>
      <c r="W246" s="26"/>
      <c r="X246" s="26"/>
    </row>
    <row r="247" spans="8:24" x14ac:dyDescent="0.2">
      <c r="H247" s="26"/>
      <c r="I247" s="26"/>
      <c r="J247" s="26"/>
      <c r="W247" s="26"/>
      <c r="X247" s="26"/>
    </row>
    <row r="248" spans="8:24" x14ac:dyDescent="0.2">
      <c r="H248" s="26"/>
      <c r="I248" s="26"/>
      <c r="J248" s="26"/>
      <c r="W248" s="26"/>
      <c r="X248" s="26"/>
    </row>
    <row r="249" spans="8:24" x14ac:dyDescent="0.2">
      <c r="H249" s="26"/>
      <c r="I249" s="26"/>
      <c r="J249" s="26"/>
      <c r="W249" s="26"/>
      <c r="X249" s="26"/>
    </row>
    <row r="250" spans="8:24" x14ac:dyDescent="0.2">
      <c r="H250" s="26"/>
      <c r="I250" s="26"/>
      <c r="J250" s="26"/>
      <c r="W250" s="26"/>
      <c r="X250" s="26"/>
    </row>
    <row r="251" spans="8:24" x14ac:dyDescent="0.2">
      <c r="H251" s="26"/>
      <c r="I251" s="26"/>
      <c r="J251" s="26"/>
      <c r="W251" s="26"/>
      <c r="X251" s="26"/>
    </row>
    <row r="252" spans="8:24" x14ac:dyDescent="0.2">
      <c r="H252" s="26"/>
      <c r="I252" s="26"/>
      <c r="J252" s="26"/>
      <c r="W252" s="26"/>
      <c r="X252" s="26"/>
    </row>
    <row r="253" spans="8:24" x14ac:dyDescent="0.2">
      <c r="H253" s="26"/>
      <c r="I253" s="26"/>
      <c r="J253" s="26"/>
      <c r="W253" s="26"/>
      <c r="X253" s="26"/>
    </row>
    <row r="254" spans="8:24" x14ac:dyDescent="0.2">
      <c r="H254" s="26"/>
      <c r="I254" s="26"/>
      <c r="J254" s="26"/>
      <c r="W254" s="26"/>
      <c r="X254" s="26"/>
    </row>
    <row r="255" spans="8:24" x14ac:dyDescent="0.2">
      <c r="H255" s="26"/>
      <c r="I255" s="26"/>
      <c r="J255" s="26"/>
      <c r="W255" s="26"/>
      <c r="X255" s="26"/>
    </row>
    <row r="256" spans="8:24" x14ac:dyDescent="0.2">
      <c r="H256" s="26"/>
      <c r="I256" s="26"/>
      <c r="J256" s="26"/>
      <c r="W256" s="26"/>
      <c r="X256" s="26"/>
    </row>
    <row r="257" spans="8:24" x14ac:dyDescent="0.2">
      <c r="H257" s="26"/>
      <c r="I257" s="26"/>
      <c r="J257" s="26"/>
      <c r="W257" s="26"/>
      <c r="X257" s="26"/>
    </row>
    <row r="258" spans="8:24" x14ac:dyDescent="0.2">
      <c r="H258" s="26"/>
      <c r="I258" s="26"/>
      <c r="J258" s="26"/>
      <c r="W258" s="26"/>
      <c r="X258" s="26"/>
    </row>
    <row r="259" spans="8:24" x14ac:dyDescent="0.2">
      <c r="H259" s="26"/>
      <c r="I259" s="26"/>
      <c r="J259" s="26"/>
      <c r="W259" s="26"/>
      <c r="X259" s="26"/>
    </row>
    <row r="260" spans="8:24" x14ac:dyDescent="0.2">
      <c r="H260" s="26"/>
      <c r="I260" s="26"/>
      <c r="J260" s="26"/>
      <c r="W260" s="26"/>
      <c r="X260" s="26"/>
    </row>
    <row r="261" spans="8:24" x14ac:dyDescent="0.2">
      <c r="H261" s="26"/>
      <c r="I261" s="26"/>
      <c r="J261" s="26"/>
      <c r="W261" s="26"/>
      <c r="X261" s="26"/>
    </row>
    <row r="262" spans="8:24" x14ac:dyDescent="0.2">
      <c r="H262" s="26"/>
      <c r="I262" s="26"/>
      <c r="J262" s="26"/>
      <c r="W262" s="26"/>
      <c r="X262" s="26"/>
    </row>
    <row r="263" spans="8:24" x14ac:dyDescent="0.2">
      <c r="H263" s="26"/>
      <c r="I263" s="26"/>
      <c r="J263" s="26"/>
      <c r="W263" s="26"/>
      <c r="X263" s="26"/>
    </row>
    <row r="264" spans="8:24" x14ac:dyDescent="0.2">
      <c r="H264" s="26"/>
      <c r="I264" s="26"/>
      <c r="J264" s="26"/>
      <c r="W264" s="26"/>
      <c r="X264" s="26"/>
    </row>
    <row r="265" spans="8:24" x14ac:dyDescent="0.2">
      <c r="H265" s="26"/>
      <c r="I265" s="26"/>
      <c r="J265" s="26"/>
      <c r="W265" s="26"/>
      <c r="X265" s="26"/>
    </row>
    <row r="266" spans="8:24" x14ac:dyDescent="0.2">
      <c r="H266" s="26"/>
      <c r="I266" s="26"/>
      <c r="J266" s="26"/>
      <c r="W266" s="26"/>
      <c r="X266" s="26"/>
    </row>
    <row r="267" spans="8:24" x14ac:dyDescent="0.2">
      <c r="H267" s="26"/>
      <c r="I267" s="26"/>
      <c r="J267" s="26"/>
      <c r="W267" s="26"/>
      <c r="X267" s="26"/>
    </row>
    <row r="268" spans="8:24" x14ac:dyDescent="0.2">
      <c r="H268" s="26"/>
      <c r="I268" s="26"/>
      <c r="J268" s="26"/>
      <c r="W268" s="26"/>
      <c r="X268" s="26"/>
    </row>
    <row r="269" spans="8:24" x14ac:dyDescent="0.2">
      <c r="H269" s="26"/>
      <c r="I269" s="26"/>
      <c r="J269" s="26"/>
      <c r="W269" s="26"/>
      <c r="X269" s="26"/>
    </row>
    <row r="270" spans="8:24" x14ac:dyDescent="0.2">
      <c r="H270" s="26"/>
      <c r="I270" s="26"/>
      <c r="J270" s="26"/>
      <c r="W270" s="26"/>
      <c r="X270" s="26"/>
    </row>
    <row r="271" spans="8:24" x14ac:dyDescent="0.2">
      <c r="H271" s="26"/>
      <c r="I271" s="26"/>
      <c r="J271" s="26"/>
      <c r="W271" s="26"/>
      <c r="X271" s="26"/>
    </row>
    <row r="272" spans="8:24" x14ac:dyDescent="0.2">
      <c r="H272" s="26"/>
      <c r="I272" s="26"/>
      <c r="J272" s="26"/>
      <c r="W272" s="26"/>
      <c r="X272" s="26"/>
    </row>
    <row r="273" spans="8:24" x14ac:dyDescent="0.2">
      <c r="H273" s="26"/>
      <c r="I273" s="26"/>
      <c r="J273" s="26"/>
      <c r="W273" s="26"/>
      <c r="X273" s="26"/>
    </row>
    <row r="274" spans="8:24" x14ac:dyDescent="0.2">
      <c r="H274" s="26"/>
      <c r="I274" s="26"/>
      <c r="J274" s="26"/>
      <c r="W274" s="26"/>
      <c r="X274" s="26"/>
    </row>
    <row r="275" spans="8:24" x14ac:dyDescent="0.2">
      <c r="H275" s="26"/>
      <c r="I275" s="26"/>
      <c r="J275" s="26"/>
      <c r="W275" s="26"/>
      <c r="X275" s="26"/>
    </row>
    <row r="276" spans="8:24" x14ac:dyDescent="0.2">
      <c r="H276" s="26"/>
      <c r="I276" s="26"/>
      <c r="J276" s="26"/>
      <c r="W276" s="26"/>
      <c r="X276" s="26"/>
    </row>
    <row r="277" spans="8:24" x14ac:dyDescent="0.2">
      <c r="H277" s="26"/>
      <c r="I277" s="26"/>
      <c r="J277" s="26"/>
      <c r="W277" s="26"/>
      <c r="X277" s="26"/>
    </row>
    <row r="278" spans="8:24" x14ac:dyDescent="0.2">
      <c r="H278" s="26"/>
      <c r="I278" s="26"/>
      <c r="J278" s="26"/>
      <c r="W278" s="26"/>
      <c r="X278" s="26"/>
    </row>
    <row r="279" spans="8:24" x14ac:dyDescent="0.2">
      <c r="H279" s="26"/>
      <c r="I279" s="26"/>
      <c r="J279" s="26"/>
      <c r="W279" s="26"/>
      <c r="X279" s="26"/>
    </row>
    <row r="280" spans="8:24" x14ac:dyDescent="0.2">
      <c r="H280" s="26"/>
      <c r="I280" s="26"/>
      <c r="J280" s="26"/>
      <c r="W280" s="26"/>
      <c r="X280" s="26"/>
    </row>
    <row r="281" spans="8:24" x14ac:dyDescent="0.2">
      <c r="H281" s="26"/>
      <c r="I281" s="26"/>
      <c r="J281" s="26"/>
      <c r="W281" s="26"/>
      <c r="X281" s="26"/>
    </row>
    <row r="282" spans="8:24" x14ac:dyDescent="0.2">
      <c r="H282" s="26"/>
      <c r="I282" s="26"/>
      <c r="J282" s="26"/>
      <c r="W282" s="26"/>
      <c r="X282" s="26"/>
    </row>
    <row r="283" spans="8:24" x14ac:dyDescent="0.2">
      <c r="H283" s="26"/>
      <c r="I283" s="26"/>
      <c r="J283" s="26"/>
      <c r="W283" s="26"/>
      <c r="X283" s="26"/>
    </row>
    <row r="284" spans="8:24" x14ac:dyDescent="0.2">
      <c r="H284" s="26"/>
      <c r="I284" s="26"/>
      <c r="J284" s="26"/>
      <c r="W284" s="26"/>
      <c r="X284" s="26"/>
    </row>
    <row r="285" spans="8:24" x14ac:dyDescent="0.2">
      <c r="H285" s="26"/>
      <c r="I285" s="26"/>
      <c r="J285" s="26"/>
      <c r="W285" s="26"/>
      <c r="X285" s="26"/>
    </row>
    <row r="286" spans="8:24" x14ac:dyDescent="0.2">
      <c r="H286" s="26"/>
      <c r="I286" s="26"/>
      <c r="J286" s="26"/>
      <c r="W286" s="26"/>
      <c r="X286" s="26"/>
    </row>
    <row r="287" spans="8:24" x14ac:dyDescent="0.2">
      <c r="H287" s="26"/>
      <c r="I287" s="26"/>
      <c r="J287" s="26"/>
      <c r="W287" s="26"/>
      <c r="X287" s="26"/>
    </row>
    <row r="288" spans="8:24" x14ac:dyDescent="0.2">
      <c r="H288" s="26"/>
      <c r="I288" s="26"/>
      <c r="J288" s="26"/>
      <c r="W288" s="26"/>
      <c r="X288" s="26"/>
    </row>
    <row r="289" spans="8:24" x14ac:dyDescent="0.2">
      <c r="H289" s="26"/>
      <c r="I289" s="26"/>
      <c r="J289" s="26"/>
      <c r="W289" s="26"/>
      <c r="X289" s="26"/>
    </row>
    <row r="290" spans="8:24" x14ac:dyDescent="0.2">
      <c r="H290" s="26"/>
      <c r="I290" s="26"/>
      <c r="J290" s="26"/>
      <c r="W290" s="26"/>
      <c r="X290" s="26"/>
    </row>
    <row r="291" spans="8:24" x14ac:dyDescent="0.2">
      <c r="H291" s="26"/>
      <c r="I291" s="26"/>
      <c r="J291" s="26"/>
      <c r="W291" s="26"/>
      <c r="X291" s="26"/>
    </row>
    <row r="292" spans="8:24" x14ac:dyDescent="0.2">
      <c r="H292" s="26"/>
      <c r="I292" s="26"/>
      <c r="J292" s="26"/>
      <c r="W292" s="26"/>
      <c r="X292" s="26"/>
    </row>
    <row r="293" spans="8:24" x14ac:dyDescent="0.2">
      <c r="H293" s="26"/>
      <c r="I293" s="26"/>
      <c r="J293" s="26"/>
      <c r="W293" s="26"/>
      <c r="X293" s="26"/>
    </row>
    <row r="294" spans="8:24" x14ac:dyDescent="0.2">
      <c r="H294" s="26"/>
      <c r="I294" s="26"/>
      <c r="J294" s="26"/>
      <c r="W294" s="26"/>
      <c r="X294" s="26"/>
    </row>
    <row r="295" spans="8:24" x14ac:dyDescent="0.2">
      <c r="H295" s="26"/>
      <c r="I295" s="26"/>
      <c r="J295" s="26"/>
      <c r="W295" s="26"/>
      <c r="X295" s="26"/>
    </row>
    <row r="296" spans="8:24" x14ac:dyDescent="0.2">
      <c r="H296" s="26"/>
      <c r="I296" s="26"/>
      <c r="J296" s="26"/>
      <c r="W296" s="26"/>
      <c r="X296" s="26"/>
    </row>
    <row r="297" spans="8:24" x14ac:dyDescent="0.2">
      <c r="H297" s="26"/>
      <c r="I297" s="26"/>
      <c r="J297" s="26"/>
      <c r="W297" s="26"/>
      <c r="X297" s="26"/>
    </row>
    <row r="298" spans="8:24" x14ac:dyDescent="0.2">
      <c r="H298" s="26"/>
      <c r="I298" s="26"/>
      <c r="J298" s="26"/>
      <c r="W298" s="26"/>
      <c r="X298" s="26"/>
    </row>
    <row r="299" spans="8:24" x14ac:dyDescent="0.2">
      <c r="H299" s="26"/>
      <c r="I299" s="26"/>
      <c r="J299" s="26"/>
      <c r="W299" s="26"/>
      <c r="X299" s="26"/>
    </row>
    <row r="300" spans="8:24" x14ac:dyDescent="0.2">
      <c r="H300" s="26"/>
      <c r="I300" s="26"/>
      <c r="J300" s="26"/>
      <c r="W300" s="26"/>
      <c r="X300" s="26"/>
    </row>
    <row r="301" spans="8:24" x14ac:dyDescent="0.2">
      <c r="H301" s="26"/>
      <c r="I301" s="26"/>
      <c r="J301" s="26"/>
      <c r="W301" s="26"/>
      <c r="X301" s="26"/>
    </row>
    <row r="302" spans="8:24" x14ac:dyDescent="0.2">
      <c r="H302" s="26"/>
      <c r="I302" s="26"/>
      <c r="J302" s="26"/>
      <c r="W302" s="26"/>
      <c r="X302" s="26"/>
    </row>
    <row r="303" spans="8:24" x14ac:dyDescent="0.2">
      <c r="H303" s="26"/>
      <c r="I303" s="26"/>
      <c r="J303" s="26"/>
      <c r="W303" s="26"/>
      <c r="X303" s="26"/>
    </row>
    <row r="304" spans="8:24" x14ac:dyDescent="0.2">
      <c r="H304" s="26"/>
      <c r="I304" s="26"/>
      <c r="J304" s="26"/>
      <c r="W304" s="26"/>
      <c r="X304" s="26"/>
    </row>
    <row r="305" spans="8:24" x14ac:dyDescent="0.2">
      <c r="H305" s="26"/>
      <c r="I305" s="26"/>
      <c r="J305" s="26"/>
      <c r="W305" s="26"/>
      <c r="X305" s="26"/>
    </row>
    <row r="306" spans="8:24" x14ac:dyDescent="0.2">
      <c r="H306" s="26"/>
      <c r="I306" s="26"/>
      <c r="J306" s="26"/>
      <c r="W306" s="26"/>
      <c r="X306" s="26"/>
    </row>
    <row r="307" spans="8:24" x14ac:dyDescent="0.2">
      <c r="H307" s="26"/>
      <c r="I307" s="26"/>
      <c r="J307" s="26"/>
      <c r="W307" s="26"/>
      <c r="X307" s="26"/>
    </row>
    <row r="308" spans="8:24" x14ac:dyDescent="0.2">
      <c r="H308" s="26"/>
      <c r="I308" s="26"/>
      <c r="J308" s="26"/>
      <c r="W308" s="26"/>
      <c r="X308" s="26"/>
    </row>
    <row r="309" spans="8:24" x14ac:dyDescent="0.2">
      <c r="H309" s="26"/>
      <c r="I309" s="26"/>
      <c r="J309" s="26"/>
      <c r="W309" s="26"/>
      <c r="X309" s="26"/>
    </row>
    <row r="310" spans="8:24" x14ac:dyDescent="0.2">
      <c r="H310" s="26"/>
      <c r="I310" s="26"/>
      <c r="J310" s="26"/>
      <c r="W310" s="26"/>
      <c r="X310" s="26"/>
    </row>
    <row r="311" spans="8:24" x14ac:dyDescent="0.2">
      <c r="H311" s="26"/>
      <c r="I311" s="26"/>
      <c r="J311" s="26"/>
      <c r="W311" s="26"/>
      <c r="X311" s="26"/>
    </row>
    <row r="312" spans="8:24" x14ac:dyDescent="0.2">
      <c r="H312" s="26"/>
      <c r="I312" s="26"/>
      <c r="J312" s="26"/>
      <c r="W312" s="26"/>
      <c r="X312" s="26"/>
    </row>
    <row r="313" spans="8:24" x14ac:dyDescent="0.2">
      <c r="H313" s="26"/>
      <c r="I313" s="26"/>
      <c r="J313" s="26"/>
      <c r="W313" s="26"/>
      <c r="X313" s="26"/>
    </row>
    <row r="314" spans="8:24" x14ac:dyDescent="0.2">
      <c r="H314" s="26"/>
      <c r="I314" s="26"/>
      <c r="J314" s="26"/>
      <c r="W314" s="26"/>
      <c r="X314" s="26"/>
    </row>
    <row r="315" spans="8:24" x14ac:dyDescent="0.2">
      <c r="H315" s="26"/>
      <c r="I315" s="26"/>
      <c r="J315" s="26"/>
      <c r="W315" s="26"/>
      <c r="X315" s="26"/>
    </row>
    <row r="316" spans="8:24" x14ac:dyDescent="0.2">
      <c r="H316" s="26"/>
      <c r="I316" s="26"/>
      <c r="J316" s="26"/>
      <c r="W316" s="26"/>
      <c r="X316" s="26"/>
    </row>
    <row r="317" spans="8:24" x14ac:dyDescent="0.2">
      <c r="H317" s="26"/>
      <c r="I317" s="26"/>
      <c r="J317" s="26"/>
      <c r="W317" s="26"/>
      <c r="X317" s="26"/>
    </row>
    <row r="318" spans="8:24" x14ac:dyDescent="0.2">
      <c r="H318" s="26"/>
      <c r="I318" s="26"/>
      <c r="J318" s="26"/>
      <c r="W318" s="26"/>
      <c r="X318" s="26"/>
    </row>
    <row r="319" spans="8:24" x14ac:dyDescent="0.2">
      <c r="H319" s="26"/>
      <c r="I319" s="26"/>
      <c r="J319" s="26"/>
      <c r="W319" s="26"/>
      <c r="X319" s="26"/>
    </row>
    <row r="320" spans="8:24" x14ac:dyDescent="0.2">
      <c r="H320" s="26"/>
      <c r="I320" s="26"/>
      <c r="J320" s="26"/>
      <c r="W320" s="26"/>
      <c r="X320" s="26"/>
    </row>
    <row r="321" spans="8:24" x14ac:dyDescent="0.2">
      <c r="H321" s="26"/>
      <c r="I321" s="26"/>
      <c r="J321" s="26"/>
      <c r="W321" s="26"/>
      <c r="X321" s="26"/>
    </row>
    <row r="322" spans="8:24" x14ac:dyDescent="0.2">
      <c r="H322" s="26"/>
      <c r="I322" s="26"/>
      <c r="J322" s="26"/>
      <c r="W322" s="26"/>
      <c r="X322" s="26"/>
    </row>
    <row r="323" spans="8:24" x14ac:dyDescent="0.2">
      <c r="H323" s="26"/>
      <c r="I323" s="26"/>
      <c r="J323" s="26"/>
      <c r="W323" s="26"/>
      <c r="X323" s="26"/>
    </row>
    <row r="324" spans="8:24" x14ac:dyDescent="0.2">
      <c r="H324" s="26"/>
      <c r="I324" s="26"/>
      <c r="J324" s="26"/>
      <c r="W324" s="26"/>
      <c r="X324" s="26"/>
    </row>
    <row r="325" spans="8:24" x14ac:dyDescent="0.2">
      <c r="H325" s="26"/>
      <c r="I325" s="26"/>
      <c r="J325" s="26"/>
      <c r="W325" s="26"/>
      <c r="X325" s="26"/>
    </row>
    <row r="326" spans="8:24" x14ac:dyDescent="0.2">
      <c r="H326" s="26"/>
      <c r="I326" s="26"/>
      <c r="J326" s="26"/>
      <c r="W326" s="26"/>
      <c r="X326" s="26"/>
    </row>
    <row r="327" spans="8:24" x14ac:dyDescent="0.2">
      <c r="H327" s="26"/>
      <c r="I327" s="26"/>
      <c r="J327" s="26"/>
      <c r="W327" s="26"/>
      <c r="X327" s="26"/>
    </row>
    <row r="328" spans="8:24" x14ac:dyDescent="0.2">
      <c r="H328" s="26"/>
      <c r="I328" s="26"/>
      <c r="J328" s="26"/>
      <c r="W328" s="26"/>
      <c r="X328" s="26"/>
    </row>
    <row r="329" spans="8:24" x14ac:dyDescent="0.2">
      <c r="H329" s="26"/>
      <c r="I329" s="26"/>
      <c r="J329" s="26"/>
      <c r="W329" s="26"/>
      <c r="X329" s="26"/>
    </row>
    <row r="330" spans="8:24" x14ac:dyDescent="0.2">
      <c r="H330" s="26"/>
      <c r="I330" s="26"/>
      <c r="J330" s="26"/>
      <c r="W330" s="26"/>
      <c r="X330" s="26"/>
    </row>
    <row r="331" spans="8:24" x14ac:dyDescent="0.2">
      <c r="H331" s="26"/>
      <c r="I331" s="26"/>
      <c r="J331" s="26"/>
      <c r="W331" s="26"/>
      <c r="X331" s="26"/>
    </row>
    <row r="332" spans="8:24" x14ac:dyDescent="0.2">
      <c r="H332" s="26"/>
      <c r="I332" s="26"/>
      <c r="J332" s="26"/>
      <c r="W332" s="26"/>
      <c r="X332" s="26"/>
    </row>
    <row r="333" spans="8:24" x14ac:dyDescent="0.2">
      <c r="H333" s="26"/>
      <c r="I333" s="26"/>
      <c r="J333" s="26"/>
      <c r="W333" s="26"/>
      <c r="X333" s="26"/>
    </row>
    <row r="334" spans="8:24" x14ac:dyDescent="0.2">
      <c r="H334" s="26"/>
      <c r="I334" s="26"/>
      <c r="J334" s="26"/>
      <c r="W334" s="26"/>
      <c r="X334" s="26"/>
    </row>
    <row r="335" spans="8:24" x14ac:dyDescent="0.2">
      <c r="H335" s="26"/>
      <c r="I335" s="26"/>
      <c r="J335" s="26"/>
      <c r="W335" s="26"/>
      <c r="X335" s="26"/>
    </row>
    <row r="336" spans="8:24" x14ac:dyDescent="0.2">
      <c r="H336" s="26"/>
      <c r="I336" s="26"/>
      <c r="J336" s="26"/>
      <c r="W336" s="26"/>
      <c r="X336" s="26"/>
    </row>
    <row r="337" spans="8:24" x14ac:dyDescent="0.2">
      <c r="H337" s="26"/>
      <c r="I337" s="26"/>
      <c r="J337" s="26"/>
      <c r="W337" s="26"/>
      <c r="X337" s="26"/>
    </row>
    <row r="338" spans="8:24" x14ac:dyDescent="0.2">
      <c r="H338" s="26"/>
      <c r="I338" s="26"/>
      <c r="J338" s="26"/>
      <c r="W338" s="26"/>
      <c r="X338" s="26"/>
    </row>
    <row r="339" spans="8:24" x14ac:dyDescent="0.2">
      <c r="H339" s="26"/>
      <c r="I339" s="26"/>
      <c r="J339" s="26"/>
      <c r="W339" s="26"/>
      <c r="X339" s="26"/>
    </row>
    <row r="340" spans="8:24" x14ac:dyDescent="0.2">
      <c r="H340" s="26"/>
      <c r="I340" s="26"/>
      <c r="J340" s="26"/>
      <c r="W340" s="26"/>
      <c r="X340" s="26"/>
    </row>
    <row r="341" spans="8:24" x14ac:dyDescent="0.2">
      <c r="H341" s="26"/>
      <c r="I341" s="26"/>
      <c r="J341" s="26"/>
      <c r="W341" s="26"/>
      <c r="X341" s="26"/>
    </row>
    <row r="342" spans="8:24" x14ac:dyDescent="0.2">
      <c r="H342" s="26"/>
      <c r="I342" s="26"/>
      <c r="J342" s="26"/>
      <c r="W342" s="26"/>
      <c r="X342" s="26"/>
    </row>
    <row r="343" spans="8:24" x14ac:dyDescent="0.2">
      <c r="H343" s="26"/>
      <c r="I343" s="26"/>
      <c r="J343" s="26"/>
      <c r="W343" s="26"/>
      <c r="X343" s="26"/>
    </row>
    <row r="344" spans="8:24" x14ac:dyDescent="0.2">
      <c r="H344" s="26"/>
      <c r="I344" s="26"/>
      <c r="J344" s="26"/>
      <c r="W344" s="26"/>
      <c r="X344" s="26"/>
    </row>
    <row r="345" spans="8:24" x14ac:dyDescent="0.2">
      <c r="H345" s="26"/>
      <c r="I345" s="26"/>
      <c r="J345" s="26"/>
      <c r="W345" s="26"/>
      <c r="X345" s="26"/>
    </row>
    <row r="346" spans="8:24" x14ac:dyDescent="0.2">
      <c r="H346" s="26"/>
      <c r="I346" s="26"/>
      <c r="J346" s="26"/>
      <c r="W346" s="26"/>
      <c r="X346" s="26"/>
    </row>
    <row r="347" spans="8:24" x14ac:dyDescent="0.2">
      <c r="H347" s="26"/>
      <c r="I347" s="26"/>
      <c r="J347" s="26"/>
      <c r="W347" s="26"/>
      <c r="X347" s="26"/>
    </row>
    <row r="348" spans="8:24" x14ac:dyDescent="0.2">
      <c r="H348" s="26"/>
      <c r="I348" s="26"/>
      <c r="J348" s="26"/>
      <c r="W348" s="26"/>
      <c r="X348" s="26"/>
    </row>
    <row r="349" spans="8:24" x14ac:dyDescent="0.2">
      <c r="H349" s="26"/>
      <c r="I349" s="26"/>
      <c r="J349" s="26"/>
      <c r="W349" s="26"/>
      <c r="X349" s="26"/>
    </row>
    <row r="350" spans="8:24" x14ac:dyDescent="0.2">
      <c r="H350" s="26"/>
      <c r="I350" s="26"/>
      <c r="J350" s="26"/>
      <c r="W350" s="26"/>
      <c r="X350" s="26"/>
    </row>
    <row r="351" spans="8:24" x14ac:dyDescent="0.2">
      <c r="H351" s="26"/>
      <c r="I351" s="26"/>
      <c r="J351" s="26"/>
      <c r="W351" s="26"/>
      <c r="X351" s="26"/>
    </row>
    <row r="352" spans="8:24" x14ac:dyDescent="0.2">
      <c r="H352" s="26"/>
      <c r="I352" s="26"/>
      <c r="J352" s="26"/>
      <c r="W352" s="26"/>
      <c r="X352" s="26"/>
    </row>
    <row r="353" spans="8:24" x14ac:dyDescent="0.2">
      <c r="H353" s="26"/>
      <c r="I353" s="26"/>
      <c r="J353" s="26"/>
      <c r="W353" s="26"/>
      <c r="X353" s="26"/>
    </row>
    <row r="354" spans="8:24" x14ac:dyDescent="0.2">
      <c r="H354" s="26"/>
      <c r="I354" s="26"/>
      <c r="J354" s="26"/>
      <c r="W354" s="26"/>
      <c r="X354" s="26"/>
    </row>
    <row r="355" spans="8:24" x14ac:dyDescent="0.2">
      <c r="H355" s="26"/>
      <c r="I355" s="26"/>
      <c r="J355" s="26"/>
      <c r="W355" s="26"/>
      <c r="X355" s="26"/>
    </row>
    <row r="356" spans="8:24" x14ac:dyDescent="0.2">
      <c r="H356" s="26"/>
      <c r="I356" s="26"/>
      <c r="J356" s="26"/>
      <c r="W356" s="26"/>
      <c r="X356" s="26"/>
    </row>
    <row r="357" spans="8:24" x14ac:dyDescent="0.2">
      <c r="H357" s="26"/>
      <c r="I357" s="26"/>
      <c r="J357" s="26"/>
      <c r="W357" s="26"/>
      <c r="X357" s="26"/>
    </row>
    <row r="358" spans="8:24" x14ac:dyDescent="0.2">
      <c r="H358" s="26"/>
      <c r="I358" s="26"/>
      <c r="J358" s="26"/>
      <c r="W358" s="26"/>
      <c r="X358" s="26"/>
    </row>
    <row r="359" spans="8:24" x14ac:dyDescent="0.2">
      <c r="H359" s="26"/>
      <c r="I359" s="26"/>
      <c r="J359" s="26"/>
      <c r="W359" s="26"/>
      <c r="X359" s="26"/>
    </row>
    <row r="360" spans="8:24" x14ac:dyDescent="0.2">
      <c r="H360" s="26"/>
      <c r="I360" s="26"/>
      <c r="J360" s="26"/>
      <c r="W360" s="26"/>
      <c r="X360" s="26"/>
    </row>
    <row r="361" spans="8:24" x14ac:dyDescent="0.2">
      <c r="H361" s="26"/>
      <c r="I361" s="26"/>
      <c r="J361" s="26"/>
      <c r="W361" s="26"/>
      <c r="X361" s="26"/>
    </row>
    <row r="362" spans="8:24" x14ac:dyDescent="0.2">
      <c r="H362" s="26"/>
      <c r="I362" s="26"/>
      <c r="J362" s="26"/>
      <c r="W362" s="26"/>
      <c r="X362" s="26"/>
    </row>
    <row r="363" spans="8:24" x14ac:dyDescent="0.2">
      <c r="H363" s="26"/>
      <c r="I363" s="26"/>
      <c r="J363" s="26"/>
      <c r="W363" s="26"/>
      <c r="X363" s="26"/>
    </row>
    <row r="364" spans="8:24" x14ac:dyDescent="0.2">
      <c r="H364" s="26"/>
      <c r="I364" s="26"/>
      <c r="J364" s="26"/>
      <c r="W364" s="26"/>
      <c r="X364" s="26"/>
    </row>
    <row r="365" spans="8:24" x14ac:dyDescent="0.2">
      <c r="H365" s="26"/>
      <c r="I365" s="26"/>
      <c r="J365" s="26"/>
      <c r="W365" s="26"/>
      <c r="X365" s="26"/>
    </row>
    <row r="366" spans="8:24" x14ac:dyDescent="0.2">
      <c r="H366" s="26"/>
      <c r="I366" s="26"/>
      <c r="J366" s="26"/>
      <c r="W366" s="26"/>
      <c r="X366" s="26"/>
    </row>
    <row r="367" spans="8:24" x14ac:dyDescent="0.2">
      <c r="H367" s="26"/>
      <c r="I367" s="26"/>
      <c r="J367" s="26"/>
      <c r="W367" s="26"/>
      <c r="X367" s="26"/>
    </row>
    <row r="368" spans="8:24" x14ac:dyDescent="0.2">
      <c r="H368" s="26"/>
      <c r="I368" s="26"/>
      <c r="J368" s="26"/>
      <c r="W368" s="26"/>
      <c r="X368" s="26"/>
    </row>
    <row r="369" spans="8:24" x14ac:dyDescent="0.2">
      <c r="H369" s="26"/>
      <c r="I369" s="26"/>
      <c r="J369" s="26"/>
      <c r="W369" s="26"/>
      <c r="X369" s="26"/>
    </row>
    <row r="370" spans="8:24" x14ac:dyDescent="0.2">
      <c r="H370" s="26"/>
      <c r="I370" s="26"/>
      <c r="J370" s="26"/>
      <c r="W370" s="26"/>
      <c r="X370" s="26"/>
    </row>
    <row r="371" spans="8:24" x14ac:dyDescent="0.2">
      <c r="H371" s="26"/>
      <c r="I371" s="26"/>
      <c r="J371" s="26"/>
      <c r="W371" s="26"/>
      <c r="X371" s="26"/>
    </row>
    <row r="372" spans="8:24" x14ac:dyDescent="0.2">
      <c r="H372" s="26"/>
      <c r="I372" s="26"/>
      <c r="J372" s="26"/>
      <c r="W372" s="26"/>
      <c r="X372" s="26"/>
    </row>
    <row r="373" spans="8:24" x14ac:dyDescent="0.2">
      <c r="H373" s="26"/>
      <c r="I373" s="26"/>
      <c r="J373" s="26"/>
      <c r="W373" s="26"/>
      <c r="X373" s="26"/>
    </row>
    <row r="374" spans="8:24" x14ac:dyDescent="0.2">
      <c r="H374" s="26"/>
      <c r="I374" s="26"/>
      <c r="J374" s="26"/>
      <c r="W374" s="26"/>
      <c r="X374" s="26"/>
    </row>
    <row r="375" spans="8:24" x14ac:dyDescent="0.2">
      <c r="H375" s="26"/>
      <c r="I375" s="26"/>
      <c r="J375" s="26"/>
      <c r="W375" s="26"/>
      <c r="X375" s="26"/>
    </row>
    <row r="376" spans="8:24" x14ac:dyDescent="0.2">
      <c r="H376" s="26"/>
      <c r="I376" s="26"/>
      <c r="J376" s="26"/>
      <c r="W376" s="26"/>
      <c r="X376" s="26"/>
    </row>
    <row r="377" spans="8:24" x14ac:dyDescent="0.2">
      <c r="H377" s="26"/>
      <c r="I377" s="26"/>
      <c r="J377" s="26"/>
      <c r="W377" s="26"/>
      <c r="X377" s="26"/>
    </row>
    <row r="378" spans="8:24" x14ac:dyDescent="0.2">
      <c r="H378" s="26"/>
      <c r="I378" s="26"/>
      <c r="J378" s="26"/>
      <c r="W378" s="26"/>
      <c r="X378" s="26"/>
    </row>
    <row r="379" spans="8:24" x14ac:dyDescent="0.2">
      <c r="H379" s="26"/>
      <c r="I379" s="26"/>
      <c r="J379" s="26"/>
      <c r="W379" s="26"/>
      <c r="X379" s="26"/>
    </row>
    <row r="380" spans="8:24" x14ac:dyDescent="0.2">
      <c r="H380" s="26"/>
      <c r="I380" s="26"/>
      <c r="J380" s="26"/>
      <c r="W380" s="26"/>
      <c r="X380" s="26"/>
    </row>
    <row r="381" spans="8:24" x14ac:dyDescent="0.2">
      <c r="H381" s="26"/>
      <c r="I381" s="26"/>
      <c r="J381" s="26"/>
      <c r="W381" s="26"/>
      <c r="X381" s="26"/>
    </row>
    <row r="382" spans="8:24" x14ac:dyDescent="0.2">
      <c r="H382" s="26"/>
      <c r="I382" s="26"/>
      <c r="J382" s="26"/>
      <c r="W382" s="26"/>
      <c r="X382" s="26"/>
    </row>
    <row r="383" spans="8:24" x14ac:dyDescent="0.2">
      <c r="H383" s="26"/>
      <c r="I383" s="26"/>
      <c r="J383" s="26"/>
      <c r="W383" s="26"/>
      <c r="X383" s="26"/>
    </row>
    <row r="384" spans="8:24" x14ac:dyDescent="0.2">
      <c r="H384" s="26"/>
      <c r="I384" s="26"/>
      <c r="J384" s="26"/>
      <c r="W384" s="26"/>
      <c r="X384" s="26"/>
    </row>
    <row r="385" spans="8:24" x14ac:dyDescent="0.2">
      <c r="H385" s="26"/>
      <c r="I385" s="26"/>
      <c r="J385" s="26"/>
      <c r="W385" s="26"/>
      <c r="X385" s="26"/>
    </row>
    <row r="386" spans="8:24" x14ac:dyDescent="0.2">
      <c r="H386" s="26"/>
      <c r="I386" s="26"/>
      <c r="J386" s="26"/>
      <c r="W386" s="26"/>
      <c r="X386" s="26"/>
    </row>
    <row r="387" spans="8:24" x14ac:dyDescent="0.2">
      <c r="H387" s="26"/>
      <c r="I387" s="26"/>
      <c r="J387" s="26"/>
      <c r="W387" s="26"/>
      <c r="X387" s="26"/>
    </row>
    <row r="388" spans="8:24" x14ac:dyDescent="0.2">
      <c r="H388" s="26"/>
      <c r="I388" s="26"/>
      <c r="J388" s="26"/>
      <c r="W388" s="26"/>
      <c r="X388" s="26"/>
    </row>
    <row r="389" spans="8:24" x14ac:dyDescent="0.2">
      <c r="H389" s="26"/>
      <c r="I389" s="26"/>
      <c r="J389" s="26"/>
      <c r="W389" s="26"/>
      <c r="X389" s="26"/>
    </row>
    <row r="390" spans="8:24" x14ac:dyDescent="0.2">
      <c r="H390" s="26"/>
      <c r="I390" s="26"/>
      <c r="J390" s="26"/>
      <c r="W390" s="26"/>
      <c r="X390" s="26"/>
    </row>
    <row r="391" spans="8:24" x14ac:dyDescent="0.2">
      <c r="H391" s="26"/>
      <c r="I391" s="26"/>
      <c r="J391" s="26"/>
      <c r="W391" s="26"/>
      <c r="X391" s="26"/>
    </row>
    <row r="392" spans="8:24" x14ac:dyDescent="0.2">
      <c r="H392" s="26"/>
      <c r="I392" s="26"/>
      <c r="J392" s="26"/>
      <c r="W392" s="26"/>
      <c r="X392" s="26"/>
    </row>
    <row r="393" spans="8:24" x14ac:dyDescent="0.2">
      <c r="H393" s="26"/>
      <c r="I393" s="26"/>
      <c r="J393" s="26"/>
      <c r="W393" s="26"/>
      <c r="X393" s="26"/>
    </row>
    <row r="394" spans="8:24" x14ac:dyDescent="0.2">
      <c r="H394" s="26"/>
      <c r="I394" s="26"/>
      <c r="J394" s="26"/>
      <c r="W394" s="26"/>
      <c r="X394" s="26"/>
    </row>
    <row r="395" spans="8:24" x14ac:dyDescent="0.2">
      <c r="H395" s="26"/>
      <c r="I395" s="26"/>
      <c r="J395" s="26"/>
      <c r="W395" s="26"/>
      <c r="X395" s="26"/>
    </row>
    <row r="396" spans="8:24" x14ac:dyDescent="0.2">
      <c r="H396" s="26"/>
      <c r="I396" s="26"/>
      <c r="J396" s="26"/>
      <c r="W396" s="26"/>
      <c r="X396" s="26"/>
    </row>
    <row r="397" spans="8:24" x14ac:dyDescent="0.2">
      <c r="H397" s="26"/>
      <c r="I397" s="26"/>
      <c r="J397" s="26"/>
      <c r="W397" s="26"/>
      <c r="X397" s="26"/>
    </row>
    <row r="398" spans="8:24" x14ac:dyDescent="0.2">
      <c r="H398" s="26"/>
      <c r="I398" s="26"/>
      <c r="J398" s="26"/>
      <c r="W398" s="26"/>
      <c r="X398" s="26"/>
    </row>
    <row r="399" spans="8:24" x14ac:dyDescent="0.2">
      <c r="H399" s="26"/>
      <c r="I399" s="26"/>
      <c r="J399" s="26"/>
      <c r="W399" s="26"/>
      <c r="X399" s="26"/>
    </row>
    <row r="400" spans="8:24" x14ac:dyDescent="0.2">
      <c r="H400" s="26"/>
      <c r="I400" s="26"/>
      <c r="J400" s="26"/>
      <c r="W400" s="26"/>
      <c r="X400" s="26"/>
    </row>
    <row r="401" spans="8:24" x14ac:dyDescent="0.2">
      <c r="H401" s="26"/>
      <c r="I401" s="26"/>
      <c r="J401" s="26"/>
      <c r="W401" s="26"/>
      <c r="X401" s="26"/>
    </row>
    <row r="402" spans="8:24" x14ac:dyDescent="0.2">
      <c r="H402" s="26"/>
      <c r="I402" s="26"/>
      <c r="J402" s="26"/>
      <c r="W402" s="26"/>
      <c r="X402" s="26"/>
    </row>
    <row r="403" spans="8:24" x14ac:dyDescent="0.2">
      <c r="H403" s="26"/>
      <c r="I403" s="26"/>
      <c r="J403" s="26"/>
      <c r="W403" s="26"/>
      <c r="X403" s="26"/>
    </row>
    <row r="404" spans="8:24" x14ac:dyDescent="0.2">
      <c r="H404" s="26"/>
      <c r="I404" s="26"/>
      <c r="J404" s="26"/>
      <c r="W404" s="26"/>
      <c r="X404" s="26"/>
    </row>
    <row r="405" spans="8:24" x14ac:dyDescent="0.2">
      <c r="H405" s="26"/>
      <c r="I405" s="26"/>
      <c r="J405" s="26"/>
      <c r="W405" s="26"/>
      <c r="X405" s="26"/>
    </row>
    <row r="406" spans="8:24" x14ac:dyDescent="0.2">
      <c r="H406" s="26"/>
      <c r="I406" s="26"/>
      <c r="J406" s="26"/>
      <c r="W406" s="26"/>
      <c r="X406" s="26"/>
    </row>
    <row r="407" spans="8:24" x14ac:dyDescent="0.2">
      <c r="H407" s="26"/>
      <c r="I407" s="26"/>
      <c r="J407" s="26"/>
      <c r="W407" s="26"/>
      <c r="X407" s="26"/>
    </row>
    <row r="408" spans="8:24" x14ac:dyDescent="0.2">
      <c r="H408" s="26"/>
      <c r="I408" s="26"/>
      <c r="J408" s="26"/>
      <c r="W408" s="26"/>
      <c r="X408" s="26"/>
    </row>
    <row r="409" spans="8:24" x14ac:dyDescent="0.2">
      <c r="H409" s="26"/>
      <c r="I409" s="26"/>
      <c r="J409" s="26"/>
      <c r="W409" s="26"/>
      <c r="X409" s="26"/>
    </row>
    <row r="410" spans="8:24" x14ac:dyDescent="0.2">
      <c r="H410" s="26"/>
      <c r="I410" s="26"/>
      <c r="J410" s="26"/>
      <c r="W410" s="26"/>
      <c r="X410" s="26"/>
    </row>
    <row r="411" spans="8:24" x14ac:dyDescent="0.2">
      <c r="H411" s="26"/>
      <c r="I411" s="26"/>
      <c r="J411" s="26"/>
      <c r="W411" s="26"/>
      <c r="X411" s="26"/>
    </row>
    <row r="412" spans="8:24" x14ac:dyDescent="0.2">
      <c r="H412" s="26"/>
      <c r="I412" s="26"/>
      <c r="J412" s="26"/>
      <c r="W412" s="26"/>
      <c r="X412" s="26"/>
    </row>
    <row r="413" spans="8:24" x14ac:dyDescent="0.2">
      <c r="H413" s="26"/>
      <c r="I413" s="26"/>
      <c r="J413" s="26"/>
      <c r="W413" s="26"/>
      <c r="X413" s="26"/>
    </row>
    <row r="414" spans="8:24" x14ac:dyDescent="0.2">
      <c r="H414" s="26"/>
      <c r="I414" s="26"/>
      <c r="J414" s="26"/>
      <c r="W414" s="26"/>
      <c r="X414" s="26"/>
    </row>
    <row r="415" spans="8:24" x14ac:dyDescent="0.2">
      <c r="H415" s="26"/>
      <c r="I415" s="26"/>
      <c r="J415" s="26"/>
      <c r="W415" s="26"/>
      <c r="X415" s="26"/>
    </row>
    <row r="416" spans="8:24" x14ac:dyDescent="0.2">
      <c r="H416" s="26"/>
      <c r="I416" s="26"/>
      <c r="J416" s="26"/>
      <c r="W416" s="26"/>
      <c r="X416" s="26"/>
    </row>
    <row r="417" spans="8:24" x14ac:dyDescent="0.2">
      <c r="H417" s="26"/>
      <c r="I417" s="26"/>
      <c r="J417" s="26"/>
      <c r="W417" s="26"/>
      <c r="X417" s="26"/>
    </row>
    <row r="418" spans="8:24" x14ac:dyDescent="0.2">
      <c r="H418" s="26"/>
      <c r="I418" s="26"/>
      <c r="J418" s="26"/>
      <c r="W418" s="26"/>
      <c r="X418" s="26"/>
    </row>
    <row r="419" spans="8:24" x14ac:dyDescent="0.2">
      <c r="H419" s="26"/>
      <c r="I419" s="26"/>
      <c r="J419" s="26"/>
      <c r="W419" s="26"/>
      <c r="X419" s="26"/>
    </row>
    <row r="420" spans="8:24" x14ac:dyDescent="0.2">
      <c r="H420" s="26"/>
      <c r="I420" s="26"/>
      <c r="J420" s="26"/>
      <c r="W420" s="26"/>
      <c r="X420" s="26"/>
    </row>
    <row r="421" spans="8:24" x14ac:dyDescent="0.2">
      <c r="H421" s="26"/>
      <c r="I421" s="26"/>
      <c r="J421" s="26"/>
      <c r="W421" s="26"/>
      <c r="X421" s="26"/>
    </row>
    <row r="422" spans="8:24" x14ac:dyDescent="0.2">
      <c r="H422" s="26"/>
      <c r="I422" s="26"/>
      <c r="J422" s="26"/>
      <c r="W422" s="26"/>
      <c r="X422" s="26"/>
    </row>
    <row r="423" spans="8:24" x14ac:dyDescent="0.2">
      <c r="H423" s="26"/>
      <c r="I423" s="26"/>
      <c r="J423" s="26"/>
      <c r="W423" s="26"/>
      <c r="X423" s="26"/>
    </row>
    <row r="424" spans="8:24" x14ac:dyDescent="0.2">
      <c r="H424" s="26"/>
      <c r="I424" s="26"/>
      <c r="J424" s="26"/>
      <c r="W424" s="26"/>
      <c r="X424" s="26"/>
    </row>
    <row r="425" spans="8:24" x14ac:dyDescent="0.2">
      <c r="H425" s="26"/>
      <c r="I425" s="26"/>
      <c r="J425" s="26"/>
      <c r="W425" s="26"/>
      <c r="X425" s="26"/>
    </row>
    <row r="426" spans="8:24" x14ac:dyDescent="0.2">
      <c r="H426" s="26"/>
      <c r="I426" s="26"/>
      <c r="J426" s="26"/>
      <c r="W426" s="26"/>
      <c r="X426" s="26"/>
    </row>
    <row r="427" spans="8:24" x14ac:dyDescent="0.2">
      <c r="H427" s="26"/>
      <c r="I427" s="26"/>
      <c r="J427" s="26"/>
      <c r="W427" s="26"/>
      <c r="X427" s="26"/>
    </row>
    <row r="428" spans="8:24" x14ac:dyDescent="0.2">
      <c r="H428" s="26"/>
      <c r="I428" s="26"/>
      <c r="J428" s="26"/>
      <c r="W428" s="26"/>
      <c r="X428" s="26"/>
    </row>
    <row r="429" spans="8:24" x14ac:dyDescent="0.2">
      <c r="H429" s="26"/>
      <c r="I429" s="26"/>
      <c r="J429" s="26"/>
      <c r="W429" s="26"/>
      <c r="X429" s="26"/>
    </row>
    <row r="430" spans="8:24" x14ac:dyDescent="0.2">
      <c r="H430" s="26"/>
      <c r="I430" s="26"/>
      <c r="J430" s="26"/>
      <c r="W430" s="26"/>
      <c r="X430" s="26"/>
    </row>
    <row r="431" spans="8:24" x14ac:dyDescent="0.2">
      <c r="H431" s="26"/>
      <c r="I431" s="26"/>
      <c r="J431" s="26"/>
      <c r="W431" s="26"/>
      <c r="X431" s="26"/>
    </row>
    <row r="432" spans="8:24" x14ac:dyDescent="0.2">
      <c r="H432" s="26"/>
      <c r="I432" s="26"/>
      <c r="J432" s="26"/>
      <c r="W432" s="26"/>
      <c r="X432" s="26"/>
    </row>
    <row r="433" spans="8:24" x14ac:dyDescent="0.2">
      <c r="H433" s="26"/>
      <c r="I433" s="26"/>
      <c r="J433" s="26"/>
      <c r="W433" s="26"/>
      <c r="X433" s="26"/>
    </row>
    <row r="434" spans="8:24" x14ac:dyDescent="0.2">
      <c r="H434" s="26"/>
      <c r="I434" s="26"/>
      <c r="J434" s="26"/>
      <c r="W434" s="26"/>
      <c r="X434" s="26"/>
    </row>
    <row r="435" spans="8:24" x14ac:dyDescent="0.2">
      <c r="H435" s="26"/>
      <c r="I435" s="26"/>
      <c r="J435" s="26"/>
      <c r="W435" s="26"/>
      <c r="X435" s="26"/>
    </row>
    <row r="436" spans="8:24" x14ac:dyDescent="0.2">
      <c r="H436" s="26"/>
      <c r="I436" s="26"/>
      <c r="J436" s="26"/>
      <c r="W436" s="26"/>
      <c r="X436" s="26"/>
    </row>
    <row r="437" spans="8:24" x14ac:dyDescent="0.2">
      <c r="H437" s="26"/>
      <c r="I437" s="26"/>
      <c r="J437" s="26"/>
      <c r="W437" s="26"/>
      <c r="X437" s="26"/>
    </row>
    <row r="438" spans="8:24" x14ac:dyDescent="0.2">
      <c r="H438" s="26"/>
      <c r="I438" s="26"/>
      <c r="J438" s="26"/>
      <c r="W438" s="26"/>
      <c r="X438" s="26"/>
    </row>
    <row r="439" spans="8:24" x14ac:dyDescent="0.2">
      <c r="H439" s="26"/>
      <c r="I439" s="26"/>
      <c r="J439" s="26"/>
      <c r="W439" s="26"/>
      <c r="X439" s="26"/>
    </row>
    <row r="440" spans="8:24" x14ac:dyDescent="0.2">
      <c r="H440" s="26"/>
      <c r="I440" s="26"/>
      <c r="J440" s="26"/>
      <c r="W440" s="26"/>
      <c r="X440" s="26"/>
    </row>
    <row r="441" spans="8:24" x14ac:dyDescent="0.2">
      <c r="H441" s="26"/>
      <c r="I441" s="26"/>
      <c r="J441" s="26"/>
      <c r="W441" s="26"/>
      <c r="X441" s="26"/>
    </row>
    <row r="442" spans="8:24" x14ac:dyDescent="0.2">
      <c r="H442" s="26"/>
      <c r="I442" s="26"/>
      <c r="J442" s="26"/>
      <c r="W442" s="26"/>
      <c r="X442" s="26"/>
    </row>
    <row r="443" spans="8:24" x14ac:dyDescent="0.2">
      <c r="H443" s="26"/>
      <c r="I443" s="26"/>
      <c r="J443" s="26"/>
      <c r="W443" s="26"/>
      <c r="X443" s="26"/>
    </row>
    <row r="444" spans="8:24" x14ac:dyDescent="0.2">
      <c r="H444" s="26"/>
      <c r="I444" s="26"/>
      <c r="J444" s="26"/>
      <c r="W444" s="26"/>
      <c r="X444" s="26"/>
    </row>
    <row r="445" spans="8:24" x14ac:dyDescent="0.2">
      <c r="H445" s="26"/>
      <c r="I445" s="26"/>
      <c r="J445" s="26"/>
      <c r="W445" s="26"/>
      <c r="X445" s="26"/>
    </row>
    <row r="446" spans="8:24" x14ac:dyDescent="0.2">
      <c r="H446" s="26"/>
      <c r="I446" s="26"/>
      <c r="J446" s="26"/>
      <c r="W446" s="26"/>
      <c r="X446" s="26"/>
    </row>
    <row r="447" spans="8:24" x14ac:dyDescent="0.2">
      <c r="H447" s="26"/>
      <c r="I447" s="26"/>
      <c r="J447" s="26"/>
      <c r="W447" s="26"/>
      <c r="X447" s="26"/>
    </row>
    <row r="448" spans="8:24" x14ac:dyDescent="0.2">
      <c r="H448" s="26"/>
      <c r="I448" s="26"/>
      <c r="J448" s="26"/>
      <c r="W448" s="26"/>
      <c r="X448" s="26"/>
    </row>
    <row r="449" spans="8:24" x14ac:dyDescent="0.2">
      <c r="H449" s="26"/>
      <c r="I449" s="26"/>
      <c r="J449" s="26"/>
      <c r="W449" s="26"/>
      <c r="X449" s="26"/>
    </row>
    <row r="450" spans="8:24" x14ac:dyDescent="0.2">
      <c r="H450" s="26"/>
      <c r="I450" s="26"/>
      <c r="J450" s="26"/>
      <c r="W450" s="26"/>
      <c r="X450" s="26"/>
    </row>
    <row r="451" spans="8:24" x14ac:dyDescent="0.2">
      <c r="H451" s="26"/>
      <c r="I451" s="26"/>
      <c r="J451" s="26"/>
      <c r="W451" s="26"/>
      <c r="X451" s="26"/>
    </row>
    <row r="452" spans="8:24" x14ac:dyDescent="0.2">
      <c r="H452" s="26"/>
      <c r="I452" s="26"/>
      <c r="J452" s="26"/>
      <c r="W452" s="26"/>
      <c r="X452" s="26"/>
    </row>
    <row r="453" spans="8:24" x14ac:dyDescent="0.2">
      <c r="H453" s="26"/>
      <c r="I453" s="26"/>
      <c r="J453" s="26"/>
      <c r="W453" s="26"/>
      <c r="X453" s="26"/>
    </row>
    <row r="454" spans="8:24" x14ac:dyDescent="0.2">
      <c r="H454" s="26"/>
      <c r="I454" s="26"/>
      <c r="J454" s="26"/>
      <c r="W454" s="26"/>
      <c r="X454" s="26"/>
    </row>
    <row r="455" spans="8:24" x14ac:dyDescent="0.2">
      <c r="H455" s="26"/>
      <c r="I455" s="26"/>
      <c r="J455" s="26"/>
      <c r="W455" s="26"/>
      <c r="X455" s="26"/>
    </row>
    <row r="456" spans="8:24" x14ac:dyDescent="0.2">
      <c r="H456" s="26"/>
      <c r="I456" s="26"/>
      <c r="J456" s="26"/>
      <c r="W456" s="26"/>
      <c r="X456" s="26"/>
    </row>
    <row r="457" spans="8:24" x14ac:dyDescent="0.2">
      <c r="H457" s="26"/>
      <c r="I457" s="26"/>
      <c r="J457" s="26"/>
      <c r="W457" s="26"/>
      <c r="X457" s="26"/>
    </row>
    <row r="458" spans="8:24" x14ac:dyDescent="0.2">
      <c r="H458" s="26"/>
      <c r="I458" s="26"/>
      <c r="J458" s="26"/>
      <c r="W458" s="26"/>
      <c r="X458" s="26"/>
    </row>
    <row r="459" spans="8:24" x14ac:dyDescent="0.2">
      <c r="H459" s="26"/>
      <c r="I459" s="26"/>
      <c r="J459" s="26"/>
      <c r="W459" s="26"/>
      <c r="X459" s="26"/>
    </row>
    <row r="460" spans="8:24" x14ac:dyDescent="0.2">
      <c r="H460" s="26"/>
      <c r="I460" s="26"/>
      <c r="J460" s="26"/>
      <c r="W460" s="26"/>
      <c r="X460" s="26"/>
    </row>
    <row r="461" spans="8:24" x14ac:dyDescent="0.2">
      <c r="H461" s="26"/>
      <c r="I461" s="26"/>
      <c r="J461" s="26"/>
      <c r="W461" s="26"/>
      <c r="X461" s="26"/>
    </row>
    <row r="462" spans="8:24" x14ac:dyDescent="0.2">
      <c r="H462" s="26"/>
      <c r="I462" s="26"/>
      <c r="J462" s="26"/>
      <c r="W462" s="26"/>
      <c r="X462" s="26"/>
    </row>
    <row r="463" spans="8:24" x14ac:dyDescent="0.2">
      <c r="H463" s="26"/>
      <c r="I463" s="26"/>
      <c r="J463" s="26"/>
      <c r="W463" s="26"/>
      <c r="X463" s="26"/>
    </row>
    <row r="464" spans="8:24" x14ac:dyDescent="0.2">
      <c r="H464" s="26"/>
      <c r="I464" s="26"/>
      <c r="J464" s="26"/>
      <c r="W464" s="26"/>
      <c r="X464" s="26"/>
    </row>
    <row r="465" spans="8:24" x14ac:dyDescent="0.2">
      <c r="H465" s="26"/>
      <c r="I465" s="26"/>
      <c r="J465" s="26"/>
      <c r="W465" s="26"/>
      <c r="X465" s="26"/>
    </row>
    <row r="466" spans="8:24" x14ac:dyDescent="0.2">
      <c r="H466" s="26"/>
      <c r="I466" s="26"/>
      <c r="J466" s="26"/>
      <c r="W466" s="26"/>
      <c r="X466" s="26"/>
    </row>
    <row r="467" spans="8:24" x14ac:dyDescent="0.2">
      <c r="H467" s="26"/>
      <c r="I467" s="26"/>
      <c r="J467" s="26"/>
      <c r="W467" s="26"/>
      <c r="X467" s="26"/>
    </row>
    <row r="468" spans="8:24" x14ac:dyDescent="0.2">
      <c r="H468" s="26"/>
      <c r="I468" s="26"/>
      <c r="J468" s="26"/>
      <c r="W468" s="26"/>
      <c r="X468" s="26"/>
    </row>
    <row r="469" spans="8:24" x14ac:dyDescent="0.2">
      <c r="H469" s="26"/>
      <c r="I469" s="26"/>
      <c r="J469" s="26"/>
      <c r="W469" s="26"/>
      <c r="X469" s="26"/>
    </row>
    <row r="470" spans="8:24" x14ac:dyDescent="0.2">
      <c r="H470" s="26"/>
      <c r="I470" s="26"/>
      <c r="J470" s="26"/>
      <c r="W470" s="26"/>
      <c r="X470" s="26"/>
    </row>
    <row r="471" spans="8:24" x14ac:dyDescent="0.2">
      <c r="H471" s="26"/>
      <c r="I471" s="26"/>
      <c r="J471" s="26"/>
      <c r="W471" s="26"/>
      <c r="X471" s="26"/>
    </row>
    <row r="472" spans="8:24" x14ac:dyDescent="0.2">
      <c r="H472" s="26"/>
      <c r="I472" s="26"/>
      <c r="J472" s="26"/>
      <c r="W472" s="26"/>
      <c r="X472" s="26"/>
    </row>
    <row r="473" spans="8:24" x14ac:dyDescent="0.2">
      <c r="H473" s="26"/>
      <c r="I473" s="26"/>
      <c r="J473" s="26"/>
      <c r="W473" s="26"/>
      <c r="X473" s="26"/>
    </row>
    <row r="474" spans="8:24" x14ac:dyDescent="0.2">
      <c r="H474" s="26"/>
      <c r="I474" s="26"/>
      <c r="J474" s="26"/>
      <c r="W474" s="26"/>
      <c r="X474" s="26"/>
    </row>
    <row r="475" spans="8:24" x14ac:dyDescent="0.2">
      <c r="H475" s="26"/>
      <c r="I475" s="26"/>
      <c r="J475" s="26"/>
      <c r="W475" s="26"/>
      <c r="X475" s="26"/>
    </row>
    <row r="476" spans="8:24" x14ac:dyDescent="0.2">
      <c r="H476" s="26"/>
      <c r="I476" s="26"/>
      <c r="J476" s="26"/>
      <c r="W476" s="26"/>
      <c r="X476" s="26"/>
    </row>
    <row r="477" spans="8:24" x14ac:dyDescent="0.2">
      <c r="H477" s="26"/>
      <c r="I477" s="26"/>
      <c r="J477" s="26"/>
      <c r="W477" s="26"/>
      <c r="X477" s="26"/>
    </row>
    <row r="478" spans="8:24" x14ac:dyDescent="0.2">
      <c r="H478" s="26"/>
      <c r="I478" s="26"/>
      <c r="J478" s="26"/>
      <c r="W478" s="26"/>
      <c r="X478" s="26"/>
    </row>
    <row r="479" spans="8:24" x14ac:dyDescent="0.2">
      <c r="H479" s="26"/>
      <c r="I479" s="26"/>
      <c r="J479" s="26"/>
      <c r="W479" s="26"/>
      <c r="X479" s="26"/>
    </row>
    <row r="480" spans="8:24" x14ac:dyDescent="0.2">
      <c r="H480" s="26"/>
      <c r="I480" s="26"/>
      <c r="J480" s="26"/>
      <c r="W480" s="26"/>
      <c r="X480" s="26"/>
    </row>
    <row r="481" spans="8:24" x14ac:dyDescent="0.2">
      <c r="H481" s="26"/>
      <c r="I481" s="26"/>
      <c r="J481" s="26"/>
      <c r="W481" s="26"/>
      <c r="X481" s="26"/>
    </row>
    <row r="482" spans="8:24" x14ac:dyDescent="0.2">
      <c r="H482" s="26"/>
      <c r="I482" s="26"/>
      <c r="J482" s="26"/>
      <c r="W482" s="26"/>
      <c r="X482" s="26"/>
    </row>
    <row r="483" spans="8:24" x14ac:dyDescent="0.2">
      <c r="H483" s="26"/>
      <c r="I483" s="26"/>
      <c r="J483" s="26"/>
      <c r="W483" s="26"/>
      <c r="X483" s="26"/>
    </row>
    <row r="484" spans="8:24" x14ac:dyDescent="0.2">
      <c r="H484" s="26"/>
      <c r="I484" s="26"/>
      <c r="J484" s="26"/>
      <c r="W484" s="26"/>
      <c r="X484" s="26"/>
    </row>
    <row r="485" spans="8:24" x14ac:dyDescent="0.2">
      <c r="H485" s="26"/>
      <c r="I485" s="26"/>
      <c r="J485" s="26"/>
      <c r="W485" s="26"/>
      <c r="X485" s="26"/>
    </row>
    <row r="486" spans="8:24" x14ac:dyDescent="0.2">
      <c r="H486" s="26"/>
      <c r="I486" s="26"/>
      <c r="J486" s="26"/>
      <c r="W486" s="26"/>
      <c r="X486" s="26"/>
    </row>
    <row r="487" spans="8:24" x14ac:dyDescent="0.2">
      <c r="H487" s="26"/>
      <c r="I487" s="26"/>
      <c r="J487" s="26"/>
      <c r="W487" s="26"/>
      <c r="X487" s="26"/>
    </row>
    <row r="488" spans="8:24" x14ac:dyDescent="0.2">
      <c r="H488" s="26"/>
      <c r="I488" s="26"/>
      <c r="J488" s="26"/>
      <c r="W488" s="26"/>
      <c r="X488" s="26"/>
    </row>
    <row r="489" spans="8:24" x14ac:dyDescent="0.2">
      <c r="H489" s="26"/>
      <c r="I489" s="26"/>
      <c r="J489" s="26"/>
      <c r="W489" s="26"/>
      <c r="X489" s="26"/>
    </row>
    <row r="490" spans="8:24" x14ac:dyDescent="0.2">
      <c r="H490" s="26"/>
      <c r="I490" s="26"/>
      <c r="J490" s="26"/>
      <c r="W490" s="26"/>
      <c r="X490" s="26"/>
    </row>
    <row r="491" spans="8:24" x14ac:dyDescent="0.2">
      <c r="H491" s="26"/>
      <c r="I491" s="26"/>
      <c r="J491" s="26"/>
      <c r="W491" s="26"/>
      <c r="X491" s="26"/>
    </row>
    <row r="492" spans="8:24" x14ac:dyDescent="0.2">
      <c r="H492" s="26"/>
      <c r="I492" s="26"/>
      <c r="J492" s="26"/>
      <c r="W492" s="26"/>
      <c r="X492" s="26"/>
    </row>
    <row r="493" spans="8:24" x14ac:dyDescent="0.2">
      <c r="H493" s="26"/>
      <c r="I493" s="26"/>
      <c r="J493" s="26"/>
      <c r="W493" s="26"/>
      <c r="X493" s="26"/>
    </row>
    <row r="494" spans="8:24" x14ac:dyDescent="0.2">
      <c r="H494" s="26"/>
      <c r="I494" s="26"/>
      <c r="J494" s="26"/>
      <c r="W494" s="26"/>
      <c r="X494" s="26"/>
    </row>
    <row r="495" spans="8:24" x14ac:dyDescent="0.2">
      <c r="H495" s="26"/>
      <c r="I495" s="26"/>
      <c r="J495" s="26"/>
      <c r="W495" s="26"/>
      <c r="X495" s="26"/>
    </row>
    <row r="496" spans="8:24" x14ac:dyDescent="0.2">
      <c r="H496" s="26"/>
      <c r="I496" s="26"/>
      <c r="J496" s="26"/>
      <c r="W496" s="26"/>
      <c r="X496" s="26"/>
    </row>
    <row r="497" spans="8:24" x14ac:dyDescent="0.2">
      <c r="H497" s="26"/>
      <c r="I497" s="26"/>
      <c r="J497" s="26"/>
      <c r="W497" s="26"/>
      <c r="X497" s="26"/>
    </row>
    <row r="498" spans="8:24" x14ac:dyDescent="0.2">
      <c r="H498" s="26"/>
      <c r="I498" s="26"/>
      <c r="J498" s="26"/>
      <c r="W498" s="26"/>
      <c r="X498" s="26"/>
    </row>
    <row r="499" spans="8:24" x14ac:dyDescent="0.2">
      <c r="H499" s="26"/>
      <c r="I499" s="26"/>
      <c r="J499" s="26"/>
      <c r="W499" s="26"/>
      <c r="X499" s="26"/>
    </row>
    <row r="500" spans="8:24" x14ac:dyDescent="0.2">
      <c r="H500" s="26"/>
      <c r="I500" s="26"/>
      <c r="J500" s="26"/>
      <c r="W500" s="26"/>
      <c r="X500" s="26"/>
    </row>
    <row r="501" spans="8:24" x14ac:dyDescent="0.2">
      <c r="H501" s="26"/>
      <c r="I501" s="26"/>
      <c r="J501" s="26"/>
      <c r="W501" s="26"/>
      <c r="X501" s="26"/>
    </row>
    <row r="502" spans="8:24" x14ac:dyDescent="0.2">
      <c r="H502" s="26"/>
      <c r="I502" s="26"/>
      <c r="J502" s="26"/>
      <c r="W502" s="26"/>
      <c r="X502" s="26"/>
    </row>
    <row r="503" spans="8:24" x14ac:dyDescent="0.2">
      <c r="H503" s="26"/>
      <c r="I503" s="26"/>
      <c r="J503" s="26"/>
      <c r="W503" s="26"/>
      <c r="X503" s="26"/>
    </row>
    <row r="504" spans="8:24" x14ac:dyDescent="0.2">
      <c r="H504" s="26"/>
      <c r="I504" s="26"/>
      <c r="J504" s="26"/>
      <c r="W504" s="26"/>
      <c r="X504" s="26"/>
    </row>
    <row r="505" spans="8:24" x14ac:dyDescent="0.2">
      <c r="H505" s="26"/>
      <c r="I505" s="26"/>
      <c r="J505" s="26"/>
      <c r="W505" s="26"/>
      <c r="X505" s="26"/>
    </row>
    <row r="506" spans="8:24" x14ac:dyDescent="0.2">
      <c r="H506" s="26"/>
      <c r="I506" s="26"/>
      <c r="J506" s="26"/>
      <c r="W506" s="26"/>
      <c r="X506" s="26"/>
    </row>
    <row r="507" spans="8:24" x14ac:dyDescent="0.2">
      <c r="H507" s="26"/>
      <c r="I507" s="26"/>
      <c r="J507" s="26"/>
      <c r="W507" s="26"/>
      <c r="X507" s="26"/>
    </row>
    <row r="508" spans="8:24" x14ac:dyDescent="0.2">
      <c r="H508" s="26"/>
      <c r="I508" s="26"/>
      <c r="J508" s="26"/>
      <c r="W508" s="26"/>
      <c r="X508" s="26"/>
    </row>
    <row r="509" spans="8:24" x14ac:dyDescent="0.2">
      <c r="H509" s="26"/>
      <c r="I509" s="26"/>
      <c r="J509" s="26"/>
      <c r="W509" s="26"/>
      <c r="X509" s="26"/>
    </row>
    <row r="510" spans="8:24" x14ac:dyDescent="0.2">
      <c r="H510" s="26"/>
      <c r="I510" s="26"/>
      <c r="J510" s="26"/>
      <c r="W510" s="26"/>
      <c r="X510" s="26"/>
    </row>
    <row r="511" spans="8:24" x14ac:dyDescent="0.2">
      <c r="H511" s="26"/>
      <c r="I511" s="26"/>
      <c r="J511" s="26"/>
      <c r="W511" s="26"/>
      <c r="X511" s="26"/>
    </row>
    <row r="512" spans="8:24" x14ac:dyDescent="0.2">
      <c r="H512" s="26"/>
      <c r="I512" s="26"/>
      <c r="J512" s="26"/>
      <c r="W512" s="26"/>
      <c r="X512" s="26"/>
    </row>
    <row r="513" spans="8:24" x14ac:dyDescent="0.2">
      <c r="H513" s="26"/>
      <c r="I513" s="26"/>
      <c r="J513" s="26"/>
      <c r="W513" s="26"/>
      <c r="X513" s="26"/>
    </row>
    <row r="514" spans="8:24" x14ac:dyDescent="0.2">
      <c r="H514" s="26"/>
      <c r="I514" s="26"/>
      <c r="J514" s="26"/>
      <c r="W514" s="26"/>
      <c r="X514" s="26"/>
    </row>
    <row r="515" spans="8:24" x14ac:dyDescent="0.2">
      <c r="H515" s="26"/>
      <c r="I515" s="26"/>
      <c r="J515" s="26"/>
      <c r="W515" s="26"/>
      <c r="X515" s="26"/>
    </row>
    <row r="516" spans="8:24" x14ac:dyDescent="0.2">
      <c r="H516" s="26"/>
      <c r="I516" s="26"/>
      <c r="J516" s="26"/>
      <c r="W516" s="26"/>
      <c r="X516" s="26"/>
    </row>
    <row r="517" spans="8:24" x14ac:dyDescent="0.2">
      <c r="H517" s="26"/>
      <c r="I517" s="26"/>
      <c r="J517" s="26"/>
      <c r="W517" s="26"/>
      <c r="X517" s="26"/>
    </row>
    <row r="518" spans="8:24" x14ac:dyDescent="0.2">
      <c r="H518" s="26"/>
      <c r="I518" s="26"/>
      <c r="J518" s="26"/>
      <c r="W518" s="26"/>
      <c r="X518" s="26"/>
    </row>
    <row r="519" spans="8:24" x14ac:dyDescent="0.2">
      <c r="H519" s="26"/>
      <c r="I519" s="26"/>
      <c r="J519" s="26"/>
      <c r="W519" s="26"/>
      <c r="X519" s="26"/>
    </row>
    <row r="520" spans="8:24" x14ac:dyDescent="0.2">
      <c r="H520" s="26"/>
      <c r="I520" s="26"/>
      <c r="J520" s="26"/>
      <c r="W520" s="26"/>
      <c r="X520" s="26"/>
    </row>
    <row r="521" spans="8:24" x14ac:dyDescent="0.2">
      <c r="H521" s="26"/>
      <c r="I521" s="26"/>
      <c r="J521" s="26"/>
      <c r="W521" s="26"/>
      <c r="X521" s="26"/>
    </row>
    <row r="522" spans="8:24" x14ac:dyDescent="0.2">
      <c r="H522" s="26"/>
      <c r="I522" s="26"/>
      <c r="J522" s="26"/>
      <c r="W522" s="26"/>
      <c r="X522" s="26"/>
    </row>
    <row r="523" spans="8:24" x14ac:dyDescent="0.2">
      <c r="H523" s="26"/>
      <c r="I523" s="26"/>
      <c r="J523" s="26"/>
      <c r="W523" s="26"/>
      <c r="X523" s="26"/>
    </row>
    <row r="524" spans="8:24" x14ac:dyDescent="0.2">
      <c r="H524" s="26"/>
      <c r="I524" s="26"/>
      <c r="J524" s="26"/>
      <c r="W524" s="26"/>
      <c r="X524" s="26"/>
    </row>
    <row r="525" spans="8:24" x14ac:dyDescent="0.2">
      <c r="H525" s="26"/>
      <c r="I525" s="26"/>
      <c r="J525" s="26"/>
      <c r="W525" s="26"/>
      <c r="X525" s="26"/>
    </row>
    <row r="526" spans="8:24" x14ac:dyDescent="0.2">
      <c r="H526" s="26"/>
      <c r="I526" s="26"/>
      <c r="J526" s="26"/>
      <c r="W526" s="26"/>
      <c r="X526" s="26"/>
    </row>
    <row r="527" spans="8:24" x14ac:dyDescent="0.2">
      <c r="H527" s="26"/>
      <c r="I527" s="26"/>
      <c r="J527" s="26"/>
      <c r="W527" s="26"/>
      <c r="X527" s="26"/>
    </row>
    <row r="528" spans="8:24" x14ac:dyDescent="0.2">
      <c r="H528" s="26"/>
      <c r="I528" s="26"/>
      <c r="J528" s="26"/>
      <c r="W528" s="26"/>
      <c r="X528" s="26"/>
    </row>
    <row r="529" spans="8:24" x14ac:dyDescent="0.2">
      <c r="H529" s="26"/>
      <c r="I529" s="26"/>
      <c r="J529" s="26"/>
      <c r="W529" s="26"/>
      <c r="X529" s="26"/>
    </row>
    <row r="530" spans="8:24" x14ac:dyDescent="0.2">
      <c r="H530" s="26"/>
      <c r="I530" s="26"/>
      <c r="J530" s="26"/>
      <c r="W530" s="26"/>
      <c r="X530" s="26"/>
    </row>
    <row r="531" spans="8:24" x14ac:dyDescent="0.2">
      <c r="H531" s="26"/>
      <c r="I531" s="26"/>
      <c r="J531" s="26"/>
      <c r="W531" s="26"/>
      <c r="X531" s="26"/>
    </row>
    <row r="532" spans="8:24" x14ac:dyDescent="0.2">
      <c r="H532" s="26"/>
      <c r="I532" s="26"/>
      <c r="J532" s="26"/>
      <c r="W532" s="26"/>
      <c r="X532" s="26"/>
    </row>
    <row r="533" spans="8:24" x14ac:dyDescent="0.2">
      <c r="H533" s="26"/>
      <c r="I533" s="26"/>
      <c r="J533" s="26"/>
      <c r="W533" s="26"/>
      <c r="X533" s="26"/>
    </row>
    <row r="534" spans="8:24" x14ac:dyDescent="0.2">
      <c r="H534" s="26"/>
      <c r="I534" s="26"/>
      <c r="J534" s="26"/>
      <c r="W534" s="26"/>
      <c r="X534" s="26"/>
    </row>
    <row r="535" spans="8:24" x14ac:dyDescent="0.2">
      <c r="H535" s="26"/>
      <c r="I535" s="26"/>
      <c r="J535" s="26"/>
      <c r="W535" s="26"/>
      <c r="X535" s="26"/>
    </row>
    <row r="536" spans="8:24" x14ac:dyDescent="0.2">
      <c r="H536" s="26"/>
      <c r="I536" s="26"/>
      <c r="J536" s="26"/>
      <c r="W536" s="26"/>
      <c r="X536" s="26"/>
    </row>
    <row r="537" spans="8:24" x14ac:dyDescent="0.2">
      <c r="H537" s="26"/>
      <c r="I537" s="26"/>
      <c r="J537" s="26"/>
      <c r="W537" s="26"/>
      <c r="X537" s="26"/>
    </row>
    <row r="538" spans="8:24" x14ac:dyDescent="0.2">
      <c r="H538" s="26"/>
      <c r="I538" s="26"/>
      <c r="J538" s="26"/>
      <c r="W538" s="26"/>
      <c r="X538" s="26"/>
    </row>
    <row r="539" spans="8:24" x14ac:dyDescent="0.2">
      <c r="H539" s="26"/>
      <c r="I539" s="26"/>
      <c r="J539" s="26"/>
      <c r="W539" s="26"/>
      <c r="X539" s="26"/>
    </row>
    <row r="540" spans="8:24" x14ac:dyDescent="0.2">
      <c r="H540" s="26"/>
      <c r="I540" s="26"/>
      <c r="J540" s="26"/>
      <c r="W540" s="26"/>
      <c r="X540" s="26"/>
    </row>
    <row r="541" spans="8:24" x14ac:dyDescent="0.2">
      <c r="H541" s="26"/>
      <c r="I541" s="26"/>
      <c r="J541" s="26"/>
      <c r="W541" s="26"/>
      <c r="X541" s="26"/>
    </row>
    <row r="542" spans="8:24" x14ac:dyDescent="0.2">
      <c r="H542" s="26"/>
      <c r="I542" s="26"/>
      <c r="J542" s="26"/>
      <c r="W542" s="26"/>
      <c r="X542" s="26"/>
    </row>
    <row r="543" spans="8:24" x14ac:dyDescent="0.2">
      <c r="H543" s="26"/>
      <c r="I543" s="26"/>
      <c r="J543" s="26"/>
      <c r="W543" s="26"/>
      <c r="X543" s="26"/>
    </row>
    <row r="544" spans="8:24" x14ac:dyDescent="0.2">
      <c r="H544" s="26"/>
      <c r="I544" s="26"/>
      <c r="J544" s="26"/>
      <c r="W544" s="26"/>
      <c r="X544" s="26"/>
    </row>
    <row r="545" spans="8:24" x14ac:dyDescent="0.2">
      <c r="H545" s="26"/>
      <c r="I545" s="26"/>
      <c r="J545" s="26"/>
      <c r="W545" s="26"/>
      <c r="X545" s="26"/>
    </row>
    <row r="546" spans="8:24" x14ac:dyDescent="0.2">
      <c r="H546" s="26"/>
      <c r="I546" s="26"/>
      <c r="J546" s="26"/>
      <c r="W546" s="26"/>
      <c r="X546" s="26"/>
    </row>
    <row r="547" spans="8:24" x14ac:dyDescent="0.2">
      <c r="H547" s="26"/>
      <c r="I547" s="26"/>
      <c r="J547" s="26"/>
      <c r="W547" s="26"/>
      <c r="X547" s="26"/>
    </row>
    <row r="548" spans="8:24" x14ac:dyDescent="0.2">
      <c r="H548" s="26"/>
      <c r="I548" s="26"/>
      <c r="J548" s="26"/>
      <c r="W548" s="26"/>
      <c r="X548" s="26"/>
    </row>
    <row r="549" spans="8:24" x14ac:dyDescent="0.2">
      <c r="H549" s="26"/>
      <c r="I549" s="26"/>
      <c r="J549" s="26"/>
      <c r="W549" s="26"/>
      <c r="X549" s="26"/>
    </row>
    <row r="550" spans="8:24" x14ac:dyDescent="0.2">
      <c r="H550" s="26"/>
      <c r="I550" s="26"/>
      <c r="J550" s="26"/>
      <c r="W550" s="26"/>
      <c r="X550" s="26"/>
    </row>
    <row r="551" spans="8:24" x14ac:dyDescent="0.2">
      <c r="H551" s="26"/>
      <c r="I551" s="26"/>
      <c r="J551" s="26"/>
      <c r="W551" s="26"/>
      <c r="X551" s="26"/>
    </row>
    <row r="552" spans="8:24" x14ac:dyDescent="0.2">
      <c r="H552" s="26"/>
      <c r="I552" s="26"/>
      <c r="J552" s="26"/>
      <c r="W552" s="26"/>
      <c r="X552" s="26"/>
    </row>
    <row r="553" spans="8:24" x14ac:dyDescent="0.2">
      <c r="H553" s="26"/>
      <c r="I553" s="26"/>
      <c r="J553" s="26"/>
      <c r="W553" s="26"/>
      <c r="X553" s="26"/>
    </row>
    <row r="554" spans="8:24" x14ac:dyDescent="0.2">
      <c r="H554" s="26"/>
      <c r="I554" s="26"/>
      <c r="J554" s="26"/>
      <c r="W554" s="26"/>
      <c r="X554" s="26"/>
    </row>
    <row r="555" spans="8:24" x14ac:dyDescent="0.2">
      <c r="H555" s="26"/>
      <c r="I555" s="26"/>
      <c r="J555" s="26"/>
      <c r="W555" s="26"/>
      <c r="X555" s="26"/>
    </row>
    <row r="556" spans="8:24" x14ac:dyDescent="0.2">
      <c r="H556" s="26"/>
      <c r="I556" s="26"/>
      <c r="J556" s="26"/>
      <c r="W556" s="26"/>
      <c r="X556" s="26"/>
    </row>
    <row r="557" spans="8:24" x14ac:dyDescent="0.2">
      <c r="H557" s="26"/>
      <c r="I557" s="26"/>
      <c r="J557" s="26"/>
      <c r="W557" s="26"/>
      <c r="X557" s="26"/>
    </row>
    <row r="558" spans="8:24" x14ac:dyDescent="0.2">
      <c r="H558" s="26"/>
      <c r="I558" s="26"/>
      <c r="J558" s="26"/>
      <c r="W558" s="26"/>
      <c r="X558" s="26"/>
    </row>
    <row r="559" spans="8:24" x14ac:dyDescent="0.2">
      <c r="H559" s="26"/>
      <c r="I559" s="26"/>
      <c r="J559" s="26"/>
      <c r="W559" s="26"/>
      <c r="X559" s="26"/>
    </row>
    <row r="560" spans="8:24" x14ac:dyDescent="0.2">
      <c r="H560" s="26"/>
      <c r="I560" s="26"/>
      <c r="J560" s="26"/>
      <c r="W560" s="26"/>
      <c r="X560" s="26"/>
    </row>
    <row r="561" spans="8:24" x14ac:dyDescent="0.2">
      <c r="H561" s="26"/>
      <c r="I561" s="26"/>
      <c r="J561" s="26"/>
      <c r="W561" s="26"/>
      <c r="X561" s="26"/>
    </row>
    <row r="562" spans="8:24" x14ac:dyDescent="0.2">
      <c r="H562" s="26"/>
      <c r="I562" s="26"/>
      <c r="J562" s="26"/>
      <c r="W562" s="26"/>
      <c r="X562" s="26"/>
    </row>
    <row r="563" spans="8:24" x14ac:dyDescent="0.2">
      <c r="H563" s="26"/>
      <c r="I563" s="26"/>
      <c r="J563" s="26"/>
      <c r="W563" s="26"/>
      <c r="X563" s="26"/>
    </row>
    <row r="564" spans="8:24" x14ac:dyDescent="0.2">
      <c r="H564" s="26"/>
      <c r="I564" s="26"/>
      <c r="J564" s="26"/>
      <c r="W564" s="26"/>
      <c r="X564" s="26"/>
    </row>
    <row r="565" spans="8:24" x14ac:dyDescent="0.2">
      <c r="H565" s="26"/>
      <c r="I565" s="26"/>
      <c r="J565" s="26"/>
      <c r="W565" s="26"/>
      <c r="X565" s="26"/>
    </row>
    <row r="566" spans="8:24" x14ac:dyDescent="0.2">
      <c r="H566" s="26"/>
      <c r="I566" s="26"/>
      <c r="J566" s="26"/>
      <c r="W566" s="26"/>
      <c r="X566" s="26"/>
    </row>
    <row r="567" spans="8:24" x14ac:dyDescent="0.2">
      <c r="H567" s="26"/>
      <c r="I567" s="26"/>
      <c r="J567" s="26"/>
      <c r="W567" s="26"/>
      <c r="X567" s="26"/>
    </row>
    <row r="568" spans="8:24" x14ac:dyDescent="0.2">
      <c r="H568" s="26"/>
      <c r="I568" s="26"/>
      <c r="J568" s="26"/>
      <c r="W568" s="26"/>
      <c r="X568" s="26"/>
    </row>
    <row r="569" spans="8:24" x14ac:dyDescent="0.2">
      <c r="H569" s="26"/>
      <c r="I569" s="26"/>
      <c r="J569" s="26"/>
      <c r="W569" s="26"/>
      <c r="X569" s="26"/>
    </row>
    <row r="570" spans="8:24" x14ac:dyDescent="0.2">
      <c r="H570" s="26"/>
      <c r="I570" s="26"/>
      <c r="J570" s="26"/>
      <c r="W570" s="26"/>
      <c r="X570" s="26"/>
    </row>
    <row r="571" spans="8:24" x14ac:dyDescent="0.2">
      <c r="H571" s="26"/>
      <c r="I571" s="26"/>
      <c r="J571" s="26"/>
      <c r="W571" s="26"/>
      <c r="X571" s="26"/>
    </row>
    <row r="572" spans="8:24" x14ac:dyDescent="0.2">
      <c r="H572" s="26"/>
      <c r="I572" s="26"/>
      <c r="J572" s="26"/>
      <c r="W572" s="26"/>
      <c r="X572" s="26"/>
    </row>
    <row r="573" spans="8:24" x14ac:dyDescent="0.2">
      <c r="H573" s="26"/>
      <c r="I573" s="26"/>
      <c r="J573" s="26"/>
      <c r="W573" s="26"/>
      <c r="X573" s="26"/>
    </row>
    <row r="574" spans="8:24" x14ac:dyDescent="0.2">
      <c r="H574" s="26"/>
      <c r="I574" s="26"/>
      <c r="J574" s="26"/>
      <c r="W574" s="26"/>
      <c r="X574" s="26"/>
    </row>
    <row r="575" spans="8:24" x14ac:dyDescent="0.2">
      <c r="H575" s="26"/>
      <c r="I575" s="26"/>
      <c r="J575" s="26"/>
      <c r="W575" s="26"/>
      <c r="X575" s="26"/>
    </row>
    <row r="576" spans="8:24" x14ac:dyDescent="0.2">
      <c r="H576" s="26"/>
      <c r="I576" s="26"/>
      <c r="J576" s="26"/>
      <c r="W576" s="26"/>
      <c r="X576" s="26"/>
    </row>
    <row r="577" spans="8:24" x14ac:dyDescent="0.2">
      <c r="H577" s="26"/>
      <c r="I577" s="26"/>
      <c r="J577" s="26"/>
      <c r="W577" s="26"/>
      <c r="X577" s="26"/>
    </row>
    <row r="578" spans="8:24" x14ac:dyDescent="0.2">
      <c r="H578" s="26"/>
      <c r="I578" s="26"/>
      <c r="J578" s="26"/>
      <c r="W578" s="26"/>
      <c r="X578" s="26"/>
    </row>
    <row r="579" spans="8:24" x14ac:dyDescent="0.2">
      <c r="H579" s="26"/>
      <c r="I579" s="26"/>
      <c r="J579" s="26"/>
      <c r="W579" s="26"/>
      <c r="X579" s="26"/>
    </row>
    <row r="580" spans="8:24" x14ac:dyDescent="0.2">
      <c r="H580" s="26"/>
      <c r="I580" s="26"/>
      <c r="J580" s="26"/>
      <c r="W580" s="26"/>
      <c r="X580" s="26"/>
    </row>
    <row r="581" spans="8:24" x14ac:dyDescent="0.2">
      <c r="H581" s="26"/>
      <c r="I581" s="26"/>
      <c r="J581" s="26"/>
      <c r="W581" s="26"/>
      <c r="X581" s="26"/>
    </row>
    <row r="582" spans="8:24" x14ac:dyDescent="0.2">
      <c r="H582" s="26"/>
      <c r="I582" s="26"/>
      <c r="J582" s="26"/>
      <c r="W582" s="26"/>
      <c r="X582" s="26"/>
    </row>
    <row r="583" spans="8:24" x14ac:dyDescent="0.2">
      <c r="H583" s="26"/>
      <c r="I583" s="26"/>
      <c r="J583" s="26"/>
      <c r="W583" s="26"/>
      <c r="X583" s="26"/>
    </row>
    <row r="584" spans="8:24" x14ac:dyDescent="0.2">
      <c r="H584" s="26"/>
      <c r="I584" s="26"/>
      <c r="J584" s="26"/>
      <c r="W584" s="26"/>
      <c r="X584" s="26"/>
    </row>
    <row r="585" spans="8:24" x14ac:dyDescent="0.2">
      <c r="H585" s="26"/>
      <c r="I585" s="26"/>
      <c r="J585" s="26"/>
      <c r="W585" s="26"/>
      <c r="X585" s="26"/>
    </row>
    <row r="586" spans="8:24" x14ac:dyDescent="0.2">
      <c r="H586" s="26"/>
      <c r="I586" s="26"/>
      <c r="J586" s="26"/>
      <c r="W586" s="26"/>
      <c r="X586" s="26"/>
    </row>
    <row r="587" spans="8:24" x14ac:dyDescent="0.2">
      <c r="H587" s="26"/>
      <c r="I587" s="26"/>
      <c r="J587" s="26"/>
      <c r="W587" s="26"/>
      <c r="X587" s="26"/>
    </row>
    <row r="588" spans="8:24" x14ac:dyDescent="0.2">
      <c r="H588" s="26"/>
      <c r="I588" s="26"/>
      <c r="J588" s="26"/>
      <c r="W588" s="26"/>
      <c r="X588" s="26"/>
    </row>
    <row r="589" spans="8:24" x14ac:dyDescent="0.2">
      <c r="H589" s="26"/>
      <c r="I589" s="26"/>
      <c r="J589" s="26"/>
      <c r="W589" s="26"/>
      <c r="X589" s="26"/>
    </row>
    <row r="590" spans="8:24" x14ac:dyDescent="0.2">
      <c r="H590" s="26"/>
      <c r="I590" s="26"/>
      <c r="J590" s="26"/>
      <c r="W590" s="26"/>
      <c r="X590" s="26"/>
    </row>
    <row r="591" spans="8:24" x14ac:dyDescent="0.2">
      <c r="H591" s="26"/>
      <c r="I591" s="26"/>
      <c r="J591" s="26"/>
      <c r="W591" s="26"/>
      <c r="X591" s="26"/>
    </row>
    <row r="592" spans="8:24" x14ac:dyDescent="0.2">
      <c r="H592" s="26"/>
      <c r="I592" s="26"/>
      <c r="J592" s="26"/>
      <c r="W592" s="26"/>
      <c r="X592" s="26"/>
    </row>
    <row r="593" spans="8:24" x14ac:dyDescent="0.2">
      <c r="H593" s="26"/>
      <c r="I593" s="26"/>
      <c r="J593" s="26"/>
      <c r="W593" s="26"/>
      <c r="X593" s="26"/>
    </row>
    <row r="594" spans="8:24" x14ac:dyDescent="0.2">
      <c r="H594" s="26"/>
      <c r="I594" s="26"/>
      <c r="J594" s="26"/>
      <c r="W594" s="26"/>
      <c r="X594" s="26"/>
    </row>
    <row r="595" spans="8:24" x14ac:dyDescent="0.2">
      <c r="H595" s="26"/>
      <c r="I595" s="26"/>
      <c r="J595" s="26"/>
      <c r="W595" s="26"/>
      <c r="X595" s="26"/>
    </row>
    <row r="596" spans="8:24" x14ac:dyDescent="0.2">
      <c r="H596" s="26"/>
      <c r="I596" s="26"/>
      <c r="J596" s="26"/>
      <c r="W596" s="26"/>
      <c r="X596" s="26"/>
    </row>
    <row r="597" spans="8:24" x14ac:dyDescent="0.2">
      <c r="H597" s="26"/>
      <c r="I597" s="26"/>
      <c r="J597" s="26"/>
      <c r="W597" s="26"/>
      <c r="X597" s="26"/>
    </row>
    <row r="598" spans="8:24" x14ac:dyDescent="0.2">
      <c r="H598" s="26"/>
      <c r="I598" s="26"/>
      <c r="J598" s="26"/>
      <c r="W598" s="26"/>
      <c r="X598" s="26"/>
    </row>
    <row r="599" spans="8:24" x14ac:dyDescent="0.2">
      <c r="H599" s="26"/>
      <c r="I599" s="26"/>
      <c r="J599" s="26"/>
      <c r="W599" s="26"/>
      <c r="X599" s="26"/>
    </row>
    <row r="600" spans="8:24" x14ac:dyDescent="0.2">
      <c r="H600" s="26"/>
      <c r="I600" s="26"/>
      <c r="J600" s="26"/>
      <c r="W600" s="26"/>
      <c r="X600" s="26"/>
    </row>
    <row r="601" spans="8:24" x14ac:dyDescent="0.2">
      <c r="H601" s="26"/>
      <c r="I601" s="26"/>
      <c r="J601" s="26"/>
      <c r="W601" s="26"/>
      <c r="X601" s="26"/>
    </row>
    <row r="602" spans="8:24" x14ac:dyDescent="0.2">
      <c r="H602" s="26"/>
      <c r="I602" s="26"/>
      <c r="J602" s="26"/>
      <c r="W602" s="26"/>
      <c r="X602" s="26"/>
    </row>
    <row r="603" spans="8:24" x14ac:dyDescent="0.2">
      <c r="H603" s="26"/>
      <c r="I603" s="26"/>
      <c r="J603" s="26"/>
      <c r="W603" s="26"/>
      <c r="X603" s="26"/>
    </row>
    <row r="604" spans="8:24" x14ac:dyDescent="0.2">
      <c r="H604" s="26"/>
      <c r="I604" s="26"/>
      <c r="J604" s="26"/>
      <c r="W604" s="26"/>
      <c r="X604" s="26"/>
    </row>
    <row r="605" spans="8:24" x14ac:dyDescent="0.2">
      <c r="H605" s="26"/>
      <c r="I605" s="26"/>
      <c r="J605" s="26"/>
      <c r="W605" s="26"/>
      <c r="X605" s="26"/>
    </row>
    <row r="606" spans="8:24" x14ac:dyDescent="0.2">
      <c r="H606" s="26"/>
      <c r="I606" s="26"/>
      <c r="J606" s="26"/>
      <c r="W606" s="26"/>
      <c r="X606" s="26"/>
    </row>
    <row r="607" spans="8:24" x14ac:dyDescent="0.2">
      <c r="H607" s="26"/>
      <c r="I607" s="26"/>
      <c r="J607" s="26"/>
      <c r="W607" s="26"/>
      <c r="X607" s="26"/>
    </row>
    <row r="608" spans="8:24" x14ac:dyDescent="0.2">
      <c r="H608" s="26"/>
      <c r="I608" s="26"/>
      <c r="J608" s="26"/>
      <c r="W608" s="26"/>
      <c r="X608" s="26"/>
    </row>
    <row r="609" spans="8:24" x14ac:dyDescent="0.2">
      <c r="H609" s="26"/>
      <c r="I609" s="26"/>
      <c r="J609" s="26"/>
      <c r="W609" s="26"/>
      <c r="X609" s="26"/>
    </row>
    <row r="610" spans="8:24" x14ac:dyDescent="0.2">
      <c r="H610" s="26"/>
      <c r="I610" s="26"/>
      <c r="J610" s="26"/>
      <c r="W610" s="26"/>
      <c r="X610" s="26"/>
    </row>
    <row r="611" spans="8:24" x14ac:dyDescent="0.2">
      <c r="H611" s="26"/>
      <c r="I611" s="26"/>
      <c r="J611" s="26"/>
      <c r="W611" s="26"/>
      <c r="X611" s="26"/>
    </row>
    <row r="612" spans="8:24" x14ac:dyDescent="0.2">
      <c r="H612" s="26"/>
      <c r="I612" s="26"/>
      <c r="J612" s="26"/>
      <c r="W612" s="26"/>
      <c r="X612" s="26"/>
    </row>
    <row r="613" spans="8:24" x14ac:dyDescent="0.2">
      <c r="H613" s="26"/>
      <c r="I613" s="26"/>
      <c r="J613" s="26"/>
      <c r="W613" s="26"/>
      <c r="X613" s="26"/>
    </row>
    <row r="614" spans="8:24" x14ac:dyDescent="0.2">
      <c r="H614" s="26"/>
      <c r="I614" s="26"/>
      <c r="J614" s="26"/>
      <c r="W614" s="26"/>
      <c r="X614" s="26"/>
    </row>
    <row r="615" spans="8:24" x14ac:dyDescent="0.2">
      <c r="H615" s="26"/>
      <c r="I615" s="26"/>
      <c r="J615" s="26"/>
      <c r="W615" s="26"/>
      <c r="X615" s="26"/>
    </row>
    <row r="616" spans="8:24" x14ac:dyDescent="0.2">
      <c r="H616" s="26"/>
      <c r="I616" s="26"/>
      <c r="J616" s="26"/>
      <c r="W616" s="26"/>
      <c r="X616" s="26"/>
    </row>
    <row r="617" spans="8:24" x14ac:dyDescent="0.2">
      <c r="H617" s="26"/>
      <c r="I617" s="26"/>
      <c r="J617" s="26"/>
      <c r="W617" s="26"/>
      <c r="X617" s="26"/>
    </row>
    <row r="618" spans="8:24" x14ac:dyDescent="0.2">
      <c r="H618" s="26"/>
      <c r="I618" s="26"/>
      <c r="J618" s="26"/>
      <c r="W618" s="26"/>
      <c r="X618" s="26"/>
    </row>
    <row r="619" spans="8:24" x14ac:dyDescent="0.2">
      <c r="H619" s="26"/>
      <c r="I619" s="26"/>
      <c r="J619" s="26"/>
      <c r="W619" s="26"/>
      <c r="X619" s="26"/>
    </row>
    <row r="620" spans="8:24" x14ac:dyDescent="0.2">
      <c r="H620" s="26"/>
      <c r="I620" s="26"/>
      <c r="J620" s="26"/>
      <c r="W620" s="26"/>
      <c r="X620" s="26"/>
    </row>
    <row r="621" spans="8:24" x14ac:dyDescent="0.2">
      <c r="H621" s="26"/>
      <c r="I621" s="26"/>
      <c r="J621" s="26"/>
      <c r="W621" s="26"/>
      <c r="X621" s="26"/>
    </row>
    <row r="622" spans="8:24" x14ac:dyDescent="0.2">
      <c r="H622" s="26"/>
      <c r="I622" s="26"/>
      <c r="J622" s="26"/>
      <c r="W622" s="26"/>
      <c r="X622" s="26"/>
    </row>
    <row r="623" spans="8:24" x14ac:dyDescent="0.2">
      <c r="H623" s="26"/>
      <c r="I623" s="26"/>
      <c r="J623" s="26"/>
      <c r="W623" s="26"/>
      <c r="X623" s="26"/>
    </row>
    <row r="624" spans="8:24" x14ac:dyDescent="0.2">
      <c r="H624" s="26"/>
      <c r="I624" s="26"/>
      <c r="J624" s="26"/>
      <c r="W624" s="26"/>
      <c r="X624" s="26"/>
    </row>
    <row r="625" spans="8:24" x14ac:dyDescent="0.2">
      <c r="H625" s="26"/>
      <c r="I625" s="26"/>
      <c r="J625" s="26"/>
      <c r="W625" s="26"/>
      <c r="X625" s="26"/>
    </row>
    <row r="626" spans="8:24" x14ac:dyDescent="0.2">
      <c r="H626" s="26"/>
      <c r="I626" s="26"/>
      <c r="J626" s="26"/>
      <c r="W626" s="26"/>
      <c r="X626" s="26"/>
    </row>
    <row r="627" spans="8:24" x14ac:dyDescent="0.2">
      <c r="H627" s="26"/>
      <c r="I627" s="26"/>
      <c r="J627" s="26"/>
      <c r="W627" s="26"/>
      <c r="X627" s="26"/>
    </row>
    <row r="628" spans="8:24" x14ac:dyDescent="0.2">
      <c r="H628" s="26"/>
      <c r="I628" s="26"/>
      <c r="J628" s="26"/>
      <c r="W628" s="26"/>
      <c r="X628" s="26"/>
    </row>
    <row r="629" spans="8:24" x14ac:dyDescent="0.2">
      <c r="H629" s="26"/>
      <c r="I629" s="26"/>
      <c r="J629" s="26"/>
      <c r="W629" s="26"/>
      <c r="X629" s="26"/>
    </row>
    <row r="630" spans="8:24" x14ac:dyDescent="0.2">
      <c r="H630" s="26"/>
      <c r="I630" s="26"/>
      <c r="J630" s="26"/>
      <c r="W630" s="26"/>
      <c r="X630" s="26"/>
    </row>
    <row r="631" spans="8:24" x14ac:dyDescent="0.2">
      <c r="H631" s="26"/>
      <c r="I631" s="26"/>
      <c r="J631" s="26"/>
      <c r="W631" s="26"/>
      <c r="X631" s="26"/>
    </row>
    <row r="632" spans="8:24" x14ac:dyDescent="0.2">
      <c r="H632" s="26"/>
      <c r="I632" s="26"/>
      <c r="J632" s="26"/>
      <c r="W632" s="26"/>
      <c r="X632" s="26"/>
    </row>
    <row r="633" spans="8:24" x14ac:dyDescent="0.2">
      <c r="H633" s="26"/>
      <c r="I633" s="26"/>
      <c r="J633" s="26"/>
      <c r="W633" s="26"/>
      <c r="X633" s="26"/>
    </row>
    <row r="634" spans="8:24" x14ac:dyDescent="0.2">
      <c r="H634" s="26"/>
      <c r="I634" s="26"/>
      <c r="J634" s="26"/>
      <c r="W634" s="26"/>
      <c r="X634" s="26"/>
    </row>
    <row r="635" spans="8:24" x14ac:dyDescent="0.2">
      <c r="H635" s="26"/>
      <c r="I635" s="26"/>
      <c r="J635" s="26"/>
      <c r="W635" s="26"/>
      <c r="X635" s="26"/>
    </row>
    <row r="636" spans="8:24" x14ac:dyDescent="0.2">
      <c r="H636" s="26"/>
      <c r="I636" s="26"/>
      <c r="J636" s="26"/>
      <c r="W636" s="26"/>
      <c r="X636" s="26"/>
    </row>
    <row r="637" spans="8:24" x14ac:dyDescent="0.2">
      <c r="H637" s="26"/>
      <c r="I637" s="26"/>
      <c r="J637" s="26"/>
      <c r="W637" s="26"/>
      <c r="X637" s="26"/>
    </row>
    <row r="638" spans="8:24" x14ac:dyDescent="0.2">
      <c r="H638" s="26"/>
      <c r="I638" s="26"/>
      <c r="J638" s="26"/>
      <c r="W638" s="26"/>
      <c r="X638" s="26"/>
    </row>
    <row r="639" spans="8:24" x14ac:dyDescent="0.2">
      <c r="H639" s="26"/>
      <c r="I639" s="26"/>
      <c r="J639" s="26"/>
      <c r="W639" s="26"/>
      <c r="X639" s="26"/>
    </row>
    <row r="640" spans="8:24" x14ac:dyDescent="0.2">
      <c r="H640" s="26"/>
      <c r="I640" s="26"/>
      <c r="J640" s="26"/>
      <c r="W640" s="26"/>
      <c r="X640" s="26"/>
    </row>
    <row r="641" spans="8:24" x14ac:dyDescent="0.2">
      <c r="H641" s="26"/>
      <c r="I641" s="26"/>
      <c r="J641" s="26"/>
      <c r="W641" s="26"/>
      <c r="X641" s="26"/>
    </row>
    <row r="642" spans="8:24" x14ac:dyDescent="0.2">
      <c r="H642" s="26"/>
      <c r="I642" s="26"/>
      <c r="J642" s="26"/>
      <c r="W642" s="26"/>
      <c r="X642" s="26"/>
    </row>
    <row r="643" spans="8:24" x14ac:dyDescent="0.2">
      <c r="H643" s="26"/>
      <c r="I643" s="26"/>
      <c r="J643" s="26"/>
      <c r="W643" s="26"/>
      <c r="X643" s="26"/>
    </row>
    <row r="644" spans="8:24" x14ac:dyDescent="0.2">
      <c r="H644" s="26"/>
      <c r="I644" s="26"/>
      <c r="J644" s="26"/>
      <c r="W644" s="26"/>
      <c r="X644" s="26"/>
    </row>
    <row r="645" spans="8:24" x14ac:dyDescent="0.2">
      <c r="H645" s="26"/>
      <c r="I645" s="26"/>
      <c r="J645" s="26"/>
      <c r="W645" s="26"/>
      <c r="X645" s="26"/>
    </row>
    <row r="646" spans="8:24" x14ac:dyDescent="0.2">
      <c r="H646" s="26"/>
      <c r="I646" s="26"/>
      <c r="J646" s="26"/>
      <c r="W646" s="26"/>
      <c r="X646" s="26"/>
    </row>
    <row r="647" spans="8:24" x14ac:dyDescent="0.2">
      <c r="H647" s="26"/>
      <c r="I647" s="26"/>
      <c r="J647" s="26"/>
      <c r="W647" s="26"/>
      <c r="X647" s="26"/>
    </row>
    <row r="648" spans="8:24" x14ac:dyDescent="0.2">
      <c r="H648" s="26"/>
      <c r="I648" s="26"/>
      <c r="J648" s="26"/>
      <c r="W648" s="26"/>
      <c r="X648" s="26"/>
    </row>
    <row r="649" spans="8:24" x14ac:dyDescent="0.2">
      <c r="H649" s="26"/>
      <c r="I649" s="26"/>
      <c r="J649" s="26"/>
      <c r="W649" s="26"/>
      <c r="X649" s="26"/>
    </row>
    <row r="650" spans="8:24" x14ac:dyDescent="0.2">
      <c r="H650" s="26"/>
      <c r="I650" s="26"/>
      <c r="J650" s="26"/>
      <c r="W650" s="26"/>
      <c r="X650" s="26"/>
    </row>
    <row r="651" spans="8:24" x14ac:dyDescent="0.2">
      <c r="H651" s="26"/>
      <c r="I651" s="26"/>
      <c r="J651" s="26"/>
      <c r="W651" s="26"/>
      <c r="X651" s="26"/>
    </row>
    <row r="652" spans="8:24" x14ac:dyDescent="0.2">
      <c r="H652" s="26"/>
      <c r="I652" s="26"/>
      <c r="J652" s="26"/>
      <c r="W652" s="26"/>
      <c r="X652" s="26"/>
    </row>
    <row r="653" spans="8:24" x14ac:dyDescent="0.2">
      <c r="H653" s="26"/>
      <c r="I653" s="26"/>
      <c r="J653" s="26"/>
      <c r="W653" s="26"/>
      <c r="X653" s="26"/>
    </row>
    <row r="654" spans="8:24" x14ac:dyDescent="0.2">
      <c r="H654" s="26"/>
      <c r="I654" s="26"/>
      <c r="J654" s="26"/>
      <c r="W654" s="26"/>
      <c r="X654" s="26"/>
    </row>
    <row r="655" spans="8:24" x14ac:dyDescent="0.2">
      <c r="H655" s="26"/>
      <c r="I655" s="26"/>
      <c r="J655" s="26"/>
      <c r="W655" s="26"/>
      <c r="X655" s="26"/>
    </row>
    <row r="656" spans="8:24" x14ac:dyDescent="0.2">
      <c r="H656" s="26"/>
      <c r="I656" s="26"/>
      <c r="J656" s="26"/>
      <c r="W656" s="26"/>
      <c r="X656" s="26"/>
    </row>
    <row r="657" spans="8:24" x14ac:dyDescent="0.2">
      <c r="H657" s="26"/>
      <c r="I657" s="26"/>
      <c r="J657" s="26"/>
      <c r="W657" s="26"/>
      <c r="X657" s="26"/>
    </row>
    <row r="658" spans="8:24" x14ac:dyDescent="0.2">
      <c r="H658" s="26"/>
      <c r="I658" s="26"/>
      <c r="J658" s="26"/>
      <c r="W658" s="26"/>
      <c r="X658" s="26"/>
    </row>
    <row r="659" spans="8:24" x14ac:dyDescent="0.2">
      <c r="H659" s="26"/>
      <c r="I659" s="26"/>
      <c r="J659" s="26"/>
      <c r="W659" s="26"/>
      <c r="X659" s="26"/>
    </row>
    <row r="660" spans="8:24" x14ac:dyDescent="0.2">
      <c r="H660" s="26"/>
      <c r="I660" s="26"/>
      <c r="J660" s="26"/>
      <c r="W660" s="26"/>
      <c r="X660" s="26"/>
    </row>
    <row r="661" spans="8:24" x14ac:dyDescent="0.2">
      <c r="H661" s="26"/>
      <c r="I661" s="26"/>
      <c r="J661" s="26"/>
      <c r="W661" s="26"/>
      <c r="X661" s="26"/>
    </row>
    <row r="662" spans="8:24" x14ac:dyDescent="0.2">
      <c r="H662" s="26"/>
      <c r="I662" s="26"/>
      <c r="J662" s="26"/>
      <c r="W662" s="26"/>
      <c r="X662" s="26"/>
    </row>
    <row r="663" spans="8:24" x14ac:dyDescent="0.2">
      <c r="H663" s="26"/>
      <c r="I663" s="26"/>
      <c r="J663" s="26"/>
      <c r="W663" s="26"/>
      <c r="X663" s="26"/>
    </row>
    <row r="664" spans="8:24" x14ac:dyDescent="0.2">
      <c r="H664" s="26"/>
      <c r="I664" s="26"/>
      <c r="J664" s="26"/>
      <c r="W664" s="26"/>
      <c r="X664" s="26"/>
    </row>
    <row r="665" spans="8:24" x14ac:dyDescent="0.2">
      <c r="H665" s="26"/>
      <c r="I665" s="26"/>
      <c r="J665" s="26"/>
      <c r="W665" s="26"/>
      <c r="X665" s="26"/>
    </row>
    <row r="666" spans="8:24" x14ac:dyDescent="0.2">
      <c r="H666" s="26"/>
      <c r="I666" s="26"/>
      <c r="J666" s="26"/>
      <c r="W666" s="26"/>
      <c r="X666" s="26"/>
    </row>
    <row r="667" spans="8:24" x14ac:dyDescent="0.2">
      <c r="H667" s="26"/>
      <c r="I667" s="26"/>
      <c r="J667" s="26"/>
      <c r="W667" s="26"/>
      <c r="X667" s="26"/>
    </row>
    <row r="668" spans="8:24" x14ac:dyDescent="0.2">
      <c r="H668" s="26"/>
      <c r="I668" s="26"/>
      <c r="J668" s="26"/>
      <c r="W668" s="26"/>
      <c r="X668" s="26"/>
    </row>
    <row r="669" spans="8:24" x14ac:dyDescent="0.2">
      <c r="H669" s="26"/>
      <c r="I669" s="26"/>
      <c r="J669" s="26"/>
      <c r="W669" s="26"/>
      <c r="X669" s="26"/>
    </row>
    <row r="670" spans="8:24" x14ac:dyDescent="0.2">
      <c r="H670" s="26"/>
      <c r="I670" s="26"/>
      <c r="J670" s="26"/>
      <c r="W670" s="26"/>
      <c r="X670" s="26"/>
    </row>
    <row r="671" spans="8:24" x14ac:dyDescent="0.2">
      <c r="H671" s="26"/>
      <c r="I671" s="26"/>
      <c r="J671" s="26"/>
      <c r="W671" s="26"/>
      <c r="X671" s="26"/>
    </row>
    <row r="672" spans="8:24" x14ac:dyDescent="0.2">
      <c r="H672" s="26"/>
      <c r="I672" s="26"/>
      <c r="J672" s="26"/>
      <c r="W672" s="26"/>
      <c r="X672" s="26"/>
    </row>
    <row r="673" spans="8:24" x14ac:dyDescent="0.2">
      <c r="H673" s="26"/>
      <c r="I673" s="26"/>
      <c r="J673" s="26"/>
      <c r="W673" s="26"/>
      <c r="X673" s="26"/>
    </row>
    <row r="674" spans="8:24" x14ac:dyDescent="0.2">
      <c r="H674" s="26"/>
      <c r="I674" s="26"/>
      <c r="J674" s="26"/>
      <c r="W674" s="26"/>
      <c r="X674" s="26"/>
    </row>
    <row r="675" spans="8:24" x14ac:dyDescent="0.2">
      <c r="H675" s="26"/>
      <c r="I675" s="26"/>
      <c r="J675" s="26"/>
      <c r="W675" s="26"/>
      <c r="X675" s="26"/>
    </row>
    <row r="676" spans="8:24" x14ac:dyDescent="0.2">
      <c r="H676" s="26"/>
      <c r="I676" s="26"/>
      <c r="J676" s="26"/>
      <c r="W676" s="26"/>
      <c r="X676" s="26"/>
    </row>
    <row r="677" spans="8:24" x14ac:dyDescent="0.2">
      <c r="H677" s="26"/>
      <c r="I677" s="26"/>
      <c r="J677" s="26"/>
      <c r="W677" s="26"/>
      <c r="X677" s="26"/>
    </row>
    <row r="678" spans="8:24" x14ac:dyDescent="0.2">
      <c r="H678" s="26"/>
      <c r="I678" s="26"/>
      <c r="J678" s="26"/>
      <c r="W678" s="26"/>
      <c r="X678" s="26"/>
    </row>
    <row r="679" spans="8:24" x14ac:dyDescent="0.2">
      <c r="H679" s="26"/>
      <c r="I679" s="26"/>
      <c r="J679" s="26"/>
      <c r="W679" s="26"/>
      <c r="X679" s="26"/>
    </row>
    <row r="680" spans="8:24" x14ac:dyDescent="0.2">
      <c r="H680" s="26"/>
      <c r="I680" s="26"/>
      <c r="J680" s="26"/>
      <c r="W680" s="26"/>
      <c r="X680" s="26"/>
    </row>
    <row r="681" spans="8:24" x14ac:dyDescent="0.2">
      <c r="H681" s="26"/>
      <c r="I681" s="26"/>
      <c r="J681" s="26"/>
      <c r="W681" s="26"/>
      <c r="X681" s="26"/>
    </row>
    <row r="682" spans="8:24" x14ac:dyDescent="0.2">
      <c r="H682" s="26"/>
      <c r="I682" s="26"/>
      <c r="J682" s="26"/>
      <c r="W682" s="26"/>
      <c r="X682" s="26"/>
    </row>
    <row r="683" spans="8:24" x14ac:dyDescent="0.2">
      <c r="H683" s="26"/>
      <c r="I683" s="26"/>
      <c r="J683" s="26"/>
      <c r="W683" s="26"/>
      <c r="X683" s="26"/>
    </row>
    <row r="684" spans="8:24" x14ac:dyDescent="0.2">
      <c r="H684" s="26"/>
      <c r="I684" s="26"/>
      <c r="J684" s="26"/>
      <c r="W684" s="26"/>
      <c r="X684" s="26"/>
    </row>
    <row r="685" spans="8:24" x14ac:dyDescent="0.2">
      <c r="H685" s="26"/>
      <c r="I685" s="26"/>
      <c r="J685" s="26"/>
      <c r="W685" s="26"/>
      <c r="X685" s="26"/>
    </row>
    <row r="686" spans="8:24" x14ac:dyDescent="0.2">
      <c r="H686" s="26"/>
      <c r="I686" s="26"/>
      <c r="J686" s="26"/>
      <c r="W686" s="26"/>
      <c r="X686" s="26"/>
    </row>
    <row r="687" spans="8:24" x14ac:dyDescent="0.2">
      <c r="H687" s="26"/>
      <c r="I687" s="26"/>
      <c r="J687" s="26"/>
      <c r="W687" s="26"/>
      <c r="X687" s="26"/>
    </row>
    <row r="688" spans="8:24" x14ac:dyDescent="0.2">
      <c r="H688" s="26"/>
      <c r="I688" s="26"/>
      <c r="J688" s="26"/>
      <c r="W688" s="26"/>
      <c r="X688" s="26"/>
    </row>
    <row r="689" spans="8:24" x14ac:dyDescent="0.2">
      <c r="H689" s="26"/>
      <c r="I689" s="26"/>
      <c r="J689" s="26"/>
      <c r="W689" s="26"/>
      <c r="X689" s="26"/>
    </row>
    <row r="690" spans="8:24" x14ac:dyDescent="0.2">
      <c r="H690" s="26"/>
      <c r="I690" s="26"/>
      <c r="J690" s="26"/>
      <c r="W690" s="26"/>
      <c r="X690" s="26"/>
    </row>
    <row r="691" spans="8:24" x14ac:dyDescent="0.2">
      <c r="H691" s="26"/>
      <c r="I691" s="26"/>
      <c r="J691" s="26"/>
      <c r="W691" s="26"/>
      <c r="X691" s="26"/>
    </row>
    <row r="692" spans="8:24" x14ac:dyDescent="0.2">
      <c r="H692" s="26"/>
      <c r="I692" s="26"/>
      <c r="J692" s="26"/>
      <c r="W692" s="26"/>
      <c r="X692" s="26"/>
    </row>
    <row r="693" spans="8:24" x14ac:dyDescent="0.2">
      <c r="H693" s="26"/>
      <c r="I693" s="26"/>
      <c r="J693" s="26"/>
      <c r="W693" s="26"/>
      <c r="X693" s="26"/>
    </row>
    <row r="694" spans="8:24" x14ac:dyDescent="0.2">
      <c r="H694" s="26"/>
      <c r="I694" s="26"/>
      <c r="J694" s="26"/>
      <c r="W694" s="26"/>
      <c r="X694" s="26"/>
    </row>
    <row r="695" spans="8:24" x14ac:dyDescent="0.2">
      <c r="H695" s="26"/>
      <c r="I695" s="26"/>
      <c r="J695" s="26"/>
      <c r="W695" s="26"/>
      <c r="X695" s="26"/>
    </row>
    <row r="696" spans="8:24" x14ac:dyDescent="0.2">
      <c r="H696" s="26"/>
      <c r="I696" s="26"/>
      <c r="J696" s="26"/>
      <c r="W696" s="26"/>
      <c r="X696" s="26"/>
    </row>
    <row r="697" spans="8:24" x14ac:dyDescent="0.2">
      <c r="H697" s="26"/>
      <c r="I697" s="26"/>
      <c r="J697" s="26"/>
      <c r="W697" s="26"/>
      <c r="X697" s="26"/>
    </row>
    <row r="698" spans="8:24" x14ac:dyDescent="0.2">
      <c r="H698" s="26"/>
      <c r="I698" s="26"/>
      <c r="J698" s="26"/>
      <c r="W698" s="26"/>
      <c r="X698" s="26"/>
    </row>
    <row r="699" spans="8:24" x14ac:dyDescent="0.2">
      <c r="H699" s="26"/>
      <c r="I699" s="26"/>
      <c r="J699" s="26"/>
      <c r="W699" s="26"/>
      <c r="X699" s="26"/>
    </row>
    <row r="700" spans="8:24" x14ac:dyDescent="0.2">
      <c r="H700" s="26"/>
      <c r="I700" s="26"/>
      <c r="J700" s="26"/>
      <c r="W700" s="26"/>
      <c r="X700" s="26"/>
    </row>
    <row r="701" spans="8:24" x14ac:dyDescent="0.2">
      <c r="H701" s="26"/>
      <c r="I701" s="26"/>
      <c r="J701" s="26"/>
      <c r="W701" s="26"/>
      <c r="X701" s="26"/>
    </row>
    <row r="702" spans="8:24" x14ac:dyDescent="0.2">
      <c r="H702" s="26"/>
      <c r="I702" s="26"/>
      <c r="J702" s="26"/>
      <c r="W702" s="26"/>
      <c r="X702" s="26"/>
    </row>
    <row r="703" spans="8:24" x14ac:dyDescent="0.2">
      <c r="H703" s="26"/>
      <c r="I703" s="26"/>
      <c r="J703" s="26"/>
      <c r="W703" s="26"/>
      <c r="X703" s="26"/>
    </row>
    <row r="704" spans="8:24" x14ac:dyDescent="0.2">
      <c r="H704" s="26"/>
      <c r="I704" s="26"/>
      <c r="J704" s="26"/>
      <c r="W704" s="26"/>
      <c r="X704" s="26"/>
    </row>
    <row r="705" spans="8:24" x14ac:dyDescent="0.2">
      <c r="H705" s="26"/>
      <c r="I705" s="26"/>
      <c r="J705" s="26"/>
      <c r="W705" s="26"/>
      <c r="X705" s="26"/>
    </row>
    <row r="706" spans="8:24" x14ac:dyDescent="0.2">
      <c r="H706" s="26"/>
      <c r="I706" s="26"/>
      <c r="J706" s="26"/>
      <c r="W706" s="26"/>
      <c r="X706" s="26"/>
    </row>
    <row r="707" spans="8:24" x14ac:dyDescent="0.2">
      <c r="H707" s="26"/>
      <c r="I707" s="26"/>
      <c r="J707" s="26"/>
      <c r="W707" s="26"/>
      <c r="X707" s="26"/>
    </row>
    <row r="708" spans="8:24" x14ac:dyDescent="0.2">
      <c r="H708" s="26"/>
      <c r="I708" s="26"/>
      <c r="J708" s="26"/>
      <c r="W708" s="26"/>
      <c r="X708" s="26"/>
    </row>
    <row r="709" spans="8:24" x14ac:dyDescent="0.2">
      <c r="H709" s="26"/>
      <c r="I709" s="26"/>
      <c r="J709" s="26"/>
      <c r="W709" s="26"/>
      <c r="X709" s="26"/>
    </row>
    <row r="710" spans="8:24" x14ac:dyDescent="0.2">
      <c r="H710" s="26"/>
      <c r="I710" s="26"/>
      <c r="J710" s="26"/>
      <c r="W710" s="26"/>
      <c r="X710" s="26"/>
    </row>
    <row r="711" spans="8:24" x14ac:dyDescent="0.2">
      <c r="H711" s="26"/>
      <c r="I711" s="26"/>
      <c r="J711" s="26"/>
      <c r="W711" s="26"/>
      <c r="X711" s="26"/>
    </row>
    <row r="712" spans="8:24" x14ac:dyDescent="0.2">
      <c r="H712" s="26"/>
      <c r="I712" s="26"/>
      <c r="J712" s="26"/>
      <c r="W712" s="26"/>
      <c r="X712" s="26"/>
    </row>
    <row r="713" spans="8:24" x14ac:dyDescent="0.2">
      <c r="H713" s="26"/>
      <c r="I713" s="26"/>
      <c r="J713" s="26"/>
      <c r="W713" s="26"/>
      <c r="X713" s="26"/>
    </row>
    <row r="714" spans="8:24" x14ac:dyDescent="0.2">
      <c r="H714" s="26"/>
      <c r="I714" s="26"/>
      <c r="J714" s="26"/>
      <c r="W714" s="26"/>
      <c r="X714" s="26"/>
    </row>
    <row r="715" spans="8:24" x14ac:dyDescent="0.2">
      <c r="H715" s="26"/>
      <c r="I715" s="26"/>
      <c r="J715" s="26"/>
      <c r="W715" s="26"/>
      <c r="X715" s="26"/>
    </row>
    <row r="716" spans="8:24" x14ac:dyDescent="0.2">
      <c r="H716" s="26"/>
      <c r="I716" s="26"/>
      <c r="J716" s="26"/>
      <c r="W716" s="26"/>
      <c r="X716" s="26"/>
    </row>
    <row r="717" spans="8:24" x14ac:dyDescent="0.2">
      <c r="H717" s="26"/>
      <c r="I717" s="26"/>
      <c r="J717" s="26"/>
      <c r="W717" s="26"/>
      <c r="X717" s="26"/>
    </row>
    <row r="718" spans="8:24" x14ac:dyDescent="0.2">
      <c r="H718" s="26"/>
      <c r="I718" s="26"/>
      <c r="J718" s="26"/>
      <c r="W718" s="26"/>
      <c r="X718" s="26"/>
    </row>
    <row r="719" spans="8:24" x14ac:dyDescent="0.2">
      <c r="H719" s="26"/>
      <c r="I719" s="26"/>
      <c r="J719" s="26"/>
      <c r="W719" s="26"/>
      <c r="X719" s="26"/>
    </row>
    <row r="720" spans="8:24" x14ac:dyDescent="0.2">
      <c r="H720" s="26"/>
      <c r="I720" s="26"/>
      <c r="J720" s="26"/>
      <c r="W720" s="26"/>
      <c r="X720" s="26"/>
    </row>
    <row r="721" spans="8:24" x14ac:dyDescent="0.2">
      <c r="H721" s="26"/>
      <c r="I721" s="26"/>
      <c r="J721" s="26"/>
      <c r="W721" s="26"/>
      <c r="X721" s="26"/>
    </row>
    <row r="722" spans="8:24" x14ac:dyDescent="0.2">
      <c r="H722" s="26"/>
      <c r="I722" s="26"/>
      <c r="J722" s="26"/>
      <c r="W722" s="26"/>
      <c r="X722" s="26"/>
    </row>
    <row r="723" spans="8:24" x14ac:dyDescent="0.2">
      <c r="H723" s="26"/>
      <c r="I723" s="26"/>
      <c r="J723" s="26"/>
      <c r="W723" s="26"/>
      <c r="X723" s="26"/>
    </row>
    <row r="724" spans="8:24" x14ac:dyDescent="0.2">
      <c r="H724" s="26"/>
      <c r="I724" s="26"/>
      <c r="J724" s="26"/>
      <c r="W724" s="26"/>
      <c r="X724" s="26"/>
    </row>
    <row r="725" spans="8:24" x14ac:dyDescent="0.2">
      <c r="H725" s="26"/>
      <c r="I725" s="26"/>
      <c r="J725" s="26"/>
      <c r="W725" s="26"/>
      <c r="X725" s="26"/>
    </row>
    <row r="726" spans="8:24" x14ac:dyDescent="0.2">
      <c r="H726" s="26"/>
      <c r="I726" s="26"/>
      <c r="J726" s="26"/>
      <c r="W726" s="26"/>
      <c r="X726" s="26"/>
    </row>
    <row r="727" spans="8:24" x14ac:dyDescent="0.2">
      <c r="H727" s="26"/>
      <c r="I727" s="26"/>
      <c r="J727" s="26"/>
      <c r="W727" s="26"/>
      <c r="X727" s="26"/>
    </row>
    <row r="728" spans="8:24" x14ac:dyDescent="0.2">
      <c r="H728" s="26"/>
      <c r="I728" s="26"/>
      <c r="J728" s="26"/>
      <c r="W728" s="26"/>
      <c r="X728" s="26"/>
    </row>
    <row r="729" spans="8:24" x14ac:dyDescent="0.2">
      <c r="H729" s="26"/>
      <c r="I729" s="26"/>
      <c r="J729" s="26"/>
      <c r="W729" s="26"/>
      <c r="X729" s="26"/>
    </row>
    <row r="730" spans="8:24" x14ac:dyDescent="0.2">
      <c r="H730" s="26"/>
      <c r="I730" s="26"/>
      <c r="J730" s="26"/>
      <c r="W730" s="26"/>
      <c r="X730" s="26"/>
    </row>
    <row r="731" spans="8:24" x14ac:dyDescent="0.2">
      <c r="H731" s="26"/>
      <c r="I731" s="26"/>
      <c r="J731" s="26"/>
      <c r="W731" s="26"/>
      <c r="X731" s="26"/>
    </row>
    <row r="732" spans="8:24" x14ac:dyDescent="0.2">
      <c r="H732" s="26"/>
      <c r="I732" s="26"/>
      <c r="J732" s="26"/>
      <c r="W732" s="26"/>
      <c r="X732" s="26"/>
    </row>
    <row r="733" spans="8:24" x14ac:dyDescent="0.2">
      <c r="H733" s="26"/>
      <c r="I733" s="26"/>
      <c r="J733" s="26"/>
      <c r="W733" s="26"/>
      <c r="X733" s="26"/>
    </row>
    <row r="734" spans="8:24" x14ac:dyDescent="0.2">
      <c r="H734" s="26"/>
      <c r="I734" s="26"/>
      <c r="J734" s="26"/>
      <c r="W734" s="26"/>
      <c r="X734" s="26"/>
    </row>
    <row r="735" spans="8:24" x14ac:dyDescent="0.2">
      <c r="H735" s="26"/>
      <c r="I735" s="26"/>
      <c r="J735" s="26"/>
      <c r="W735" s="26"/>
      <c r="X735" s="26"/>
    </row>
    <row r="736" spans="8:24" x14ac:dyDescent="0.2">
      <c r="H736" s="26"/>
      <c r="I736" s="26"/>
      <c r="J736" s="26"/>
      <c r="W736" s="26"/>
      <c r="X736" s="26"/>
    </row>
    <row r="737" spans="8:24" x14ac:dyDescent="0.2">
      <c r="H737" s="26"/>
      <c r="I737" s="26"/>
      <c r="J737" s="26"/>
      <c r="W737" s="26"/>
      <c r="X737" s="26"/>
    </row>
    <row r="738" spans="8:24" x14ac:dyDescent="0.2">
      <c r="H738" s="26"/>
      <c r="I738" s="26"/>
      <c r="J738" s="26"/>
      <c r="W738" s="26"/>
      <c r="X738" s="26"/>
    </row>
    <row r="739" spans="8:24" x14ac:dyDescent="0.2">
      <c r="H739" s="26"/>
      <c r="I739" s="26"/>
      <c r="J739" s="26"/>
      <c r="W739" s="26"/>
      <c r="X739" s="26"/>
    </row>
    <row r="740" spans="8:24" x14ac:dyDescent="0.2">
      <c r="H740" s="26"/>
      <c r="I740" s="26"/>
      <c r="J740" s="26"/>
      <c r="W740" s="26"/>
      <c r="X740" s="26"/>
    </row>
    <row r="741" spans="8:24" x14ac:dyDescent="0.2">
      <c r="H741" s="26"/>
      <c r="I741" s="26"/>
      <c r="J741" s="26"/>
      <c r="W741" s="26"/>
      <c r="X741" s="26"/>
    </row>
    <row r="742" spans="8:24" x14ac:dyDescent="0.2">
      <c r="H742" s="26"/>
      <c r="I742" s="26"/>
      <c r="J742" s="26"/>
      <c r="W742" s="26"/>
      <c r="X742" s="26"/>
    </row>
    <row r="743" spans="8:24" x14ac:dyDescent="0.2">
      <c r="H743" s="26"/>
      <c r="I743" s="26"/>
      <c r="J743" s="26"/>
      <c r="W743" s="26"/>
      <c r="X743" s="26"/>
    </row>
    <row r="744" spans="8:24" x14ac:dyDescent="0.2">
      <c r="H744" s="26"/>
      <c r="I744" s="26"/>
      <c r="J744" s="26"/>
      <c r="W744" s="26"/>
      <c r="X744" s="26"/>
    </row>
    <row r="745" spans="8:24" x14ac:dyDescent="0.2">
      <c r="H745" s="26"/>
      <c r="I745" s="26"/>
      <c r="J745" s="26"/>
      <c r="W745" s="26"/>
      <c r="X745" s="26"/>
    </row>
    <row r="746" spans="8:24" x14ac:dyDescent="0.2">
      <c r="H746" s="26"/>
      <c r="I746" s="26"/>
      <c r="J746" s="26"/>
      <c r="W746" s="26"/>
      <c r="X746" s="26"/>
    </row>
    <row r="747" spans="8:24" x14ac:dyDescent="0.2">
      <c r="H747" s="26"/>
      <c r="I747" s="26"/>
      <c r="J747" s="26"/>
      <c r="W747" s="26"/>
      <c r="X747" s="26"/>
    </row>
    <row r="748" spans="8:24" x14ac:dyDescent="0.2">
      <c r="H748" s="26"/>
      <c r="I748" s="26"/>
      <c r="J748" s="26"/>
      <c r="W748" s="26"/>
      <c r="X748" s="26"/>
    </row>
    <row r="749" spans="8:24" x14ac:dyDescent="0.2">
      <c r="H749" s="26"/>
      <c r="I749" s="26"/>
      <c r="J749" s="26"/>
      <c r="W749" s="26"/>
      <c r="X749" s="26"/>
    </row>
    <row r="750" spans="8:24" x14ac:dyDescent="0.2">
      <c r="H750" s="26"/>
      <c r="I750" s="26"/>
      <c r="J750" s="26"/>
      <c r="W750" s="26"/>
      <c r="X750" s="26"/>
    </row>
    <row r="751" spans="8:24" x14ac:dyDescent="0.2">
      <c r="H751" s="26"/>
      <c r="I751" s="26"/>
      <c r="J751" s="26"/>
      <c r="W751" s="26"/>
      <c r="X751" s="26"/>
    </row>
    <row r="752" spans="8:24" x14ac:dyDescent="0.2">
      <c r="H752" s="26"/>
      <c r="I752" s="26"/>
      <c r="J752" s="26"/>
      <c r="W752" s="26"/>
      <c r="X752" s="26"/>
    </row>
    <row r="753" spans="8:24" x14ac:dyDescent="0.2">
      <c r="H753" s="26"/>
      <c r="I753" s="26"/>
      <c r="J753" s="26"/>
      <c r="W753" s="26"/>
      <c r="X753" s="26"/>
    </row>
    <row r="754" spans="8:24" x14ac:dyDescent="0.2">
      <c r="H754" s="26"/>
      <c r="I754" s="26"/>
      <c r="J754" s="26"/>
      <c r="W754" s="26"/>
      <c r="X754" s="26"/>
    </row>
    <row r="755" spans="8:24" x14ac:dyDescent="0.2">
      <c r="H755" s="26"/>
      <c r="I755" s="26"/>
      <c r="J755" s="26"/>
      <c r="W755" s="26"/>
      <c r="X755" s="26"/>
    </row>
    <row r="756" spans="8:24" x14ac:dyDescent="0.2">
      <c r="H756" s="26"/>
      <c r="I756" s="26"/>
      <c r="J756" s="26"/>
      <c r="W756" s="26"/>
      <c r="X756" s="26"/>
    </row>
    <row r="757" spans="8:24" x14ac:dyDescent="0.2">
      <c r="H757" s="26"/>
      <c r="I757" s="26"/>
      <c r="J757" s="26"/>
      <c r="W757" s="26"/>
      <c r="X757" s="26"/>
    </row>
    <row r="758" spans="8:24" x14ac:dyDescent="0.2">
      <c r="H758" s="26"/>
      <c r="I758" s="26"/>
      <c r="J758" s="26"/>
      <c r="W758" s="26"/>
      <c r="X758" s="26"/>
    </row>
    <row r="759" spans="8:24" x14ac:dyDescent="0.2">
      <c r="H759" s="26"/>
      <c r="I759" s="26"/>
      <c r="J759" s="26"/>
      <c r="W759" s="26"/>
      <c r="X759" s="26"/>
    </row>
    <row r="760" spans="8:24" x14ac:dyDescent="0.2">
      <c r="H760" s="26"/>
      <c r="I760" s="26"/>
      <c r="J760" s="26"/>
      <c r="W760" s="26"/>
      <c r="X760" s="26"/>
    </row>
    <row r="761" spans="8:24" x14ac:dyDescent="0.2">
      <c r="H761" s="26"/>
      <c r="I761" s="26"/>
      <c r="J761" s="26"/>
      <c r="W761" s="26"/>
      <c r="X761" s="26"/>
    </row>
    <row r="762" spans="8:24" x14ac:dyDescent="0.2">
      <c r="H762" s="26"/>
      <c r="I762" s="26"/>
      <c r="J762" s="26"/>
      <c r="W762" s="26"/>
      <c r="X762" s="26"/>
    </row>
    <row r="763" spans="8:24" x14ac:dyDescent="0.2">
      <c r="H763" s="26"/>
      <c r="I763" s="26"/>
      <c r="J763" s="26"/>
      <c r="W763" s="26"/>
      <c r="X763" s="26"/>
    </row>
    <row r="764" spans="8:24" x14ac:dyDescent="0.2">
      <c r="H764" s="26"/>
      <c r="I764" s="26"/>
      <c r="J764" s="26"/>
      <c r="W764" s="26"/>
      <c r="X764" s="26"/>
    </row>
    <row r="765" spans="8:24" x14ac:dyDescent="0.2">
      <c r="H765" s="26"/>
      <c r="I765" s="26"/>
      <c r="J765" s="26"/>
      <c r="W765" s="26"/>
      <c r="X765" s="26"/>
    </row>
    <row r="766" spans="8:24" x14ac:dyDescent="0.2">
      <c r="H766" s="26"/>
      <c r="I766" s="26"/>
      <c r="J766" s="26"/>
      <c r="W766" s="26"/>
      <c r="X766" s="26"/>
    </row>
    <row r="767" spans="8:24" x14ac:dyDescent="0.2">
      <c r="H767" s="26"/>
      <c r="I767" s="26"/>
      <c r="J767" s="26"/>
      <c r="W767" s="26"/>
      <c r="X767" s="26"/>
    </row>
    <row r="768" spans="8:24" x14ac:dyDescent="0.2">
      <c r="H768" s="26"/>
      <c r="I768" s="26"/>
      <c r="J768" s="26"/>
      <c r="W768" s="26"/>
      <c r="X768" s="26"/>
    </row>
    <row r="769" spans="8:24" x14ac:dyDescent="0.2">
      <c r="H769" s="26"/>
      <c r="I769" s="26"/>
      <c r="J769" s="26"/>
      <c r="W769" s="26"/>
      <c r="X769" s="26"/>
    </row>
    <row r="770" spans="8:24" x14ac:dyDescent="0.2">
      <c r="H770" s="26"/>
      <c r="I770" s="26"/>
      <c r="J770" s="26"/>
      <c r="W770" s="26"/>
      <c r="X770" s="26"/>
    </row>
    <row r="771" spans="8:24" x14ac:dyDescent="0.2">
      <c r="H771" s="26"/>
      <c r="I771" s="26"/>
      <c r="J771" s="26"/>
      <c r="W771" s="26"/>
      <c r="X771" s="26"/>
    </row>
    <row r="772" spans="8:24" x14ac:dyDescent="0.2">
      <c r="H772" s="26"/>
      <c r="I772" s="26"/>
      <c r="J772" s="26"/>
      <c r="W772" s="26"/>
      <c r="X772" s="26"/>
    </row>
    <row r="773" spans="8:24" x14ac:dyDescent="0.2">
      <c r="H773" s="26"/>
      <c r="I773" s="26"/>
      <c r="J773" s="26"/>
      <c r="W773" s="26"/>
      <c r="X773" s="26"/>
    </row>
    <row r="774" spans="8:24" x14ac:dyDescent="0.2">
      <c r="H774" s="26"/>
      <c r="I774" s="26"/>
      <c r="J774" s="26"/>
      <c r="W774" s="26"/>
      <c r="X774" s="26"/>
    </row>
    <row r="775" spans="8:24" x14ac:dyDescent="0.2">
      <c r="H775" s="26"/>
      <c r="I775" s="26"/>
      <c r="J775" s="26"/>
      <c r="W775" s="26"/>
      <c r="X775" s="26"/>
    </row>
    <row r="776" spans="8:24" x14ac:dyDescent="0.2">
      <c r="H776" s="26"/>
      <c r="I776" s="26"/>
      <c r="J776" s="26"/>
      <c r="W776" s="26"/>
      <c r="X776" s="26"/>
    </row>
    <row r="777" spans="8:24" x14ac:dyDescent="0.2">
      <c r="H777" s="26"/>
      <c r="I777" s="26"/>
      <c r="J777" s="26"/>
      <c r="W777" s="26"/>
      <c r="X777" s="26"/>
    </row>
    <row r="778" spans="8:24" x14ac:dyDescent="0.2">
      <c r="H778" s="26"/>
      <c r="I778" s="26"/>
      <c r="J778" s="26"/>
      <c r="W778" s="26"/>
      <c r="X778" s="26"/>
    </row>
    <row r="779" spans="8:24" x14ac:dyDescent="0.2">
      <c r="H779" s="26"/>
      <c r="I779" s="26"/>
      <c r="J779" s="26"/>
      <c r="W779" s="26"/>
      <c r="X779" s="26"/>
    </row>
    <row r="780" spans="8:24" x14ac:dyDescent="0.2">
      <c r="H780" s="26"/>
      <c r="I780" s="26"/>
      <c r="J780" s="26"/>
      <c r="W780" s="26"/>
      <c r="X780" s="26"/>
    </row>
    <row r="781" spans="8:24" x14ac:dyDescent="0.2">
      <c r="H781" s="26"/>
      <c r="I781" s="26"/>
      <c r="J781" s="26"/>
      <c r="W781" s="26"/>
      <c r="X781" s="26"/>
    </row>
    <row r="782" spans="8:24" x14ac:dyDescent="0.2">
      <c r="H782" s="26"/>
      <c r="I782" s="26"/>
      <c r="J782" s="26"/>
      <c r="W782" s="26"/>
      <c r="X782" s="26"/>
    </row>
    <row r="783" spans="8:24" x14ac:dyDescent="0.2">
      <c r="H783" s="26"/>
      <c r="I783" s="26"/>
      <c r="J783" s="26"/>
      <c r="W783" s="26"/>
      <c r="X783" s="26"/>
    </row>
    <row r="784" spans="8:24" x14ac:dyDescent="0.2">
      <c r="H784" s="26"/>
      <c r="I784" s="26"/>
      <c r="J784" s="26"/>
      <c r="W784" s="26"/>
      <c r="X784" s="26"/>
    </row>
    <row r="785" spans="8:24" x14ac:dyDescent="0.2">
      <c r="H785" s="26"/>
      <c r="I785" s="26"/>
      <c r="J785" s="26"/>
      <c r="W785" s="26"/>
      <c r="X785" s="26"/>
    </row>
    <row r="786" spans="8:24" x14ac:dyDescent="0.2">
      <c r="H786" s="26"/>
      <c r="I786" s="26"/>
      <c r="J786" s="26"/>
      <c r="W786" s="26"/>
      <c r="X786" s="26"/>
    </row>
    <row r="787" spans="8:24" x14ac:dyDescent="0.2">
      <c r="H787" s="26"/>
      <c r="I787" s="26"/>
      <c r="J787" s="26"/>
      <c r="W787" s="26"/>
      <c r="X787" s="26"/>
    </row>
    <row r="788" spans="8:24" x14ac:dyDescent="0.2">
      <c r="H788" s="26"/>
      <c r="I788" s="26"/>
      <c r="J788" s="26"/>
      <c r="W788" s="26"/>
      <c r="X788" s="26"/>
    </row>
    <row r="789" spans="8:24" x14ac:dyDescent="0.2">
      <c r="H789" s="26"/>
      <c r="I789" s="26"/>
      <c r="J789" s="26"/>
      <c r="W789" s="26"/>
      <c r="X789" s="26"/>
    </row>
    <row r="790" spans="8:24" x14ac:dyDescent="0.2">
      <c r="H790" s="26"/>
      <c r="I790" s="26"/>
      <c r="J790" s="26"/>
      <c r="W790" s="26"/>
      <c r="X790" s="26"/>
    </row>
    <row r="791" spans="8:24" x14ac:dyDescent="0.2">
      <c r="H791" s="26"/>
      <c r="I791" s="26"/>
      <c r="J791" s="26"/>
      <c r="W791" s="26"/>
      <c r="X791" s="26"/>
    </row>
    <row r="792" spans="8:24" x14ac:dyDescent="0.2">
      <c r="H792" s="26"/>
      <c r="I792" s="26"/>
      <c r="J792" s="26"/>
      <c r="W792" s="26"/>
      <c r="X792" s="26"/>
    </row>
    <row r="793" spans="8:24" x14ac:dyDescent="0.2">
      <c r="H793" s="26"/>
      <c r="I793" s="26"/>
      <c r="J793" s="26"/>
      <c r="W793" s="26"/>
      <c r="X793" s="26"/>
    </row>
    <row r="794" spans="8:24" x14ac:dyDescent="0.2">
      <c r="H794" s="26"/>
      <c r="I794" s="26"/>
      <c r="J794" s="26"/>
      <c r="W794" s="26"/>
      <c r="X794" s="26"/>
    </row>
    <row r="795" spans="8:24" x14ac:dyDescent="0.2">
      <c r="H795" s="26"/>
      <c r="I795" s="26"/>
      <c r="J795" s="26"/>
      <c r="W795" s="26"/>
      <c r="X795" s="26"/>
    </row>
    <row r="796" spans="8:24" x14ac:dyDescent="0.2">
      <c r="H796" s="26"/>
      <c r="I796" s="26"/>
      <c r="J796" s="26"/>
      <c r="W796" s="26"/>
      <c r="X796" s="26"/>
    </row>
    <row r="797" spans="8:24" x14ac:dyDescent="0.2">
      <c r="H797" s="26"/>
      <c r="I797" s="26"/>
      <c r="J797" s="26"/>
      <c r="W797" s="26"/>
      <c r="X797" s="26"/>
    </row>
    <row r="798" spans="8:24" x14ac:dyDescent="0.2">
      <c r="H798" s="26"/>
      <c r="I798" s="26"/>
      <c r="J798" s="26"/>
      <c r="W798" s="26"/>
      <c r="X798" s="26"/>
    </row>
    <row r="799" spans="8:24" x14ac:dyDescent="0.2">
      <c r="H799" s="26"/>
      <c r="I799" s="26"/>
      <c r="J799" s="26"/>
      <c r="W799" s="26"/>
      <c r="X799" s="26"/>
    </row>
    <row r="800" spans="8:24" x14ac:dyDescent="0.2">
      <c r="H800" s="26"/>
      <c r="I800" s="26"/>
      <c r="J800" s="26"/>
      <c r="W800" s="26"/>
      <c r="X800" s="26"/>
    </row>
    <row r="801" spans="8:24" x14ac:dyDescent="0.2">
      <c r="H801" s="26"/>
      <c r="I801" s="26"/>
      <c r="J801" s="26"/>
      <c r="W801" s="26"/>
      <c r="X801" s="26"/>
    </row>
    <row r="802" spans="8:24" x14ac:dyDescent="0.2">
      <c r="H802" s="26"/>
      <c r="I802" s="26"/>
      <c r="J802" s="26"/>
      <c r="W802" s="26"/>
      <c r="X802" s="26"/>
    </row>
    <row r="803" spans="8:24" x14ac:dyDescent="0.2">
      <c r="H803" s="26"/>
      <c r="I803" s="26"/>
      <c r="J803" s="26"/>
      <c r="W803" s="26"/>
      <c r="X803" s="26"/>
    </row>
    <row r="804" spans="8:24" x14ac:dyDescent="0.2">
      <c r="H804" s="26"/>
      <c r="I804" s="26"/>
      <c r="J804" s="26"/>
      <c r="W804" s="26"/>
      <c r="X804" s="26"/>
    </row>
    <row r="805" spans="8:24" x14ac:dyDescent="0.2">
      <c r="H805" s="26"/>
      <c r="I805" s="26"/>
      <c r="J805" s="26"/>
      <c r="W805" s="26"/>
      <c r="X805" s="26"/>
    </row>
    <row r="806" spans="8:24" x14ac:dyDescent="0.2">
      <c r="H806" s="26"/>
      <c r="I806" s="26"/>
      <c r="J806" s="26"/>
      <c r="W806" s="26"/>
      <c r="X806" s="26"/>
    </row>
    <row r="807" spans="8:24" x14ac:dyDescent="0.2">
      <c r="H807" s="26"/>
      <c r="I807" s="26"/>
      <c r="J807" s="26"/>
      <c r="W807" s="26"/>
      <c r="X807" s="26"/>
    </row>
    <row r="808" spans="8:24" x14ac:dyDescent="0.2">
      <c r="H808" s="26"/>
      <c r="I808" s="26"/>
      <c r="J808" s="26"/>
      <c r="W808" s="26"/>
      <c r="X808" s="26"/>
    </row>
    <row r="809" spans="8:24" x14ac:dyDescent="0.2">
      <c r="H809" s="26"/>
      <c r="I809" s="26"/>
      <c r="J809" s="26"/>
      <c r="W809" s="26"/>
      <c r="X809" s="26"/>
    </row>
    <row r="810" spans="8:24" x14ac:dyDescent="0.2">
      <c r="H810" s="26"/>
      <c r="I810" s="26"/>
      <c r="J810" s="26"/>
      <c r="W810" s="26"/>
      <c r="X810" s="26"/>
    </row>
    <row r="811" spans="8:24" x14ac:dyDescent="0.2">
      <c r="H811" s="26"/>
      <c r="I811" s="26"/>
      <c r="J811" s="26"/>
      <c r="W811" s="26"/>
      <c r="X811" s="26"/>
    </row>
    <row r="812" spans="8:24" x14ac:dyDescent="0.2">
      <c r="H812" s="26"/>
      <c r="I812" s="26"/>
      <c r="J812" s="26"/>
      <c r="W812" s="26"/>
      <c r="X812" s="26"/>
    </row>
    <row r="813" spans="8:24" x14ac:dyDescent="0.2">
      <c r="H813" s="26"/>
      <c r="I813" s="26"/>
      <c r="J813" s="26"/>
      <c r="W813" s="26"/>
      <c r="X813" s="26"/>
    </row>
    <row r="814" spans="8:24" x14ac:dyDescent="0.2">
      <c r="H814" s="26"/>
      <c r="I814" s="26"/>
      <c r="J814" s="26"/>
      <c r="W814" s="26"/>
      <c r="X814" s="26"/>
    </row>
    <row r="815" spans="8:24" x14ac:dyDescent="0.2">
      <c r="H815" s="26"/>
      <c r="I815" s="26"/>
      <c r="J815" s="26"/>
      <c r="W815" s="26"/>
      <c r="X815" s="26"/>
    </row>
    <row r="816" spans="8:24" x14ac:dyDescent="0.2">
      <c r="H816" s="26"/>
      <c r="I816" s="26"/>
      <c r="J816" s="26"/>
      <c r="W816" s="26"/>
      <c r="X816" s="26"/>
    </row>
    <row r="817" spans="8:24" x14ac:dyDescent="0.2">
      <c r="H817" s="26"/>
      <c r="I817" s="26"/>
      <c r="J817" s="26"/>
      <c r="W817" s="26"/>
      <c r="X817" s="26"/>
    </row>
    <row r="818" spans="8:24" x14ac:dyDescent="0.2">
      <c r="H818" s="26"/>
      <c r="I818" s="26"/>
      <c r="J818" s="26"/>
      <c r="W818" s="26"/>
      <c r="X818" s="26"/>
    </row>
    <row r="819" spans="8:24" x14ac:dyDescent="0.2">
      <c r="H819" s="26"/>
      <c r="I819" s="26"/>
      <c r="J819" s="26"/>
      <c r="W819" s="26"/>
      <c r="X819" s="26"/>
    </row>
    <row r="820" spans="8:24" x14ac:dyDescent="0.2">
      <c r="H820" s="26"/>
      <c r="I820" s="26"/>
      <c r="J820" s="26"/>
      <c r="W820" s="26"/>
      <c r="X820" s="26"/>
    </row>
    <row r="821" spans="8:24" x14ac:dyDescent="0.2">
      <c r="H821" s="26"/>
      <c r="I821" s="26"/>
      <c r="J821" s="26"/>
      <c r="W821" s="26"/>
      <c r="X821" s="26"/>
    </row>
    <row r="822" spans="8:24" x14ac:dyDescent="0.2">
      <c r="H822" s="26"/>
      <c r="I822" s="26"/>
      <c r="J822" s="26"/>
      <c r="W822" s="26"/>
      <c r="X822" s="26"/>
    </row>
    <row r="823" spans="8:24" x14ac:dyDescent="0.2">
      <c r="H823" s="26"/>
      <c r="I823" s="26"/>
      <c r="J823" s="26"/>
      <c r="W823" s="26"/>
      <c r="X823" s="26"/>
    </row>
    <row r="824" spans="8:24" x14ac:dyDescent="0.2">
      <c r="H824" s="26"/>
      <c r="I824" s="26"/>
      <c r="J824" s="26"/>
      <c r="W824" s="26"/>
      <c r="X824" s="26"/>
    </row>
    <row r="825" spans="8:24" x14ac:dyDescent="0.2">
      <c r="H825" s="26"/>
      <c r="I825" s="26"/>
      <c r="J825" s="26"/>
      <c r="W825" s="26"/>
      <c r="X825" s="26"/>
    </row>
    <row r="826" spans="8:24" x14ac:dyDescent="0.2">
      <c r="H826" s="26"/>
      <c r="I826" s="26"/>
      <c r="J826" s="26"/>
      <c r="W826" s="26"/>
      <c r="X826" s="26"/>
    </row>
    <row r="827" spans="8:24" x14ac:dyDescent="0.2">
      <c r="H827" s="26"/>
      <c r="I827" s="26"/>
      <c r="J827" s="26"/>
      <c r="W827" s="26"/>
      <c r="X827" s="26"/>
    </row>
    <row r="828" spans="8:24" x14ac:dyDescent="0.2">
      <c r="H828" s="26"/>
      <c r="I828" s="26"/>
      <c r="J828" s="26"/>
      <c r="W828" s="26"/>
      <c r="X828" s="26"/>
    </row>
    <row r="829" spans="8:24" x14ac:dyDescent="0.2">
      <c r="H829" s="26"/>
      <c r="I829" s="26"/>
      <c r="J829" s="26"/>
      <c r="W829" s="26"/>
      <c r="X829" s="26"/>
    </row>
    <row r="830" spans="8:24" x14ac:dyDescent="0.2">
      <c r="H830" s="26"/>
      <c r="I830" s="26"/>
      <c r="J830" s="26"/>
      <c r="W830" s="26"/>
      <c r="X830" s="26"/>
    </row>
    <row r="831" spans="8:24" x14ac:dyDescent="0.2">
      <c r="H831" s="26"/>
      <c r="I831" s="26"/>
      <c r="J831" s="26"/>
      <c r="W831" s="26"/>
      <c r="X831" s="26"/>
    </row>
    <row r="832" spans="8:24" x14ac:dyDescent="0.2">
      <c r="H832" s="26"/>
      <c r="I832" s="26"/>
      <c r="J832" s="26"/>
      <c r="W832" s="26"/>
      <c r="X832" s="26"/>
    </row>
    <row r="833" spans="8:24" x14ac:dyDescent="0.2">
      <c r="H833" s="26"/>
      <c r="I833" s="26"/>
      <c r="J833" s="26"/>
      <c r="W833" s="26"/>
      <c r="X833" s="26"/>
    </row>
    <row r="834" spans="8:24" x14ac:dyDescent="0.2">
      <c r="H834" s="26"/>
      <c r="I834" s="26"/>
      <c r="J834" s="26"/>
      <c r="W834" s="26"/>
      <c r="X834" s="26"/>
    </row>
    <row r="835" spans="8:24" x14ac:dyDescent="0.2">
      <c r="H835" s="26"/>
      <c r="I835" s="26"/>
      <c r="J835" s="26"/>
      <c r="W835" s="26"/>
      <c r="X835" s="26"/>
    </row>
    <row r="836" spans="8:24" x14ac:dyDescent="0.2">
      <c r="H836" s="26"/>
      <c r="I836" s="26"/>
      <c r="J836" s="26"/>
      <c r="W836" s="26"/>
      <c r="X836" s="26"/>
    </row>
    <row r="837" spans="8:24" x14ac:dyDescent="0.2">
      <c r="H837" s="26"/>
      <c r="I837" s="26"/>
      <c r="J837" s="26"/>
      <c r="W837" s="26"/>
      <c r="X837" s="26"/>
    </row>
    <row r="838" spans="8:24" x14ac:dyDescent="0.2">
      <c r="H838" s="26"/>
      <c r="I838" s="26"/>
      <c r="J838" s="26"/>
      <c r="W838" s="26"/>
      <c r="X838" s="26"/>
    </row>
    <row r="839" spans="8:24" x14ac:dyDescent="0.2">
      <c r="H839" s="26"/>
      <c r="I839" s="26"/>
      <c r="J839" s="26"/>
      <c r="W839" s="26"/>
      <c r="X839" s="26"/>
    </row>
    <row r="840" spans="8:24" x14ac:dyDescent="0.2">
      <c r="H840" s="26"/>
      <c r="I840" s="26"/>
      <c r="J840" s="26"/>
      <c r="W840" s="26"/>
      <c r="X840" s="26"/>
    </row>
    <row r="841" spans="8:24" x14ac:dyDescent="0.2">
      <c r="H841" s="26"/>
      <c r="I841" s="26"/>
      <c r="J841" s="26"/>
      <c r="W841" s="26"/>
      <c r="X841" s="26"/>
    </row>
    <row r="842" spans="8:24" x14ac:dyDescent="0.2">
      <c r="H842" s="26"/>
      <c r="I842" s="26"/>
      <c r="J842" s="26"/>
      <c r="W842" s="26"/>
      <c r="X842" s="26"/>
    </row>
    <row r="843" spans="8:24" x14ac:dyDescent="0.2">
      <c r="H843" s="26"/>
      <c r="I843" s="26"/>
      <c r="J843" s="26"/>
      <c r="W843" s="26"/>
      <c r="X843" s="26"/>
    </row>
    <row r="844" spans="8:24" x14ac:dyDescent="0.2">
      <c r="H844" s="26"/>
      <c r="I844" s="26"/>
      <c r="J844" s="26"/>
      <c r="W844" s="26"/>
      <c r="X844" s="26"/>
    </row>
    <row r="845" spans="8:24" x14ac:dyDescent="0.2">
      <c r="H845" s="26"/>
      <c r="I845" s="26"/>
      <c r="J845" s="26"/>
      <c r="W845" s="26"/>
      <c r="X845" s="26"/>
    </row>
    <row r="846" spans="8:24" x14ac:dyDescent="0.2">
      <c r="H846" s="26"/>
      <c r="I846" s="26"/>
      <c r="J846" s="26"/>
      <c r="W846" s="26"/>
      <c r="X846" s="26"/>
    </row>
    <row r="847" spans="8:24" x14ac:dyDescent="0.2">
      <c r="H847" s="26"/>
      <c r="I847" s="26"/>
      <c r="J847" s="26"/>
      <c r="W847" s="26"/>
      <c r="X847" s="26"/>
    </row>
    <row r="848" spans="8:24" x14ac:dyDescent="0.2">
      <c r="H848" s="26"/>
      <c r="I848" s="26"/>
      <c r="J848" s="26"/>
      <c r="W848" s="26"/>
      <c r="X848" s="26"/>
    </row>
    <row r="849" spans="8:24" x14ac:dyDescent="0.2">
      <c r="H849" s="26"/>
      <c r="I849" s="26"/>
      <c r="J849" s="26"/>
      <c r="W849" s="26"/>
      <c r="X849" s="26"/>
    </row>
    <row r="850" spans="8:24" x14ac:dyDescent="0.2">
      <c r="H850" s="26"/>
      <c r="I850" s="26"/>
      <c r="J850" s="26"/>
      <c r="W850" s="26"/>
      <c r="X850" s="26"/>
    </row>
    <row r="851" spans="8:24" x14ac:dyDescent="0.2">
      <c r="H851" s="26"/>
      <c r="I851" s="26"/>
      <c r="J851" s="26"/>
      <c r="W851" s="26"/>
      <c r="X851" s="26"/>
    </row>
    <row r="852" spans="8:24" x14ac:dyDescent="0.2">
      <c r="H852" s="26"/>
      <c r="I852" s="26"/>
      <c r="J852" s="26"/>
      <c r="W852" s="26"/>
      <c r="X852" s="26"/>
    </row>
    <row r="853" spans="8:24" x14ac:dyDescent="0.2">
      <c r="H853" s="26"/>
      <c r="I853" s="26"/>
      <c r="J853" s="26"/>
      <c r="W853" s="26"/>
      <c r="X853" s="26"/>
    </row>
    <row r="854" spans="8:24" x14ac:dyDescent="0.2">
      <c r="H854" s="26"/>
      <c r="I854" s="26"/>
      <c r="J854" s="26"/>
      <c r="W854" s="26"/>
      <c r="X854" s="26"/>
    </row>
    <row r="855" spans="8:24" x14ac:dyDescent="0.2">
      <c r="H855" s="26"/>
      <c r="I855" s="26"/>
      <c r="J855" s="26"/>
      <c r="W855" s="26"/>
      <c r="X855" s="26"/>
    </row>
    <row r="856" spans="8:24" x14ac:dyDescent="0.2">
      <c r="H856" s="26"/>
      <c r="I856" s="26"/>
      <c r="J856" s="26"/>
      <c r="W856" s="26"/>
      <c r="X856" s="26"/>
    </row>
    <row r="857" spans="8:24" x14ac:dyDescent="0.2">
      <c r="H857" s="26"/>
      <c r="I857" s="26"/>
      <c r="J857" s="26"/>
      <c r="W857" s="26"/>
      <c r="X857" s="26"/>
    </row>
    <row r="858" spans="8:24" x14ac:dyDescent="0.2">
      <c r="H858" s="26"/>
      <c r="I858" s="26"/>
      <c r="J858" s="26"/>
      <c r="W858" s="26"/>
      <c r="X858" s="26"/>
    </row>
    <row r="859" spans="8:24" x14ac:dyDescent="0.2">
      <c r="H859" s="26"/>
      <c r="I859" s="26"/>
      <c r="J859" s="26"/>
      <c r="W859" s="26"/>
      <c r="X859" s="26"/>
    </row>
    <row r="860" spans="8:24" x14ac:dyDescent="0.2">
      <c r="H860" s="26"/>
      <c r="I860" s="26"/>
      <c r="J860" s="26"/>
      <c r="W860" s="26"/>
      <c r="X860" s="26"/>
    </row>
    <row r="861" spans="8:24" x14ac:dyDescent="0.2">
      <c r="H861" s="26"/>
      <c r="I861" s="26"/>
      <c r="J861" s="26"/>
      <c r="W861" s="26"/>
      <c r="X861" s="26"/>
    </row>
    <row r="862" spans="8:24" x14ac:dyDescent="0.2">
      <c r="H862" s="26"/>
      <c r="I862" s="26"/>
      <c r="J862" s="26"/>
      <c r="W862" s="26"/>
      <c r="X862" s="26"/>
    </row>
    <row r="863" spans="8:24" x14ac:dyDescent="0.2">
      <c r="H863" s="26"/>
      <c r="I863" s="26"/>
      <c r="J863" s="26"/>
      <c r="W863" s="26"/>
      <c r="X863" s="26"/>
    </row>
    <row r="864" spans="8:24" x14ac:dyDescent="0.2">
      <c r="H864" s="26"/>
      <c r="I864" s="26"/>
      <c r="J864" s="26"/>
      <c r="W864" s="26"/>
      <c r="X864" s="26"/>
    </row>
    <row r="865" spans="8:24" x14ac:dyDescent="0.2">
      <c r="H865" s="26"/>
      <c r="I865" s="26"/>
      <c r="J865" s="26"/>
      <c r="W865" s="26"/>
      <c r="X865" s="26"/>
    </row>
    <row r="866" spans="8:24" x14ac:dyDescent="0.2">
      <c r="H866" s="26"/>
      <c r="I866" s="26"/>
      <c r="J866" s="26"/>
      <c r="W866" s="26"/>
      <c r="X866" s="26"/>
    </row>
    <row r="867" spans="8:24" x14ac:dyDescent="0.2">
      <c r="H867" s="26"/>
      <c r="I867" s="26"/>
      <c r="J867" s="26"/>
      <c r="W867" s="26"/>
      <c r="X867" s="26"/>
    </row>
    <row r="868" spans="8:24" x14ac:dyDescent="0.2">
      <c r="H868" s="26"/>
      <c r="I868" s="26"/>
      <c r="J868" s="26"/>
      <c r="W868" s="26"/>
      <c r="X868" s="26"/>
    </row>
    <row r="869" spans="8:24" x14ac:dyDescent="0.2">
      <c r="H869" s="26"/>
      <c r="I869" s="26"/>
      <c r="J869" s="26"/>
      <c r="W869" s="26"/>
      <c r="X869" s="26"/>
    </row>
    <row r="870" spans="8:24" x14ac:dyDescent="0.2">
      <c r="H870" s="26"/>
      <c r="I870" s="26"/>
      <c r="J870" s="26"/>
      <c r="W870" s="26"/>
      <c r="X870" s="26"/>
    </row>
    <row r="871" spans="8:24" x14ac:dyDescent="0.2">
      <c r="H871" s="26"/>
      <c r="I871" s="26"/>
      <c r="J871" s="26"/>
      <c r="W871" s="26"/>
      <c r="X871" s="26"/>
    </row>
    <row r="872" spans="8:24" x14ac:dyDescent="0.2">
      <c r="H872" s="26"/>
      <c r="I872" s="26"/>
      <c r="J872" s="26"/>
      <c r="W872" s="26"/>
      <c r="X872" s="26"/>
    </row>
    <row r="873" spans="8:24" x14ac:dyDescent="0.2">
      <c r="H873" s="26"/>
      <c r="I873" s="26"/>
      <c r="J873" s="26"/>
      <c r="W873" s="26"/>
      <c r="X873" s="26"/>
    </row>
    <row r="874" spans="8:24" x14ac:dyDescent="0.2">
      <c r="H874" s="26"/>
      <c r="I874" s="26"/>
      <c r="J874" s="26"/>
      <c r="W874" s="26"/>
      <c r="X874" s="26"/>
    </row>
    <row r="875" spans="8:24" x14ac:dyDescent="0.2">
      <c r="H875" s="26"/>
      <c r="I875" s="26"/>
      <c r="J875" s="26"/>
      <c r="W875" s="26"/>
      <c r="X875" s="26"/>
    </row>
    <row r="876" spans="8:24" x14ac:dyDescent="0.2">
      <c r="H876" s="26"/>
      <c r="I876" s="26"/>
      <c r="J876" s="26"/>
      <c r="W876" s="26"/>
      <c r="X876" s="26"/>
    </row>
    <row r="877" spans="8:24" x14ac:dyDescent="0.2">
      <c r="H877" s="26"/>
      <c r="I877" s="26"/>
      <c r="J877" s="26"/>
      <c r="W877" s="26"/>
      <c r="X877" s="26"/>
    </row>
    <row r="878" spans="8:24" x14ac:dyDescent="0.2">
      <c r="H878" s="26"/>
      <c r="I878" s="26"/>
      <c r="J878" s="26"/>
      <c r="W878" s="26"/>
      <c r="X878" s="26"/>
    </row>
    <row r="879" spans="8:24" x14ac:dyDescent="0.2">
      <c r="H879" s="26"/>
      <c r="I879" s="26"/>
      <c r="J879" s="26"/>
      <c r="W879" s="26"/>
      <c r="X879" s="26"/>
    </row>
    <row r="880" spans="8:24" x14ac:dyDescent="0.2">
      <c r="H880" s="26"/>
      <c r="I880" s="26"/>
      <c r="J880" s="26"/>
      <c r="W880" s="26"/>
      <c r="X880" s="26"/>
    </row>
    <row r="881" spans="8:24" x14ac:dyDescent="0.2">
      <c r="H881" s="26"/>
      <c r="I881" s="26"/>
      <c r="J881" s="26"/>
      <c r="W881" s="26"/>
      <c r="X881" s="26"/>
    </row>
    <row r="882" spans="8:24" x14ac:dyDescent="0.2">
      <c r="H882" s="26"/>
      <c r="I882" s="26"/>
      <c r="J882" s="26"/>
      <c r="W882" s="26"/>
      <c r="X882" s="26"/>
    </row>
    <row r="883" spans="8:24" x14ac:dyDescent="0.2">
      <c r="H883" s="26"/>
      <c r="I883" s="26"/>
      <c r="J883" s="26"/>
      <c r="W883" s="26"/>
      <c r="X883" s="26"/>
    </row>
    <row r="884" spans="8:24" x14ac:dyDescent="0.2">
      <c r="H884" s="26"/>
      <c r="I884" s="26"/>
      <c r="J884" s="26"/>
      <c r="W884" s="26"/>
      <c r="X884" s="26"/>
    </row>
    <row r="885" spans="8:24" x14ac:dyDescent="0.2">
      <c r="H885" s="26"/>
      <c r="I885" s="26"/>
      <c r="J885" s="26"/>
      <c r="W885" s="26"/>
      <c r="X885" s="26"/>
    </row>
    <row r="886" spans="8:24" x14ac:dyDescent="0.2">
      <c r="H886" s="26"/>
      <c r="I886" s="26"/>
      <c r="J886" s="26"/>
      <c r="W886" s="26"/>
      <c r="X886" s="26"/>
    </row>
    <row r="887" spans="8:24" x14ac:dyDescent="0.2">
      <c r="H887" s="26"/>
      <c r="I887" s="26"/>
      <c r="J887" s="26"/>
      <c r="W887" s="26"/>
      <c r="X887" s="26"/>
    </row>
    <row r="888" spans="8:24" x14ac:dyDescent="0.2">
      <c r="H888" s="26"/>
      <c r="I888" s="26"/>
      <c r="J888" s="26"/>
      <c r="W888" s="26"/>
      <c r="X888" s="26"/>
    </row>
    <row r="889" spans="8:24" x14ac:dyDescent="0.2">
      <c r="H889" s="26"/>
      <c r="I889" s="26"/>
      <c r="J889" s="26"/>
      <c r="W889" s="26"/>
      <c r="X889" s="26"/>
    </row>
    <row r="890" spans="8:24" x14ac:dyDescent="0.2">
      <c r="H890" s="26"/>
      <c r="I890" s="26"/>
      <c r="J890" s="26"/>
      <c r="W890" s="26"/>
      <c r="X890" s="26"/>
    </row>
    <row r="891" spans="8:24" x14ac:dyDescent="0.2">
      <c r="H891" s="26"/>
      <c r="I891" s="26"/>
      <c r="J891" s="26"/>
      <c r="W891" s="26"/>
      <c r="X891" s="26"/>
    </row>
    <row r="892" spans="8:24" x14ac:dyDescent="0.2">
      <c r="H892" s="26"/>
      <c r="I892" s="26"/>
      <c r="J892" s="26"/>
      <c r="W892" s="26"/>
      <c r="X892" s="26"/>
    </row>
    <row r="893" spans="8:24" x14ac:dyDescent="0.2">
      <c r="H893" s="26"/>
      <c r="I893" s="26"/>
      <c r="J893" s="26"/>
      <c r="W893" s="26"/>
      <c r="X893" s="26"/>
    </row>
    <row r="894" spans="8:24" x14ac:dyDescent="0.2">
      <c r="H894" s="26"/>
      <c r="I894" s="26"/>
      <c r="J894" s="26"/>
      <c r="W894" s="26"/>
      <c r="X894" s="26"/>
    </row>
    <row r="895" spans="8:24" x14ac:dyDescent="0.2">
      <c r="H895" s="26"/>
      <c r="I895" s="26"/>
      <c r="J895" s="26"/>
      <c r="W895" s="26"/>
      <c r="X895" s="26"/>
    </row>
    <row r="896" spans="8:24" x14ac:dyDescent="0.2">
      <c r="H896" s="26"/>
      <c r="I896" s="26"/>
      <c r="J896" s="26"/>
      <c r="W896" s="26"/>
      <c r="X896" s="26"/>
    </row>
    <row r="897" spans="8:24" x14ac:dyDescent="0.2">
      <c r="H897" s="26"/>
      <c r="I897" s="26"/>
      <c r="J897" s="26"/>
      <c r="W897" s="26"/>
      <c r="X897" s="26"/>
    </row>
    <row r="898" spans="8:24" x14ac:dyDescent="0.2">
      <c r="H898" s="26"/>
      <c r="I898" s="26"/>
      <c r="J898" s="26"/>
      <c r="W898" s="26"/>
      <c r="X898" s="26"/>
    </row>
    <row r="899" spans="8:24" x14ac:dyDescent="0.2">
      <c r="H899" s="26"/>
      <c r="I899" s="26"/>
      <c r="J899" s="26"/>
      <c r="W899" s="26"/>
      <c r="X899" s="26"/>
    </row>
    <row r="900" spans="8:24" x14ac:dyDescent="0.2">
      <c r="H900" s="26"/>
      <c r="I900" s="26"/>
      <c r="J900" s="26"/>
      <c r="W900" s="26"/>
      <c r="X900" s="26"/>
    </row>
    <row r="901" spans="8:24" x14ac:dyDescent="0.2">
      <c r="H901" s="26"/>
      <c r="I901" s="26"/>
      <c r="J901" s="26"/>
      <c r="W901" s="26"/>
      <c r="X901" s="26"/>
    </row>
    <row r="902" spans="8:24" x14ac:dyDescent="0.2">
      <c r="H902" s="26"/>
      <c r="I902" s="26"/>
      <c r="J902" s="26"/>
      <c r="W902" s="26"/>
      <c r="X902" s="26"/>
    </row>
    <row r="903" spans="8:24" x14ac:dyDescent="0.2">
      <c r="H903" s="26"/>
      <c r="I903" s="26"/>
      <c r="J903" s="26"/>
      <c r="W903" s="26"/>
      <c r="X903" s="26"/>
    </row>
    <row r="904" spans="8:24" x14ac:dyDescent="0.2">
      <c r="H904" s="26"/>
      <c r="I904" s="26"/>
      <c r="J904" s="26"/>
      <c r="W904" s="26"/>
      <c r="X904" s="26"/>
    </row>
    <row r="905" spans="8:24" x14ac:dyDescent="0.2">
      <c r="H905" s="26"/>
      <c r="I905" s="26"/>
      <c r="J905" s="26"/>
      <c r="W905" s="26"/>
      <c r="X905" s="26"/>
    </row>
    <row r="906" spans="8:24" x14ac:dyDescent="0.2">
      <c r="H906" s="26"/>
      <c r="I906" s="26"/>
      <c r="J906" s="26"/>
      <c r="W906" s="26"/>
      <c r="X906" s="26"/>
    </row>
    <row r="907" spans="8:24" x14ac:dyDescent="0.2">
      <c r="H907" s="26"/>
      <c r="I907" s="26"/>
      <c r="J907" s="26"/>
      <c r="W907" s="26"/>
      <c r="X907" s="26"/>
    </row>
    <row r="908" spans="8:24" x14ac:dyDescent="0.2">
      <c r="H908" s="26"/>
      <c r="I908" s="26"/>
      <c r="J908" s="26"/>
      <c r="W908" s="26"/>
      <c r="X908" s="26"/>
    </row>
    <row r="909" spans="8:24" x14ac:dyDescent="0.2">
      <c r="H909" s="26"/>
      <c r="I909" s="26"/>
      <c r="J909" s="26"/>
      <c r="W909" s="26"/>
      <c r="X909" s="26"/>
    </row>
    <row r="910" spans="8:24" x14ac:dyDescent="0.2">
      <c r="H910" s="26"/>
      <c r="I910" s="26"/>
      <c r="J910" s="26"/>
      <c r="W910" s="26"/>
      <c r="X910" s="26"/>
    </row>
    <row r="911" spans="8:24" x14ac:dyDescent="0.2">
      <c r="H911" s="26"/>
      <c r="I911" s="26"/>
      <c r="J911" s="26"/>
      <c r="W911" s="26"/>
      <c r="X911" s="26"/>
    </row>
    <row r="912" spans="8:24" x14ac:dyDescent="0.2">
      <c r="H912" s="26"/>
      <c r="I912" s="26"/>
      <c r="J912" s="26"/>
      <c r="W912" s="26"/>
      <c r="X912" s="26"/>
    </row>
    <row r="913" spans="8:24" x14ac:dyDescent="0.2">
      <c r="H913" s="26"/>
      <c r="I913" s="26"/>
      <c r="J913" s="26"/>
      <c r="W913" s="26"/>
      <c r="X913" s="26"/>
    </row>
    <row r="914" spans="8:24" x14ac:dyDescent="0.2">
      <c r="H914" s="26"/>
      <c r="I914" s="26"/>
      <c r="J914" s="26"/>
      <c r="W914" s="26"/>
      <c r="X914" s="26"/>
    </row>
    <row r="915" spans="8:24" x14ac:dyDescent="0.2">
      <c r="H915" s="26"/>
      <c r="I915" s="26"/>
      <c r="J915" s="26"/>
      <c r="W915" s="26"/>
      <c r="X915" s="26"/>
    </row>
    <row r="916" spans="8:24" x14ac:dyDescent="0.2">
      <c r="H916" s="26"/>
      <c r="I916" s="26"/>
      <c r="J916" s="26"/>
      <c r="W916" s="26"/>
      <c r="X916" s="26"/>
    </row>
    <row r="917" spans="8:24" x14ac:dyDescent="0.2">
      <c r="H917" s="26"/>
      <c r="I917" s="26"/>
      <c r="J917" s="26"/>
      <c r="W917" s="26"/>
      <c r="X917" s="26"/>
    </row>
    <row r="918" spans="8:24" x14ac:dyDescent="0.2">
      <c r="H918" s="26"/>
      <c r="I918" s="26"/>
      <c r="J918" s="26"/>
      <c r="W918" s="26"/>
      <c r="X918" s="26"/>
    </row>
    <row r="919" spans="8:24" x14ac:dyDescent="0.2">
      <c r="H919" s="26"/>
      <c r="I919" s="26"/>
      <c r="J919" s="26"/>
      <c r="W919" s="26"/>
      <c r="X919" s="26"/>
    </row>
    <row r="920" spans="8:24" x14ac:dyDescent="0.2">
      <c r="H920" s="26"/>
      <c r="I920" s="26"/>
      <c r="J920" s="26"/>
      <c r="W920" s="26"/>
      <c r="X920" s="26"/>
    </row>
    <row r="921" spans="8:24" x14ac:dyDescent="0.2">
      <c r="H921" s="26"/>
      <c r="I921" s="26"/>
      <c r="J921" s="26"/>
      <c r="W921" s="26"/>
      <c r="X921" s="26"/>
    </row>
    <row r="922" spans="8:24" x14ac:dyDescent="0.2">
      <c r="H922" s="26"/>
      <c r="I922" s="26"/>
      <c r="J922" s="26"/>
      <c r="W922" s="26"/>
      <c r="X922" s="26"/>
    </row>
    <row r="923" spans="8:24" x14ac:dyDescent="0.2">
      <c r="H923" s="26"/>
      <c r="I923" s="26"/>
      <c r="J923" s="26"/>
      <c r="W923" s="26"/>
      <c r="X923" s="26"/>
    </row>
    <row r="924" spans="8:24" x14ac:dyDescent="0.2">
      <c r="H924" s="26"/>
      <c r="I924" s="26"/>
      <c r="J924" s="26"/>
      <c r="W924" s="26"/>
      <c r="X924" s="26"/>
    </row>
    <row r="925" spans="8:24" x14ac:dyDescent="0.2">
      <c r="H925" s="26"/>
      <c r="I925" s="26"/>
      <c r="J925" s="26"/>
      <c r="W925" s="26"/>
      <c r="X925" s="26"/>
    </row>
    <row r="926" spans="8:24" x14ac:dyDescent="0.2">
      <c r="H926" s="26"/>
      <c r="I926" s="26"/>
      <c r="J926" s="26"/>
      <c r="W926" s="26"/>
      <c r="X926" s="26"/>
    </row>
    <row r="927" spans="8:24" x14ac:dyDescent="0.2">
      <c r="H927" s="26"/>
      <c r="I927" s="26"/>
      <c r="J927" s="26"/>
      <c r="W927" s="26"/>
      <c r="X927" s="26"/>
    </row>
    <row r="928" spans="8:24" x14ac:dyDescent="0.2">
      <c r="H928" s="26"/>
      <c r="I928" s="26"/>
      <c r="J928" s="26"/>
      <c r="W928" s="26"/>
      <c r="X928" s="26"/>
    </row>
    <row r="929" spans="8:24" x14ac:dyDescent="0.2">
      <c r="H929" s="26"/>
      <c r="I929" s="26"/>
      <c r="J929" s="26"/>
      <c r="W929" s="26"/>
      <c r="X929" s="26"/>
    </row>
    <row r="930" spans="8:24" x14ac:dyDescent="0.2">
      <c r="H930" s="26"/>
      <c r="I930" s="26"/>
      <c r="J930" s="26"/>
      <c r="W930" s="26"/>
      <c r="X930" s="26"/>
    </row>
    <row r="931" spans="8:24" x14ac:dyDescent="0.2">
      <c r="H931" s="26"/>
      <c r="I931" s="26"/>
      <c r="J931" s="26"/>
      <c r="W931" s="26"/>
      <c r="X931" s="26"/>
    </row>
    <row r="932" spans="8:24" x14ac:dyDescent="0.2">
      <c r="H932" s="26"/>
      <c r="I932" s="26"/>
      <c r="J932" s="26"/>
      <c r="W932" s="26"/>
      <c r="X932" s="26"/>
    </row>
    <row r="933" spans="8:24" x14ac:dyDescent="0.2">
      <c r="H933" s="26"/>
      <c r="I933" s="26"/>
      <c r="J933" s="26"/>
      <c r="W933" s="26"/>
      <c r="X933" s="26"/>
    </row>
    <row r="934" spans="8:24" x14ac:dyDescent="0.2">
      <c r="H934" s="26"/>
      <c r="I934" s="26"/>
      <c r="J934" s="26"/>
      <c r="W934" s="26"/>
      <c r="X934" s="26"/>
    </row>
    <row r="935" spans="8:24" x14ac:dyDescent="0.2">
      <c r="H935" s="26"/>
      <c r="I935" s="26"/>
      <c r="J935" s="26"/>
      <c r="W935" s="26"/>
      <c r="X935" s="26"/>
    </row>
    <row r="936" spans="8:24" x14ac:dyDescent="0.2">
      <c r="H936" s="26"/>
      <c r="I936" s="26"/>
      <c r="J936" s="26"/>
      <c r="W936" s="26"/>
      <c r="X936" s="26"/>
    </row>
    <row r="937" spans="8:24" x14ac:dyDescent="0.2">
      <c r="H937" s="26"/>
      <c r="I937" s="26"/>
      <c r="J937" s="26"/>
      <c r="W937" s="26"/>
      <c r="X937" s="26"/>
    </row>
    <row r="938" spans="8:24" x14ac:dyDescent="0.2">
      <c r="H938" s="26"/>
      <c r="I938" s="26"/>
      <c r="J938" s="26"/>
      <c r="W938" s="26"/>
      <c r="X938" s="26"/>
    </row>
    <row r="939" spans="8:24" x14ac:dyDescent="0.2">
      <c r="H939" s="26"/>
      <c r="I939" s="26"/>
      <c r="J939" s="26"/>
      <c r="W939" s="26"/>
      <c r="X939" s="26"/>
    </row>
    <row r="940" spans="8:24" x14ac:dyDescent="0.2">
      <c r="H940" s="26"/>
      <c r="I940" s="26"/>
      <c r="J940" s="26"/>
      <c r="W940" s="26"/>
      <c r="X940" s="26"/>
    </row>
    <row r="941" spans="8:24" x14ac:dyDescent="0.2">
      <c r="H941" s="26"/>
      <c r="I941" s="26"/>
      <c r="J941" s="26"/>
      <c r="W941" s="26"/>
      <c r="X941" s="26"/>
    </row>
    <row r="942" spans="8:24" x14ac:dyDescent="0.2">
      <c r="H942" s="26"/>
      <c r="I942" s="26"/>
      <c r="J942" s="26"/>
      <c r="W942" s="26"/>
      <c r="X942" s="26"/>
    </row>
    <row r="943" spans="8:24" x14ac:dyDescent="0.2">
      <c r="H943" s="26"/>
      <c r="I943" s="26"/>
      <c r="J943" s="26"/>
      <c r="W943" s="26"/>
      <c r="X943" s="26"/>
    </row>
    <row r="944" spans="8:24" x14ac:dyDescent="0.2">
      <c r="H944" s="26"/>
      <c r="I944" s="26"/>
      <c r="J944" s="26"/>
      <c r="W944" s="26"/>
      <c r="X944" s="26"/>
    </row>
    <row r="945" spans="8:24" x14ac:dyDescent="0.2">
      <c r="H945" s="26"/>
      <c r="I945" s="26"/>
      <c r="J945" s="26"/>
      <c r="W945" s="26"/>
      <c r="X945" s="26"/>
    </row>
    <row r="946" spans="8:24" x14ac:dyDescent="0.2">
      <c r="H946" s="26"/>
      <c r="I946" s="26"/>
      <c r="J946" s="26"/>
      <c r="W946" s="26"/>
      <c r="X946" s="26"/>
    </row>
    <row r="947" spans="8:24" x14ac:dyDescent="0.2">
      <c r="H947" s="26"/>
      <c r="I947" s="26"/>
      <c r="J947" s="26"/>
      <c r="W947" s="26"/>
      <c r="X947" s="26"/>
    </row>
    <row r="948" spans="8:24" x14ac:dyDescent="0.2">
      <c r="H948" s="26"/>
      <c r="I948" s="26"/>
      <c r="J948" s="26"/>
      <c r="W948" s="26"/>
      <c r="X948" s="26"/>
    </row>
    <row r="949" spans="8:24" x14ac:dyDescent="0.2">
      <c r="H949" s="26"/>
      <c r="I949" s="26"/>
      <c r="J949" s="26"/>
      <c r="W949" s="26"/>
      <c r="X949" s="26"/>
    </row>
    <row r="950" spans="8:24" x14ac:dyDescent="0.2">
      <c r="H950" s="26"/>
      <c r="I950" s="26"/>
      <c r="J950" s="26"/>
      <c r="W950" s="26"/>
      <c r="X950" s="26"/>
    </row>
    <row r="951" spans="8:24" x14ac:dyDescent="0.2">
      <c r="H951" s="26"/>
      <c r="I951" s="26"/>
      <c r="J951" s="26"/>
      <c r="W951" s="26"/>
      <c r="X951" s="26"/>
    </row>
    <row r="952" spans="8:24" x14ac:dyDescent="0.2">
      <c r="H952" s="26"/>
      <c r="I952" s="26"/>
      <c r="J952" s="26"/>
      <c r="W952" s="26"/>
      <c r="X952" s="26"/>
    </row>
    <row r="953" spans="8:24" x14ac:dyDescent="0.2">
      <c r="H953" s="26"/>
      <c r="I953" s="26"/>
      <c r="J953" s="26"/>
      <c r="W953" s="26"/>
      <c r="X953" s="26"/>
    </row>
    <row r="954" spans="8:24" x14ac:dyDescent="0.2">
      <c r="H954" s="26"/>
      <c r="I954" s="26"/>
      <c r="J954" s="26"/>
      <c r="W954" s="26"/>
      <c r="X954" s="26"/>
    </row>
    <row r="955" spans="8:24" x14ac:dyDescent="0.2">
      <c r="H955" s="26"/>
      <c r="I955" s="26"/>
      <c r="J955" s="26"/>
      <c r="W955" s="26"/>
      <c r="X955" s="26"/>
    </row>
    <row r="956" spans="8:24" x14ac:dyDescent="0.2">
      <c r="H956" s="26"/>
      <c r="I956" s="26"/>
      <c r="J956" s="26"/>
      <c r="W956" s="26"/>
      <c r="X956" s="26"/>
    </row>
    <row r="957" spans="8:24" x14ac:dyDescent="0.2">
      <c r="H957" s="26"/>
      <c r="I957" s="26"/>
      <c r="J957" s="26"/>
      <c r="W957" s="26"/>
      <c r="X957" s="26"/>
    </row>
    <row r="958" spans="8:24" x14ac:dyDescent="0.2">
      <c r="H958" s="26"/>
      <c r="I958" s="26"/>
      <c r="J958" s="26"/>
      <c r="W958" s="26"/>
      <c r="X958" s="26"/>
    </row>
    <row r="959" spans="8:24" x14ac:dyDescent="0.2">
      <c r="H959" s="26"/>
      <c r="I959" s="26"/>
      <c r="J959" s="26"/>
      <c r="W959" s="26"/>
      <c r="X959" s="26"/>
    </row>
    <row r="960" spans="8:24" x14ac:dyDescent="0.2">
      <c r="H960" s="26"/>
      <c r="I960" s="26"/>
      <c r="J960" s="26"/>
      <c r="W960" s="26"/>
      <c r="X960" s="26"/>
    </row>
    <row r="961" spans="8:24" x14ac:dyDescent="0.2">
      <c r="H961" s="26"/>
      <c r="I961" s="26"/>
      <c r="J961" s="26"/>
      <c r="W961" s="26"/>
      <c r="X961" s="26"/>
    </row>
    <row r="962" spans="8:24" x14ac:dyDescent="0.2">
      <c r="H962" s="26"/>
      <c r="I962" s="26"/>
      <c r="J962" s="26"/>
      <c r="W962" s="26"/>
      <c r="X962" s="26"/>
    </row>
    <row r="963" spans="8:24" x14ac:dyDescent="0.2">
      <c r="H963" s="26"/>
      <c r="I963" s="26"/>
      <c r="J963" s="26"/>
      <c r="W963" s="26"/>
      <c r="X963" s="26"/>
    </row>
    <row r="964" spans="8:24" x14ac:dyDescent="0.2">
      <c r="H964" s="26"/>
      <c r="I964" s="26"/>
      <c r="J964" s="26"/>
      <c r="W964" s="26"/>
      <c r="X964" s="26"/>
    </row>
    <row r="965" spans="8:24" x14ac:dyDescent="0.2">
      <c r="H965" s="26"/>
      <c r="I965" s="26"/>
      <c r="J965" s="26"/>
      <c r="W965" s="26"/>
      <c r="X965" s="26"/>
    </row>
    <row r="966" spans="8:24" x14ac:dyDescent="0.2">
      <c r="H966" s="26"/>
      <c r="I966" s="26"/>
      <c r="J966" s="26"/>
      <c r="W966" s="26"/>
      <c r="X966" s="26"/>
    </row>
    <row r="967" spans="8:24" x14ac:dyDescent="0.2">
      <c r="H967" s="26"/>
      <c r="I967" s="26"/>
      <c r="J967" s="26"/>
      <c r="W967" s="26"/>
      <c r="X967" s="26"/>
    </row>
    <row r="968" spans="8:24" x14ac:dyDescent="0.2">
      <c r="H968" s="26"/>
      <c r="I968" s="26"/>
      <c r="J968" s="26"/>
      <c r="W968" s="26"/>
      <c r="X968" s="26"/>
    </row>
    <row r="969" spans="8:24" x14ac:dyDescent="0.2">
      <c r="H969" s="26"/>
      <c r="I969" s="26"/>
      <c r="J969" s="26"/>
      <c r="W969" s="26"/>
      <c r="X969" s="26"/>
    </row>
    <row r="970" spans="8:24" x14ac:dyDescent="0.2">
      <c r="H970" s="26"/>
      <c r="I970" s="26"/>
      <c r="J970" s="26"/>
      <c r="W970" s="26"/>
      <c r="X970" s="26"/>
    </row>
    <row r="971" spans="8:24" x14ac:dyDescent="0.2">
      <c r="H971" s="26"/>
      <c r="I971" s="26"/>
      <c r="J971" s="26"/>
      <c r="W971" s="26"/>
      <c r="X971" s="26"/>
    </row>
    <row r="972" spans="8:24" x14ac:dyDescent="0.2">
      <c r="H972" s="26"/>
      <c r="I972" s="26"/>
      <c r="J972" s="26"/>
      <c r="W972" s="26"/>
      <c r="X972" s="26"/>
    </row>
    <row r="973" spans="8:24" x14ac:dyDescent="0.2">
      <c r="H973" s="26"/>
      <c r="I973" s="26"/>
      <c r="J973" s="26"/>
      <c r="W973" s="26"/>
      <c r="X973" s="26"/>
    </row>
    <row r="974" spans="8:24" x14ac:dyDescent="0.2">
      <c r="H974" s="26"/>
      <c r="I974" s="26"/>
      <c r="J974" s="26"/>
      <c r="W974" s="26"/>
      <c r="X974" s="26"/>
    </row>
    <row r="975" spans="8:24" x14ac:dyDescent="0.2">
      <c r="H975" s="26"/>
      <c r="I975" s="26"/>
      <c r="J975" s="26"/>
      <c r="W975" s="26"/>
      <c r="X975" s="26"/>
    </row>
    <row r="976" spans="8:24" x14ac:dyDescent="0.2">
      <c r="H976" s="26"/>
      <c r="I976" s="26"/>
      <c r="J976" s="26"/>
      <c r="W976" s="26"/>
      <c r="X976" s="26"/>
    </row>
    <row r="977" spans="8:24" x14ac:dyDescent="0.2">
      <c r="H977" s="26"/>
      <c r="I977" s="26"/>
      <c r="J977" s="26"/>
      <c r="W977" s="26"/>
      <c r="X977" s="26"/>
    </row>
    <row r="978" spans="8:24" x14ac:dyDescent="0.2">
      <c r="H978" s="26"/>
      <c r="I978" s="26"/>
      <c r="J978" s="26"/>
      <c r="W978" s="26"/>
      <c r="X978" s="26"/>
    </row>
    <row r="979" spans="8:24" x14ac:dyDescent="0.2">
      <c r="H979" s="26"/>
      <c r="I979" s="26"/>
      <c r="J979" s="26"/>
      <c r="W979" s="26"/>
      <c r="X979" s="26"/>
    </row>
    <row r="980" spans="8:24" x14ac:dyDescent="0.2">
      <c r="H980" s="26"/>
      <c r="I980" s="26"/>
      <c r="J980" s="26"/>
      <c r="W980" s="26"/>
      <c r="X980" s="26"/>
    </row>
    <row r="981" spans="8:24" x14ac:dyDescent="0.2">
      <c r="H981" s="26"/>
      <c r="I981" s="26"/>
      <c r="J981" s="26"/>
      <c r="W981" s="26"/>
      <c r="X981" s="26"/>
    </row>
    <row r="982" spans="8:24" x14ac:dyDescent="0.2">
      <c r="H982" s="26"/>
      <c r="I982" s="26"/>
      <c r="J982" s="26"/>
      <c r="W982" s="26"/>
      <c r="X982" s="26"/>
    </row>
    <row r="983" spans="8:24" x14ac:dyDescent="0.2">
      <c r="H983" s="26"/>
      <c r="I983" s="26"/>
      <c r="J983" s="26"/>
      <c r="W983" s="26"/>
      <c r="X983" s="26"/>
    </row>
    <row r="984" spans="8:24" x14ac:dyDescent="0.2">
      <c r="H984" s="26"/>
      <c r="I984" s="26"/>
      <c r="J984" s="26"/>
      <c r="W984" s="26"/>
      <c r="X984" s="26"/>
    </row>
    <row r="985" spans="8:24" x14ac:dyDescent="0.2">
      <c r="H985" s="26"/>
      <c r="I985" s="26"/>
      <c r="J985" s="26"/>
      <c r="W985" s="26"/>
      <c r="X985" s="26"/>
    </row>
    <row r="986" spans="8:24" x14ac:dyDescent="0.2">
      <c r="H986" s="26"/>
      <c r="I986" s="26"/>
      <c r="J986" s="26"/>
      <c r="W986" s="26"/>
      <c r="X986" s="26"/>
    </row>
    <row r="987" spans="8:24" x14ac:dyDescent="0.2">
      <c r="H987" s="26"/>
      <c r="I987" s="26"/>
      <c r="J987" s="26"/>
      <c r="W987" s="26"/>
      <c r="X987" s="26"/>
    </row>
    <row r="988" spans="8:24" x14ac:dyDescent="0.2">
      <c r="H988" s="26"/>
      <c r="I988" s="26"/>
      <c r="J988" s="26"/>
      <c r="W988" s="26"/>
      <c r="X988" s="26"/>
    </row>
    <row r="989" spans="8:24" x14ac:dyDescent="0.2">
      <c r="H989" s="26"/>
      <c r="I989" s="26"/>
      <c r="J989" s="26"/>
      <c r="W989" s="26"/>
      <c r="X989" s="26"/>
    </row>
    <row r="990" spans="8:24" x14ac:dyDescent="0.2">
      <c r="H990" s="26"/>
      <c r="I990" s="26"/>
      <c r="J990" s="26"/>
      <c r="W990" s="26"/>
      <c r="X990" s="26"/>
    </row>
    <row r="991" spans="8:24" x14ac:dyDescent="0.2">
      <c r="H991" s="26"/>
      <c r="I991" s="26"/>
      <c r="J991" s="26"/>
      <c r="W991" s="26"/>
      <c r="X991" s="26"/>
    </row>
    <row r="992" spans="8:24" x14ac:dyDescent="0.2">
      <c r="H992" s="26"/>
      <c r="I992" s="26"/>
      <c r="J992" s="26"/>
      <c r="W992" s="26"/>
      <c r="X992" s="26"/>
    </row>
    <row r="993" spans="8:24" x14ac:dyDescent="0.2">
      <c r="H993" s="26"/>
      <c r="I993" s="26"/>
      <c r="J993" s="26"/>
      <c r="W993" s="26"/>
      <c r="X993" s="26"/>
    </row>
    <row r="994" spans="8:24" x14ac:dyDescent="0.2">
      <c r="H994" s="26"/>
      <c r="I994" s="26"/>
      <c r="J994" s="26"/>
      <c r="W994" s="26"/>
      <c r="X994" s="26"/>
    </row>
    <row r="995" spans="8:24" x14ac:dyDescent="0.2">
      <c r="H995" s="26"/>
      <c r="I995" s="26"/>
      <c r="J995" s="26"/>
      <c r="W995" s="26"/>
      <c r="X995" s="26"/>
    </row>
    <row r="996" spans="8:24" x14ac:dyDescent="0.2">
      <c r="H996" s="26"/>
      <c r="I996" s="26"/>
      <c r="J996" s="26"/>
      <c r="W996" s="26"/>
      <c r="X996" s="26"/>
    </row>
    <row r="997" spans="8:24" x14ac:dyDescent="0.2">
      <c r="H997" s="26"/>
      <c r="I997" s="26"/>
      <c r="J997" s="26"/>
      <c r="W997" s="26"/>
      <c r="X997" s="26"/>
    </row>
    <row r="998" spans="8:24" x14ac:dyDescent="0.2">
      <c r="H998" s="26"/>
      <c r="I998" s="26"/>
      <c r="J998" s="26"/>
      <c r="W998" s="26"/>
      <c r="X998" s="26"/>
    </row>
    <row r="999" spans="8:24" x14ac:dyDescent="0.2">
      <c r="H999" s="26"/>
      <c r="I999" s="26"/>
      <c r="J999" s="26"/>
      <c r="W999" s="26"/>
      <c r="X999" s="26"/>
    </row>
    <row r="1000" spans="8:24" x14ac:dyDescent="0.2">
      <c r="H1000" s="26"/>
      <c r="I1000" s="26"/>
      <c r="J1000" s="26"/>
      <c r="W1000" s="26"/>
      <c r="X1000" s="26"/>
    </row>
    <row r="1001" spans="8:24" x14ac:dyDescent="0.2">
      <c r="H1001" s="26"/>
      <c r="I1001" s="26"/>
      <c r="J1001" s="26"/>
      <c r="W1001" s="26"/>
      <c r="X1001" s="26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BM1001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.75" customHeight="1" x14ac:dyDescent="0.2"/>
  <cols>
    <col min="1" max="1" width="6.42578125" customWidth="1"/>
    <col min="2" max="2" width="47.42578125" customWidth="1"/>
    <col min="3" max="3" width="4.42578125" customWidth="1"/>
    <col min="4" max="4" width="8.7109375" hidden="1" customWidth="1"/>
    <col min="5" max="5" width="30.7109375" hidden="1" customWidth="1"/>
    <col min="6" max="6" width="8.28515625" hidden="1" customWidth="1"/>
    <col min="7" max="7" width="29.42578125" hidden="1" customWidth="1"/>
    <col min="8" max="8" width="9.140625" hidden="1" customWidth="1"/>
    <col min="9" max="9" width="9.85546875" hidden="1" customWidth="1"/>
    <col min="10" max="10" width="7.140625" customWidth="1"/>
    <col min="11" max="11" width="10.42578125" customWidth="1"/>
    <col min="12" max="12" width="7.5703125" customWidth="1"/>
    <col min="13" max="13" width="9.28515625" hidden="1" customWidth="1"/>
    <col min="14" max="14" width="11.7109375" hidden="1" customWidth="1"/>
    <col min="15" max="15" width="9.42578125" customWidth="1"/>
    <col min="16" max="16" width="9.28515625" hidden="1" customWidth="1"/>
    <col min="17" max="17" width="12.5703125" hidden="1" customWidth="1"/>
    <col min="18" max="18" width="9.42578125" customWidth="1"/>
    <col min="19" max="19" width="9.28515625" hidden="1" customWidth="1"/>
    <col min="20" max="20" width="11.7109375" hidden="1" customWidth="1"/>
    <col min="21" max="21" width="9.42578125" customWidth="1"/>
    <col min="22" max="22" width="8" hidden="1" customWidth="1"/>
    <col min="23" max="23" width="8" customWidth="1"/>
    <col min="24" max="24" width="10.42578125" customWidth="1"/>
    <col min="25" max="25" width="13.5703125" customWidth="1"/>
    <col min="26" max="26" width="9.42578125" hidden="1" customWidth="1"/>
    <col min="27" max="28" width="10.42578125" hidden="1" customWidth="1"/>
    <col min="29" max="29" width="11.7109375" hidden="1" customWidth="1"/>
    <col min="30" max="30" width="13.28515625" hidden="1" customWidth="1"/>
    <col min="31" max="31" width="9.42578125" hidden="1" customWidth="1"/>
    <col min="32" max="33" width="10.42578125" hidden="1" customWidth="1"/>
    <col min="34" max="34" width="11.7109375" hidden="1" customWidth="1"/>
    <col min="35" max="35" width="13.28515625" hidden="1" customWidth="1"/>
    <col min="36" max="36" width="9.42578125" hidden="1" customWidth="1"/>
    <col min="37" max="38" width="10.42578125" hidden="1" customWidth="1"/>
    <col min="39" max="39" width="11.7109375" hidden="1" customWidth="1"/>
    <col min="40" max="40" width="13.28515625" hidden="1" customWidth="1"/>
    <col min="41" max="41" width="9.42578125" hidden="1" customWidth="1"/>
    <col min="42" max="43" width="10.42578125" hidden="1" customWidth="1"/>
    <col min="44" max="44" width="11.7109375" hidden="1" customWidth="1"/>
    <col min="45" max="45" width="13.28515625" hidden="1" customWidth="1"/>
    <col min="46" max="46" width="9.42578125" hidden="1" customWidth="1"/>
    <col min="47" max="48" width="10.42578125" hidden="1" customWidth="1"/>
    <col min="49" max="49" width="11.7109375" hidden="1" customWidth="1"/>
    <col min="50" max="50" width="13.28515625" hidden="1" customWidth="1"/>
    <col min="51" max="51" width="9.42578125" hidden="1" customWidth="1"/>
    <col min="52" max="53" width="10.42578125" hidden="1" customWidth="1"/>
    <col min="54" max="54" width="11.7109375" hidden="1" customWidth="1"/>
    <col min="55" max="55" width="13.28515625" hidden="1" customWidth="1"/>
    <col min="56" max="56" width="9.42578125" hidden="1" customWidth="1"/>
    <col min="57" max="58" width="10.42578125" hidden="1" customWidth="1"/>
    <col min="59" max="59" width="11.7109375" hidden="1" customWidth="1"/>
    <col min="60" max="60" width="13.28515625" hidden="1" customWidth="1"/>
    <col min="61" max="61" width="9.42578125" hidden="1" customWidth="1"/>
    <col min="62" max="63" width="10.42578125" hidden="1" customWidth="1"/>
    <col min="64" max="64" width="11.7109375" hidden="1" customWidth="1"/>
    <col min="65" max="65" width="13.28515625" hidden="1" customWidth="1"/>
  </cols>
  <sheetData>
    <row r="1" spans="1:65" x14ac:dyDescent="0.2">
      <c r="A1" s="1"/>
      <c r="B1" s="1"/>
      <c r="C1" s="1"/>
      <c r="D1" s="1"/>
      <c r="E1" s="1"/>
      <c r="F1" s="1"/>
      <c r="G1" s="1"/>
      <c r="H1" s="2"/>
      <c r="I1" s="2"/>
      <c r="J1" s="3">
        <f t="shared" ref="J1:K1" si="0">SUM(J3:J91)</f>
        <v>452440.64800000004</v>
      </c>
      <c r="K1" s="4">
        <f t="shared" si="0"/>
        <v>470</v>
      </c>
      <c r="L1" s="4"/>
      <c r="M1" s="1"/>
      <c r="N1" s="1"/>
      <c r="O1" s="5"/>
      <c r="P1" s="1"/>
      <c r="Q1" s="1"/>
      <c r="R1" s="5"/>
      <c r="S1" s="1"/>
      <c r="T1" s="1"/>
      <c r="U1" s="5"/>
      <c r="V1" s="7"/>
      <c r="W1" s="7">
        <f>Y1/X1</f>
        <v>0.92375508672867312</v>
      </c>
      <c r="X1" s="10">
        <f t="shared" ref="X1:Y1" si="1">SUM(X3:X91)</f>
        <v>932219.96000000008</v>
      </c>
      <c r="Y1" s="10">
        <f t="shared" si="1"/>
        <v>861142.93000000028</v>
      </c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65" x14ac:dyDescent="0.2">
      <c r="A2" s="12" t="s">
        <v>0</v>
      </c>
      <c r="B2" s="12" t="s">
        <v>1</v>
      </c>
      <c r="C2" s="12" t="s">
        <v>2</v>
      </c>
      <c r="D2" s="12" t="s">
        <v>4</v>
      </c>
      <c r="E2" s="12" t="s">
        <v>5</v>
      </c>
      <c r="F2" s="12" t="s">
        <v>6</v>
      </c>
      <c r="G2" s="12" t="s">
        <v>7</v>
      </c>
      <c r="H2" s="13" t="s">
        <v>8</v>
      </c>
      <c r="I2" s="13" t="s">
        <v>9</v>
      </c>
      <c r="J2" s="3" t="s">
        <v>10</v>
      </c>
      <c r="K2" s="4" t="s">
        <v>11</v>
      </c>
      <c r="L2" s="4"/>
      <c r="M2" s="12" t="s">
        <v>12</v>
      </c>
      <c r="N2" s="12" t="s">
        <v>13</v>
      </c>
      <c r="O2" s="5" t="s">
        <v>14</v>
      </c>
      <c r="P2" s="12" t="s">
        <v>15</v>
      </c>
      <c r="Q2" s="12" t="s">
        <v>16</v>
      </c>
      <c r="R2" s="5" t="s">
        <v>17</v>
      </c>
      <c r="S2" s="12" t="s">
        <v>18</v>
      </c>
      <c r="T2" s="12" t="s">
        <v>19</v>
      </c>
      <c r="U2" s="5" t="s">
        <v>20</v>
      </c>
      <c r="V2" s="12"/>
      <c r="W2" s="12" t="s">
        <v>21</v>
      </c>
      <c r="X2" s="13" t="s">
        <v>22</v>
      </c>
      <c r="Y2" s="13" t="s">
        <v>23</v>
      </c>
      <c r="Z2" s="12" t="s">
        <v>24</v>
      </c>
      <c r="AA2" s="12" t="s">
        <v>25</v>
      </c>
      <c r="AB2" s="12" t="s">
        <v>26</v>
      </c>
      <c r="AC2" s="12" t="s">
        <v>27</v>
      </c>
      <c r="AD2" s="12" t="s">
        <v>28</v>
      </c>
      <c r="AE2" s="12" t="s">
        <v>29</v>
      </c>
      <c r="AF2" s="12" t="s">
        <v>30</v>
      </c>
      <c r="AG2" s="12" t="s">
        <v>31</v>
      </c>
      <c r="AH2" s="12" t="s">
        <v>32</v>
      </c>
      <c r="AI2" s="12" t="s">
        <v>33</v>
      </c>
      <c r="AJ2" s="12" t="s">
        <v>34</v>
      </c>
      <c r="AK2" s="12" t="s">
        <v>35</v>
      </c>
      <c r="AL2" s="12" t="s">
        <v>36</v>
      </c>
      <c r="AM2" s="12" t="s">
        <v>37</v>
      </c>
      <c r="AN2" s="12" t="s">
        <v>38</v>
      </c>
      <c r="AO2" s="12" t="s">
        <v>39</v>
      </c>
      <c r="AP2" s="12" t="s">
        <v>40</v>
      </c>
      <c r="AQ2" s="12" t="s">
        <v>41</v>
      </c>
      <c r="AR2" s="12" t="s">
        <v>42</v>
      </c>
      <c r="AS2" s="12" t="s">
        <v>43</v>
      </c>
      <c r="AT2" s="12" t="s">
        <v>44</v>
      </c>
      <c r="AU2" s="12" t="s">
        <v>45</v>
      </c>
      <c r="AV2" s="12" t="s">
        <v>46</v>
      </c>
      <c r="AW2" s="12" t="s">
        <v>47</v>
      </c>
      <c r="AX2" s="12" t="s">
        <v>48</v>
      </c>
      <c r="AY2" s="12" t="s">
        <v>49</v>
      </c>
      <c r="AZ2" s="12" t="s">
        <v>50</v>
      </c>
      <c r="BA2" s="12" t="s">
        <v>51</v>
      </c>
      <c r="BB2" s="12" t="s">
        <v>52</v>
      </c>
      <c r="BC2" s="12" t="s">
        <v>53</v>
      </c>
      <c r="BD2" s="12" t="s">
        <v>54</v>
      </c>
      <c r="BE2" s="12" t="s">
        <v>55</v>
      </c>
      <c r="BF2" s="12" t="s">
        <v>56</v>
      </c>
      <c r="BG2" s="12" t="s">
        <v>57</v>
      </c>
      <c r="BH2" s="12" t="s">
        <v>58</v>
      </c>
      <c r="BI2" s="12" t="s">
        <v>59</v>
      </c>
      <c r="BJ2" s="12" t="s">
        <v>60</v>
      </c>
      <c r="BK2" s="12" t="s">
        <v>61</v>
      </c>
      <c r="BL2" s="12" t="s">
        <v>62</v>
      </c>
      <c r="BM2" s="12" t="s">
        <v>63</v>
      </c>
    </row>
    <row r="3" spans="1:65" x14ac:dyDescent="0.2">
      <c r="A3" s="1">
        <v>47001</v>
      </c>
      <c r="B3" s="1" t="s">
        <v>65</v>
      </c>
      <c r="C3" s="1">
        <v>16</v>
      </c>
      <c r="D3" s="1">
        <v>677</v>
      </c>
      <c r="E3" s="1" t="s">
        <v>64</v>
      </c>
      <c r="F3" s="1">
        <v>61</v>
      </c>
      <c r="G3" s="1" t="s">
        <v>66</v>
      </c>
      <c r="H3" s="2">
        <v>56.590200000000003</v>
      </c>
      <c r="I3" s="2">
        <v>905.44320000000005</v>
      </c>
      <c r="J3" s="14">
        <f t="shared" ref="J3:J91" si="2">K3*I3</f>
        <v>54326.592000000004</v>
      </c>
      <c r="K3" s="19">
        <v>60</v>
      </c>
      <c r="L3" s="19">
        <v>3</v>
      </c>
      <c r="M3" s="1">
        <v>31.88</v>
      </c>
      <c r="N3" s="1">
        <v>21.69</v>
      </c>
      <c r="O3" s="5">
        <v>40</v>
      </c>
      <c r="P3" s="1">
        <v>58.66</v>
      </c>
      <c r="Q3" s="1">
        <v>69.75</v>
      </c>
      <c r="R3" s="17">
        <f t="shared" ref="R3:R4" si="3">MAX(0,(TRUNC((P3*0.8)-Q3)))</f>
        <v>0</v>
      </c>
      <c r="S3" s="1">
        <v>46.22</v>
      </c>
      <c r="T3" s="1">
        <v>17.690000000000001</v>
      </c>
      <c r="U3" s="5">
        <v>20</v>
      </c>
      <c r="V3" s="1">
        <f>VLOOKUP(A3:A91,'120326'!A3:T91,20,FALSE)</f>
        <v>40</v>
      </c>
      <c r="W3" s="1">
        <v>0</v>
      </c>
      <c r="X3" s="18">
        <v>123819.36</v>
      </c>
      <c r="Y3" s="2">
        <v>98806.49</v>
      </c>
      <c r="Z3" s="1">
        <v>161</v>
      </c>
      <c r="AA3" s="1">
        <v>273</v>
      </c>
      <c r="AB3" s="1">
        <v>152</v>
      </c>
      <c r="AC3" s="1">
        <v>121</v>
      </c>
      <c r="AD3" s="1">
        <v>347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352</v>
      </c>
      <c r="AU3" s="1">
        <v>281</v>
      </c>
      <c r="AV3" s="1">
        <v>339</v>
      </c>
      <c r="AW3" s="1">
        <v>214</v>
      </c>
      <c r="AX3" s="1">
        <v>1116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221</v>
      </c>
      <c r="BE3" s="1">
        <v>346</v>
      </c>
      <c r="BF3" s="1">
        <v>256</v>
      </c>
      <c r="BG3" s="1">
        <v>179</v>
      </c>
      <c r="BH3" s="1">
        <v>283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</row>
    <row r="4" spans="1:65" x14ac:dyDescent="0.2">
      <c r="A4" s="1">
        <v>47010</v>
      </c>
      <c r="B4" s="1" t="s">
        <v>71</v>
      </c>
      <c r="C4" s="1">
        <v>24</v>
      </c>
      <c r="D4" s="1">
        <v>677</v>
      </c>
      <c r="E4" s="1" t="s">
        <v>64</v>
      </c>
      <c r="F4" s="1">
        <v>61</v>
      </c>
      <c r="G4" s="1" t="s">
        <v>66</v>
      </c>
      <c r="H4" s="2">
        <v>48.56</v>
      </c>
      <c r="I4" s="2">
        <v>1165.44</v>
      </c>
      <c r="J4" s="14">
        <f t="shared" si="2"/>
        <v>58272</v>
      </c>
      <c r="K4" s="19">
        <v>50</v>
      </c>
      <c r="L4" s="19">
        <v>5</v>
      </c>
      <c r="M4" s="1">
        <v>21.44</v>
      </c>
      <c r="N4" s="1">
        <v>21.83</v>
      </c>
      <c r="O4" s="5">
        <v>20</v>
      </c>
      <c r="P4" s="1">
        <v>20.98</v>
      </c>
      <c r="Q4" s="1">
        <v>22.75</v>
      </c>
      <c r="R4" s="17">
        <f t="shared" si="3"/>
        <v>0</v>
      </c>
      <c r="S4" s="1">
        <v>24.83</v>
      </c>
      <c r="T4" s="1">
        <v>1</v>
      </c>
      <c r="U4" s="5">
        <v>30</v>
      </c>
      <c r="V4" s="1">
        <f>VLOOKUP(A4:A92,'120326'!A4:T92,20,FALSE)</f>
        <v>30</v>
      </c>
      <c r="W4" s="1">
        <v>0</v>
      </c>
      <c r="X4" s="18">
        <v>78375.839999999997</v>
      </c>
      <c r="Y4" s="2">
        <v>53124.639999999999</v>
      </c>
      <c r="Z4" s="1">
        <v>149</v>
      </c>
      <c r="AA4" s="1">
        <v>419</v>
      </c>
      <c r="AB4" s="1">
        <v>100</v>
      </c>
      <c r="AC4" s="1">
        <v>112</v>
      </c>
      <c r="AD4" s="1">
        <v>524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151</v>
      </c>
      <c r="AU4" s="1">
        <v>167</v>
      </c>
      <c r="AV4" s="1">
        <v>199</v>
      </c>
      <c r="AW4" s="1">
        <v>140</v>
      </c>
      <c r="AX4" s="1">
        <v>546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78</v>
      </c>
      <c r="BE4" s="1">
        <v>329</v>
      </c>
      <c r="BF4" s="1">
        <v>295</v>
      </c>
      <c r="BG4" s="1">
        <v>117</v>
      </c>
      <c r="BH4" s="1">
        <v>24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</row>
    <row r="5" spans="1:65" x14ac:dyDescent="0.2">
      <c r="A5" s="1">
        <v>47023</v>
      </c>
      <c r="B5" s="1" t="s">
        <v>76</v>
      </c>
      <c r="C5" s="1">
        <v>8</v>
      </c>
      <c r="D5" s="1">
        <v>677</v>
      </c>
      <c r="E5" s="1" t="s">
        <v>64</v>
      </c>
      <c r="F5" s="1">
        <v>61</v>
      </c>
      <c r="G5" s="1" t="s">
        <v>66</v>
      </c>
      <c r="H5" s="2">
        <v>105.55</v>
      </c>
      <c r="I5" s="2">
        <v>844.4</v>
      </c>
      <c r="J5" s="14">
        <f t="shared" si="2"/>
        <v>59108</v>
      </c>
      <c r="K5" s="21">
        <f>SUM(O5+R5+U5)</f>
        <v>70</v>
      </c>
      <c r="L5" s="15"/>
      <c r="M5" s="1">
        <v>28.94</v>
      </c>
      <c r="N5" s="1">
        <v>10.75</v>
      </c>
      <c r="O5" s="5">
        <v>30</v>
      </c>
      <c r="P5" s="1">
        <v>29.94</v>
      </c>
      <c r="Q5" s="1">
        <v>19.88</v>
      </c>
      <c r="R5" s="5">
        <v>10</v>
      </c>
      <c r="S5" s="1">
        <v>33.44</v>
      </c>
      <c r="T5" s="1">
        <v>-5</v>
      </c>
      <c r="U5" s="5">
        <v>30</v>
      </c>
      <c r="V5" s="1">
        <f>VLOOKUP(A5:A93,'120326'!A5:T93,20,FALSE)</f>
        <v>20</v>
      </c>
      <c r="W5" s="1">
        <v>0</v>
      </c>
      <c r="X5" s="18">
        <v>77948.679999999993</v>
      </c>
      <c r="Y5" s="2">
        <v>21637.75</v>
      </c>
      <c r="Z5" s="1">
        <v>46</v>
      </c>
      <c r="AA5" s="1">
        <v>115</v>
      </c>
      <c r="AB5" s="1">
        <v>104</v>
      </c>
      <c r="AC5" s="1">
        <v>48</v>
      </c>
      <c r="AD5" s="1">
        <v>86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90</v>
      </c>
      <c r="AU5" s="1">
        <v>57</v>
      </c>
      <c r="AV5" s="1">
        <v>89</v>
      </c>
      <c r="AW5" s="1">
        <v>64</v>
      </c>
      <c r="AX5" s="1">
        <v>159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42</v>
      </c>
      <c r="BE5" s="1">
        <v>78</v>
      </c>
      <c r="BF5" s="1">
        <v>125</v>
      </c>
      <c r="BG5" s="1">
        <v>123</v>
      </c>
      <c r="BH5" s="1">
        <v>-40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</row>
    <row r="6" spans="1:65" x14ac:dyDescent="0.2">
      <c r="A6" s="1">
        <v>47005</v>
      </c>
      <c r="B6" s="1" t="s">
        <v>68</v>
      </c>
      <c r="C6" s="1">
        <v>24</v>
      </c>
      <c r="D6" s="1">
        <v>677</v>
      </c>
      <c r="E6" s="1" t="s">
        <v>64</v>
      </c>
      <c r="F6" s="1">
        <v>61</v>
      </c>
      <c r="G6" s="1" t="s">
        <v>66</v>
      </c>
      <c r="H6" s="2">
        <v>22.315999999999999</v>
      </c>
      <c r="I6" s="2">
        <v>535.58399999999995</v>
      </c>
      <c r="J6" s="14">
        <f t="shared" si="2"/>
        <v>32135.039999999997</v>
      </c>
      <c r="K6" s="19">
        <v>60</v>
      </c>
      <c r="L6" s="19">
        <v>6</v>
      </c>
      <c r="M6" s="1">
        <v>42.79</v>
      </c>
      <c r="N6" s="1">
        <v>25.46</v>
      </c>
      <c r="O6" s="5">
        <v>10</v>
      </c>
      <c r="P6" s="1">
        <v>43.46</v>
      </c>
      <c r="Q6" s="1">
        <v>68.08</v>
      </c>
      <c r="R6" s="17">
        <f t="shared" ref="R6:R7" si="4">MAX(0,(TRUNC((P6*0.8)-Q6)))</f>
        <v>0</v>
      </c>
      <c r="S6" s="1">
        <v>54.23</v>
      </c>
      <c r="T6" s="1">
        <v>31.12</v>
      </c>
      <c r="U6" s="5">
        <v>30</v>
      </c>
      <c r="V6" s="1">
        <f>VLOOKUP(A6:A94,'120326'!A6:T94,20,FALSE)</f>
        <v>0</v>
      </c>
      <c r="W6" s="1">
        <v>0</v>
      </c>
      <c r="X6" s="18">
        <v>75238.39</v>
      </c>
      <c r="Y6" s="2">
        <v>66769.47</v>
      </c>
      <c r="Z6" s="1">
        <v>283</v>
      </c>
      <c r="AA6" s="1">
        <v>312</v>
      </c>
      <c r="AB6" s="1">
        <v>402</v>
      </c>
      <c r="AC6" s="1">
        <v>372</v>
      </c>
      <c r="AD6" s="1">
        <v>611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293</v>
      </c>
      <c r="AU6" s="1">
        <v>224</v>
      </c>
      <c r="AV6" s="1">
        <v>431</v>
      </c>
      <c r="AW6" s="1">
        <v>414</v>
      </c>
      <c r="AX6" s="1">
        <v>1634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236</v>
      </c>
      <c r="BE6" s="1">
        <v>609</v>
      </c>
      <c r="BF6" s="1">
        <v>557</v>
      </c>
      <c r="BG6" s="1">
        <v>408</v>
      </c>
      <c r="BH6" s="1">
        <v>747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</row>
    <row r="7" spans="1:65" x14ac:dyDescent="0.2">
      <c r="A7" s="1">
        <v>47012</v>
      </c>
      <c r="B7" s="1" t="s">
        <v>74</v>
      </c>
      <c r="C7" s="1">
        <v>18</v>
      </c>
      <c r="D7" s="1">
        <v>677</v>
      </c>
      <c r="E7" s="1" t="s">
        <v>64</v>
      </c>
      <c r="F7" s="1">
        <v>61</v>
      </c>
      <c r="G7" s="1" t="s">
        <v>66</v>
      </c>
      <c r="H7" s="2">
        <v>58.837899999999998</v>
      </c>
      <c r="I7" s="2">
        <v>1059.0822000000001</v>
      </c>
      <c r="J7" s="14">
        <f t="shared" si="2"/>
        <v>42363.288</v>
      </c>
      <c r="K7" s="4">
        <v>40</v>
      </c>
      <c r="L7" s="19" t="s">
        <v>83</v>
      </c>
      <c r="M7" s="1">
        <v>19.22</v>
      </c>
      <c r="N7" s="1">
        <v>22.78</v>
      </c>
      <c r="O7" s="5">
        <v>10</v>
      </c>
      <c r="P7" s="1">
        <v>33</v>
      </c>
      <c r="Q7" s="1">
        <v>44</v>
      </c>
      <c r="R7" s="17">
        <f t="shared" si="4"/>
        <v>0</v>
      </c>
      <c r="S7" s="1">
        <v>18.64</v>
      </c>
      <c r="T7" s="1">
        <v>8.33</v>
      </c>
      <c r="U7" s="5">
        <v>20</v>
      </c>
      <c r="V7" s="1" t="e">
        <f>VLOOKUP(A7:A95,'120326'!A7:T95,20,FALSE)</f>
        <v>#N/A</v>
      </c>
      <c r="W7" s="1">
        <v>0</v>
      </c>
      <c r="X7" s="18">
        <v>75047.740000000005</v>
      </c>
      <c r="Y7" s="2">
        <v>79548.84</v>
      </c>
      <c r="Z7" s="1">
        <v>61</v>
      </c>
      <c r="AA7" s="1">
        <v>93</v>
      </c>
      <c r="AB7" s="1">
        <v>194</v>
      </c>
      <c r="AC7" s="1">
        <v>89</v>
      </c>
      <c r="AD7" s="1">
        <v>410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138</v>
      </c>
      <c r="AU7" s="1">
        <v>268</v>
      </c>
      <c r="AV7" s="1">
        <v>220</v>
      </c>
      <c r="AW7" s="1">
        <v>204</v>
      </c>
      <c r="AX7" s="1">
        <v>792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186</v>
      </c>
      <c r="BE7" s="1">
        <v>127</v>
      </c>
      <c r="BF7" s="1">
        <v>36</v>
      </c>
      <c r="BG7" s="1">
        <v>100</v>
      </c>
      <c r="BH7" s="1">
        <v>150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</row>
    <row r="8" spans="1:65" x14ac:dyDescent="0.2">
      <c r="A8" s="1">
        <v>47046</v>
      </c>
      <c r="B8" s="1" t="s">
        <v>78</v>
      </c>
      <c r="C8" s="1">
        <v>24</v>
      </c>
      <c r="D8" s="1">
        <v>677</v>
      </c>
      <c r="E8" s="1" t="s">
        <v>64</v>
      </c>
      <c r="F8" s="1">
        <v>61</v>
      </c>
      <c r="G8" s="1" t="s">
        <v>66</v>
      </c>
      <c r="H8" s="2">
        <v>39.11</v>
      </c>
      <c r="I8" s="2">
        <v>938.64</v>
      </c>
      <c r="J8" s="14">
        <f t="shared" si="2"/>
        <v>37545.599999999999</v>
      </c>
      <c r="K8" s="21">
        <f t="shared" ref="K8:K9" si="5">SUM(O8+R8+U8)</f>
        <v>40</v>
      </c>
      <c r="L8" s="19">
        <v>2</v>
      </c>
      <c r="M8" s="1">
        <v>13.4</v>
      </c>
      <c r="N8" s="1">
        <v>28.75</v>
      </c>
      <c r="O8" s="17">
        <f t="shared" ref="O8:O9" si="6">MAX(0,(TRUNC((M8*0.8)-N8)))</f>
        <v>0</v>
      </c>
      <c r="P8" s="1">
        <v>20.85</v>
      </c>
      <c r="Q8" s="1">
        <v>21.83</v>
      </c>
      <c r="R8" s="5">
        <v>10</v>
      </c>
      <c r="S8" s="1">
        <v>24.67</v>
      </c>
      <c r="T8" s="1">
        <v>9.1199999999999992</v>
      </c>
      <c r="U8" s="5">
        <v>30</v>
      </c>
      <c r="V8" s="1">
        <f>VLOOKUP(A8:A96,'120326'!A8:T96,20,FALSE)</f>
        <v>0</v>
      </c>
      <c r="W8" s="1">
        <v>0</v>
      </c>
      <c r="X8" s="18">
        <v>55301.54</v>
      </c>
      <c r="Y8" s="2">
        <v>56044.63</v>
      </c>
      <c r="Z8" s="1">
        <v>84</v>
      </c>
      <c r="AA8" s="1">
        <v>76</v>
      </c>
      <c r="AB8" s="1">
        <v>149</v>
      </c>
      <c r="AC8" s="1">
        <v>101</v>
      </c>
      <c r="AD8" s="1">
        <v>690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148</v>
      </c>
      <c r="AU8" s="1">
        <v>118</v>
      </c>
      <c r="AV8" s="1">
        <v>234</v>
      </c>
      <c r="AW8" s="1">
        <v>119</v>
      </c>
      <c r="AX8" s="1">
        <v>524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102</v>
      </c>
      <c r="BE8" s="1">
        <v>287</v>
      </c>
      <c r="BF8" s="1">
        <v>204</v>
      </c>
      <c r="BG8" s="1">
        <v>285</v>
      </c>
      <c r="BH8" s="1">
        <v>219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</row>
    <row r="9" spans="1:65" x14ac:dyDescent="0.2">
      <c r="A9" s="1">
        <v>10703</v>
      </c>
      <c r="B9" s="1" t="s">
        <v>82</v>
      </c>
      <c r="C9" s="1">
        <v>12</v>
      </c>
      <c r="D9" s="1">
        <v>677</v>
      </c>
      <c r="E9" s="1" t="s">
        <v>64</v>
      </c>
      <c r="F9" s="1">
        <v>542</v>
      </c>
      <c r="G9" s="1" t="s">
        <v>84</v>
      </c>
      <c r="H9" s="2">
        <v>133.74420000000001</v>
      </c>
      <c r="I9" s="2">
        <v>1604.9304</v>
      </c>
      <c r="J9" s="14">
        <f t="shared" si="2"/>
        <v>32098.608</v>
      </c>
      <c r="K9" s="21">
        <f t="shared" si="5"/>
        <v>20</v>
      </c>
      <c r="L9" s="15"/>
      <c r="M9" s="1">
        <v>6.12</v>
      </c>
      <c r="N9" s="1">
        <v>8</v>
      </c>
      <c r="O9" s="17">
        <f t="shared" si="6"/>
        <v>0</v>
      </c>
      <c r="P9" s="1">
        <v>10.119999999999999</v>
      </c>
      <c r="Q9" s="1">
        <v>16.170000000000002</v>
      </c>
      <c r="R9" s="5">
        <v>10</v>
      </c>
      <c r="S9" s="1">
        <v>10.79</v>
      </c>
      <c r="T9" s="1">
        <v>0.25</v>
      </c>
      <c r="U9" s="5">
        <v>10</v>
      </c>
      <c r="V9" s="1">
        <f>VLOOKUP(A9:A97,'120326'!A9:T97,20,FALSE)</f>
        <v>10</v>
      </c>
      <c r="W9" s="1">
        <v>0</v>
      </c>
      <c r="X9" s="18">
        <v>43399.99</v>
      </c>
      <c r="Y9" s="2">
        <v>39187.050000000003</v>
      </c>
      <c r="Z9" s="1">
        <v>18</v>
      </c>
      <c r="AA9" s="1">
        <v>48</v>
      </c>
      <c r="AB9" s="1">
        <v>24</v>
      </c>
      <c r="AC9" s="1">
        <v>15</v>
      </c>
      <c r="AD9" s="1">
        <v>96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25</v>
      </c>
      <c r="AU9" s="1">
        <v>51</v>
      </c>
      <c r="AV9" s="1">
        <v>53</v>
      </c>
      <c r="AW9" s="1">
        <v>36</v>
      </c>
      <c r="AX9" s="1">
        <v>194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25</v>
      </c>
      <c r="BE9" s="1">
        <v>70</v>
      </c>
      <c r="BF9" s="1">
        <v>56</v>
      </c>
      <c r="BG9" s="1">
        <v>27</v>
      </c>
      <c r="BH9" s="1">
        <v>3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</row>
    <row r="10" spans="1:65" x14ac:dyDescent="0.2">
      <c r="A10" s="1">
        <v>47039</v>
      </c>
      <c r="B10" s="1" t="s">
        <v>79</v>
      </c>
      <c r="C10" s="1">
        <v>24</v>
      </c>
      <c r="D10" s="1">
        <v>677</v>
      </c>
      <c r="E10" s="1" t="s">
        <v>64</v>
      </c>
      <c r="F10" s="1">
        <v>61</v>
      </c>
      <c r="G10" s="1" t="s">
        <v>66</v>
      </c>
      <c r="H10" s="2">
        <v>52.259</v>
      </c>
      <c r="I10" s="2">
        <v>1254.2159999999999</v>
      </c>
      <c r="J10" s="14">
        <f t="shared" si="2"/>
        <v>25084.32</v>
      </c>
      <c r="K10" s="19">
        <v>20</v>
      </c>
      <c r="L10" s="4"/>
      <c r="M10" s="1">
        <v>4.5999999999999996</v>
      </c>
      <c r="N10" s="1">
        <v>1.33</v>
      </c>
      <c r="O10" s="5">
        <v>5</v>
      </c>
      <c r="P10" s="1">
        <v>13.54</v>
      </c>
      <c r="Q10" s="1">
        <v>13.12</v>
      </c>
      <c r="R10" s="17">
        <f t="shared" ref="R10:R15" si="7">MAX(0,(TRUNC((P10*0.8)-Q10)))</f>
        <v>0</v>
      </c>
      <c r="S10" s="1">
        <v>9.83</v>
      </c>
      <c r="T10" s="1">
        <v>9.8800000000000008</v>
      </c>
      <c r="U10" s="5">
        <v>5</v>
      </c>
      <c r="V10" s="1">
        <f>VLOOKUP(A10:A98,'120326'!A10:T98,20,FALSE)</f>
        <v>0</v>
      </c>
      <c r="W10" s="1">
        <v>0</v>
      </c>
      <c r="X10" s="18">
        <v>35091.919999999998</v>
      </c>
      <c r="Y10" s="2">
        <v>30519.26</v>
      </c>
      <c r="Z10" s="1">
        <v>44</v>
      </c>
      <c r="AA10" s="1">
        <v>18</v>
      </c>
      <c r="AB10" s="1">
        <v>42</v>
      </c>
      <c r="AC10" s="1">
        <v>31</v>
      </c>
      <c r="AD10" s="1">
        <v>32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86</v>
      </c>
      <c r="AU10" s="1">
        <v>82</v>
      </c>
      <c r="AV10" s="1">
        <v>156</v>
      </c>
      <c r="AW10" s="1">
        <v>84</v>
      </c>
      <c r="AX10" s="1">
        <v>315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66</v>
      </c>
      <c r="BE10" s="1">
        <v>80</v>
      </c>
      <c r="BF10" s="1">
        <v>97</v>
      </c>
      <c r="BG10" s="1">
        <v>66</v>
      </c>
      <c r="BH10" s="1">
        <v>237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</row>
    <row r="11" spans="1:65" x14ac:dyDescent="0.2">
      <c r="A11" s="1">
        <v>47038</v>
      </c>
      <c r="B11" s="1" t="s">
        <v>90</v>
      </c>
      <c r="C11" s="1">
        <v>28</v>
      </c>
      <c r="D11" s="1">
        <v>677</v>
      </c>
      <c r="E11" s="1" t="s">
        <v>64</v>
      </c>
      <c r="F11" s="1">
        <v>61</v>
      </c>
      <c r="G11" s="1" t="s">
        <v>66</v>
      </c>
      <c r="H11" s="2">
        <v>26.59</v>
      </c>
      <c r="I11" s="2">
        <v>744.52</v>
      </c>
      <c r="J11" s="14">
        <f t="shared" si="2"/>
        <v>14890.4</v>
      </c>
      <c r="K11" s="21">
        <f>SUM(O11+R11+U11)</f>
        <v>20</v>
      </c>
      <c r="L11" s="15"/>
      <c r="M11" s="1">
        <v>7.84</v>
      </c>
      <c r="N11" s="1">
        <v>6.46</v>
      </c>
      <c r="O11" s="5">
        <v>10</v>
      </c>
      <c r="P11" s="1">
        <v>18.27</v>
      </c>
      <c r="Q11" s="1">
        <v>29.18</v>
      </c>
      <c r="R11" s="17">
        <f t="shared" si="7"/>
        <v>0</v>
      </c>
      <c r="S11" s="1">
        <v>14.54</v>
      </c>
      <c r="T11" s="1">
        <v>8.4600000000000009</v>
      </c>
      <c r="U11" s="5">
        <v>10</v>
      </c>
      <c r="V11" s="1">
        <f>VLOOKUP(A11:A99,'120326'!A11:T99,20,FALSE)</f>
        <v>5</v>
      </c>
      <c r="W11" s="1">
        <v>0</v>
      </c>
      <c r="X11" s="18">
        <v>30259.42</v>
      </c>
      <c r="Y11" s="2">
        <v>32838.65</v>
      </c>
      <c r="Z11" s="1">
        <v>42</v>
      </c>
      <c r="AA11" s="1">
        <v>72</v>
      </c>
      <c r="AB11" s="1">
        <v>83</v>
      </c>
      <c r="AC11" s="1">
        <v>117</v>
      </c>
      <c r="AD11" s="1">
        <v>181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166</v>
      </c>
      <c r="AU11" s="1">
        <v>141</v>
      </c>
      <c r="AV11" s="1">
        <v>166</v>
      </c>
      <c r="AW11" s="1">
        <v>218</v>
      </c>
      <c r="AX11" s="1">
        <v>817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44</v>
      </c>
      <c r="BE11" s="1">
        <v>249</v>
      </c>
      <c r="BF11" s="1">
        <v>207</v>
      </c>
      <c r="BG11" s="1">
        <v>63</v>
      </c>
      <c r="BH11" s="1">
        <v>237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</row>
    <row r="12" spans="1:65" x14ac:dyDescent="0.2">
      <c r="A12" s="1">
        <v>47000</v>
      </c>
      <c r="B12" s="1" t="s">
        <v>85</v>
      </c>
      <c r="C12" s="1">
        <v>16</v>
      </c>
      <c r="D12" s="1">
        <v>677</v>
      </c>
      <c r="E12" s="1" t="s">
        <v>64</v>
      </c>
      <c r="F12" s="1">
        <v>61</v>
      </c>
      <c r="G12" s="1" t="s">
        <v>66</v>
      </c>
      <c r="H12" s="2">
        <v>56.59</v>
      </c>
      <c r="I12" s="2">
        <v>905.44</v>
      </c>
      <c r="J12" s="14">
        <f t="shared" si="2"/>
        <v>18108.800000000003</v>
      </c>
      <c r="K12" s="19">
        <v>20</v>
      </c>
      <c r="L12" s="19">
        <v>1</v>
      </c>
      <c r="M12" s="1">
        <v>8.31</v>
      </c>
      <c r="N12" s="1">
        <v>8.1199999999999992</v>
      </c>
      <c r="O12" s="5">
        <v>5</v>
      </c>
      <c r="P12" s="1">
        <v>14.03</v>
      </c>
      <c r="Q12" s="1">
        <v>27.25</v>
      </c>
      <c r="R12" s="17">
        <f t="shared" si="7"/>
        <v>0</v>
      </c>
      <c r="S12" s="1">
        <v>9.59</v>
      </c>
      <c r="T12" s="1">
        <v>0</v>
      </c>
      <c r="U12" s="5">
        <v>10</v>
      </c>
      <c r="V12" s="1" t="e">
        <f>VLOOKUP(A12:A100,'120326'!A12:T100,20,FALSE)</f>
        <v>#N/A</v>
      </c>
      <c r="W12" s="1">
        <v>0</v>
      </c>
      <c r="X12" s="18">
        <v>28917.49</v>
      </c>
      <c r="Y12" s="2">
        <v>32029.94</v>
      </c>
      <c r="Z12" s="1">
        <v>37</v>
      </c>
      <c r="AA12" s="1">
        <v>47</v>
      </c>
      <c r="AB12" s="1">
        <v>37</v>
      </c>
      <c r="AC12" s="1">
        <v>71</v>
      </c>
      <c r="AD12" s="1">
        <v>130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67</v>
      </c>
      <c r="AU12" s="1">
        <v>83</v>
      </c>
      <c r="AV12" s="1">
        <v>66</v>
      </c>
      <c r="AW12" s="1">
        <v>100</v>
      </c>
      <c r="AX12" s="1">
        <v>436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36</v>
      </c>
      <c r="BE12" s="1">
        <v>83</v>
      </c>
      <c r="BF12" s="1">
        <v>56</v>
      </c>
      <c r="BG12" s="1">
        <v>40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</row>
    <row r="13" spans="1:65" x14ac:dyDescent="0.2">
      <c r="A13" s="1">
        <v>47024</v>
      </c>
      <c r="B13" s="1" t="s">
        <v>88</v>
      </c>
      <c r="C13" s="1">
        <v>12</v>
      </c>
      <c r="D13" s="1">
        <v>677</v>
      </c>
      <c r="E13" s="1" t="s">
        <v>64</v>
      </c>
      <c r="F13" s="1">
        <v>61</v>
      </c>
      <c r="G13" s="1" t="s">
        <v>66</v>
      </c>
      <c r="H13" s="2">
        <v>135.38999999999999</v>
      </c>
      <c r="I13" s="2">
        <v>1624.68</v>
      </c>
      <c r="J13" s="14">
        <f t="shared" si="2"/>
        <v>32493.600000000002</v>
      </c>
      <c r="K13" s="19">
        <v>20</v>
      </c>
      <c r="L13" s="4"/>
      <c r="M13" s="1">
        <v>7.46</v>
      </c>
      <c r="N13" s="1">
        <v>7.83</v>
      </c>
      <c r="O13" s="5">
        <v>5</v>
      </c>
      <c r="P13" s="1">
        <v>2.58</v>
      </c>
      <c r="Q13" s="1">
        <v>7.33</v>
      </c>
      <c r="R13" s="17">
        <f t="shared" si="7"/>
        <v>0</v>
      </c>
      <c r="S13" s="1">
        <v>6.83</v>
      </c>
      <c r="T13" s="1">
        <v>0</v>
      </c>
      <c r="U13" s="5">
        <v>10</v>
      </c>
      <c r="V13" s="1" t="e">
        <f>VLOOKUP(A13:A101,'120326'!A13:T101,20,FALSE)</f>
        <v>#N/A</v>
      </c>
      <c r="W13" s="1">
        <v>0</v>
      </c>
      <c r="X13" s="18">
        <v>27416.48</v>
      </c>
      <c r="Y13" s="2">
        <v>24640.98</v>
      </c>
      <c r="Z13" s="1">
        <v>26</v>
      </c>
      <c r="AA13" s="1">
        <v>36</v>
      </c>
      <c r="AB13" s="1">
        <v>29</v>
      </c>
      <c r="AC13" s="1">
        <v>33</v>
      </c>
      <c r="AD13" s="1">
        <v>94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7</v>
      </c>
      <c r="AU13" s="1">
        <v>15</v>
      </c>
      <c r="AV13" s="1">
        <v>11</v>
      </c>
      <c r="AW13" s="1">
        <v>11</v>
      </c>
      <c r="AX13" s="1">
        <v>88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60</v>
      </c>
      <c r="BF13" s="1">
        <v>43</v>
      </c>
      <c r="BG13" s="1">
        <v>18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</row>
    <row r="14" spans="1:65" x14ac:dyDescent="0.2">
      <c r="A14" s="1">
        <v>48091</v>
      </c>
      <c r="B14" s="1" t="s">
        <v>103</v>
      </c>
      <c r="C14" s="1">
        <v>12</v>
      </c>
      <c r="D14" s="1">
        <v>677</v>
      </c>
      <c r="E14" s="1" t="s">
        <v>64</v>
      </c>
      <c r="F14" s="1">
        <v>690</v>
      </c>
      <c r="G14" s="1" t="s">
        <v>101</v>
      </c>
      <c r="H14" s="2">
        <v>54.916699999999999</v>
      </c>
      <c r="I14" s="2">
        <v>659.00040000000001</v>
      </c>
      <c r="J14" s="14">
        <f t="shared" si="2"/>
        <v>0</v>
      </c>
      <c r="K14" s="15">
        <f t="shared" ref="K14:K18" si="8">SUM(O14+R14+U14)</f>
        <v>0</v>
      </c>
      <c r="L14" s="15"/>
      <c r="M14" s="1">
        <v>9.9600000000000009</v>
      </c>
      <c r="N14" s="1">
        <v>26</v>
      </c>
      <c r="O14" s="17">
        <f t="shared" ref="O14:O15" si="9">MAX(0,(TRUNC((M14*0.8)-N14)))</f>
        <v>0</v>
      </c>
      <c r="P14" s="1">
        <v>6.33</v>
      </c>
      <c r="Q14" s="1">
        <v>12.42</v>
      </c>
      <c r="R14" s="17">
        <f t="shared" si="7"/>
        <v>0</v>
      </c>
      <c r="S14" s="1">
        <v>25.12</v>
      </c>
      <c r="T14" s="1">
        <v>0.67</v>
      </c>
      <c r="U14" s="5">
        <v>0</v>
      </c>
      <c r="V14" s="1">
        <f>VLOOKUP(A14:A102,'120326'!A14:T102,20,FALSE)</f>
        <v>30</v>
      </c>
      <c r="W14" s="1">
        <v>0</v>
      </c>
      <c r="X14" s="18">
        <v>27293.599999999999</v>
      </c>
      <c r="Y14" s="2">
        <v>25755.93</v>
      </c>
      <c r="Z14" s="1">
        <v>37</v>
      </c>
      <c r="AA14" s="1">
        <v>37</v>
      </c>
      <c r="AB14" s="1">
        <v>37</v>
      </c>
      <c r="AC14" s="1">
        <v>54</v>
      </c>
      <c r="AD14" s="1">
        <v>312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19</v>
      </c>
      <c r="AU14" s="1">
        <v>2</v>
      </c>
      <c r="AV14" s="1">
        <v>33</v>
      </c>
      <c r="AW14" s="1">
        <v>46</v>
      </c>
      <c r="AX14" s="1">
        <v>149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81</v>
      </c>
      <c r="BE14" s="1">
        <v>74</v>
      </c>
      <c r="BF14" s="1">
        <v>134</v>
      </c>
      <c r="BG14" s="1">
        <v>99</v>
      </c>
      <c r="BH14" s="1">
        <v>8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</row>
    <row r="15" spans="1:65" x14ac:dyDescent="0.2">
      <c r="A15" s="1">
        <v>48081</v>
      </c>
      <c r="B15" s="1" t="s">
        <v>104</v>
      </c>
      <c r="C15" s="1">
        <v>12</v>
      </c>
      <c r="D15" s="1">
        <v>677</v>
      </c>
      <c r="E15" s="1" t="s">
        <v>64</v>
      </c>
      <c r="F15" s="1">
        <v>690</v>
      </c>
      <c r="G15" s="1" t="s">
        <v>101</v>
      </c>
      <c r="H15" s="2">
        <v>54.916699999999999</v>
      </c>
      <c r="I15" s="2">
        <v>659.00040000000001</v>
      </c>
      <c r="J15" s="14">
        <f t="shared" si="2"/>
        <v>0</v>
      </c>
      <c r="K15" s="15">
        <f t="shared" si="8"/>
        <v>0</v>
      </c>
      <c r="L15" s="15"/>
      <c r="M15" s="1">
        <v>10.119999999999999</v>
      </c>
      <c r="N15" s="1">
        <v>25</v>
      </c>
      <c r="O15" s="17">
        <f t="shared" si="9"/>
        <v>0</v>
      </c>
      <c r="P15" s="1">
        <v>5.46</v>
      </c>
      <c r="Q15" s="1">
        <v>12.75</v>
      </c>
      <c r="R15" s="17">
        <f t="shared" si="7"/>
        <v>0</v>
      </c>
      <c r="S15" s="1">
        <v>17.29</v>
      </c>
      <c r="T15" s="1">
        <v>1.17</v>
      </c>
      <c r="U15" s="5">
        <v>0</v>
      </c>
      <c r="V15" s="1">
        <f>VLOOKUP(A15:A103,'120326'!A15:T103,20,FALSE)</f>
        <v>30</v>
      </c>
      <c r="W15" s="1">
        <v>0</v>
      </c>
      <c r="X15" s="18">
        <v>21664.639999999999</v>
      </c>
      <c r="Y15" s="2">
        <v>25646.1</v>
      </c>
      <c r="Z15" s="1">
        <v>25</v>
      </c>
      <c r="AA15" s="1">
        <v>59</v>
      </c>
      <c r="AB15" s="1">
        <v>38</v>
      </c>
      <c r="AC15" s="1">
        <v>58</v>
      </c>
      <c r="AD15" s="1">
        <v>300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8</v>
      </c>
      <c r="AU15" s="1">
        <v>48</v>
      </c>
      <c r="AV15" s="1">
        <v>22</v>
      </c>
      <c r="AW15" s="1">
        <v>23</v>
      </c>
      <c r="AX15" s="1">
        <v>153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70</v>
      </c>
      <c r="BE15" s="1">
        <v>50</v>
      </c>
      <c r="BF15" s="1">
        <v>88</v>
      </c>
      <c r="BG15" s="1">
        <v>49</v>
      </c>
      <c r="BH15" s="1">
        <v>14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</row>
    <row r="16" spans="1:65" x14ac:dyDescent="0.2">
      <c r="A16" s="1">
        <v>47008</v>
      </c>
      <c r="B16" s="1" t="s">
        <v>93</v>
      </c>
      <c r="C16" s="1">
        <v>24</v>
      </c>
      <c r="D16" s="1">
        <v>677</v>
      </c>
      <c r="E16" s="1" t="s">
        <v>64</v>
      </c>
      <c r="F16" s="1">
        <v>61</v>
      </c>
      <c r="G16" s="1" t="s">
        <v>66</v>
      </c>
      <c r="H16" s="2">
        <v>35.74</v>
      </c>
      <c r="I16" s="2">
        <v>857.76</v>
      </c>
      <c r="J16" s="14">
        <f t="shared" si="2"/>
        <v>17155.2</v>
      </c>
      <c r="K16" s="21">
        <f t="shared" si="8"/>
        <v>20</v>
      </c>
      <c r="L16" s="15"/>
      <c r="M16" s="1">
        <v>3.02</v>
      </c>
      <c r="N16" s="1">
        <v>4.04</v>
      </c>
      <c r="O16" s="5">
        <v>5</v>
      </c>
      <c r="P16" s="1">
        <v>11.19</v>
      </c>
      <c r="Q16" s="1">
        <v>7</v>
      </c>
      <c r="R16" s="5">
        <v>5</v>
      </c>
      <c r="S16" s="1">
        <v>9.35</v>
      </c>
      <c r="T16" s="1">
        <v>0.12</v>
      </c>
      <c r="U16" s="5">
        <v>10</v>
      </c>
      <c r="V16" s="1" t="e">
        <f>VLOOKUP(A16:A104,'120326'!A16:T104,20,FALSE)</f>
        <v>#N/A</v>
      </c>
      <c r="W16" s="1">
        <v>0</v>
      </c>
      <c r="X16" s="18">
        <v>20210.97</v>
      </c>
      <c r="Y16" s="2">
        <v>9578.32</v>
      </c>
      <c r="Z16" s="1">
        <v>23</v>
      </c>
      <c r="AA16" s="1">
        <v>60</v>
      </c>
      <c r="AB16" s="1">
        <v>0</v>
      </c>
      <c r="AC16" s="1">
        <v>39</v>
      </c>
      <c r="AD16" s="1">
        <v>97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134</v>
      </c>
      <c r="AU16" s="1">
        <v>105</v>
      </c>
      <c r="AV16" s="1">
        <v>0</v>
      </c>
      <c r="AW16" s="1">
        <v>164</v>
      </c>
      <c r="AX16" s="1">
        <v>168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10</v>
      </c>
      <c r="BE16" s="1">
        <v>155</v>
      </c>
      <c r="BF16" s="1">
        <v>72</v>
      </c>
      <c r="BG16" s="1">
        <v>130</v>
      </c>
      <c r="BH16" s="1">
        <v>3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</row>
    <row r="17" spans="1:65" x14ac:dyDescent="0.2">
      <c r="A17" s="1">
        <v>48084</v>
      </c>
      <c r="B17" s="1" t="s">
        <v>100</v>
      </c>
      <c r="C17" s="1">
        <v>12</v>
      </c>
      <c r="D17" s="1">
        <v>677</v>
      </c>
      <c r="E17" s="1" t="s">
        <v>64</v>
      </c>
      <c r="F17" s="1">
        <v>690</v>
      </c>
      <c r="G17" s="1" t="s">
        <v>101</v>
      </c>
      <c r="H17" s="2">
        <v>54.916699999999999</v>
      </c>
      <c r="I17" s="2">
        <v>659.00040000000001</v>
      </c>
      <c r="J17" s="14">
        <f t="shared" si="2"/>
        <v>0</v>
      </c>
      <c r="K17" s="15">
        <f t="shared" si="8"/>
        <v>0</v>
      </c>
      <c r="L17" s="15"/>
      <c r="M17" s="1">
        <v>6.96</v>
      </c>
      <c r="N17" s="1">
        <v>25.67</v>
      </c>
      <c r="O17" s="17">
        <f>MAX(0,(TRUNC((M17*0.8)-N17)))</f>
        <v>0</v>
      </c>
      <c r="P17" s="1">
        <v>5.5</v>
      </c>
      <c r="Q17" s="1">
        <v>12.5</v>
      </c>
      <c r="R17" s="17">
        <f t="shared" ref="R17:R23" si="10">MAX(0,(TRUNC((P17*0.8)-Q17)))</f>
        <v>0</v>
      </c>
      <c r="S17" s="1">
        <v>15.17</v>
      </c>
      <c r="T17" s="1">
        <v>0.08</v>
      </c>
      <c r="U17" s="5">
        <v>0</v>
      </c>
      <c r="V17" s="1">
        <f>VLOOKUP(A17:A105,'120326'!A17:T105,20,FALSE)</f>
        <v>30</v>
      </c>
      <c r="W17" s="1">
        <v>0</v>
      </c>
      <c r="X17" s="18">
        <v>18204.89</v>
      </c>
      <c r="Y17" s="2">
        <v>25206.77</v>
      </c>
      <c r="Z17" s="1">
        <v>28</v>
      </c>
      <c r="AA17" s="1">
        <v>35</v>
      </c>
      <c r="AB17" s="1">
        <v>6</v>
      </c>
      <c r="AC17" s="1">
        <v>64</v>
      </c>
      <c r="AD17" s="1">
        <v>308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18</v>
      </c>
      <c r="AU17" s="1">
        <v>13</v>
      </c>
      <c r="AV17" s="1">
        <v>26</v>
      </c>
      <c r="AW17" s="1">
        <v>31</v>
      </c>
      <c r="AX17" s="1">
        <v>150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9</v>
      </c>
      <c r="BE17" s="1">
        <v>69</v>
      </c>
      <c r="BF17" s="1">
        <v>133</v>
      </c>
      <c r="BG17" s="1">
        <v>11</v>
      </c>
      <c r="BH17" s="1">
        <v>1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</row>
    <row r="18" spans="1:65" x14ac:dyDescent="0.2">
      <c r="A18" s="1">
        <v>47027</v>
      </c>
      <c r="B18" s="1" t="s">
        <v>95</v>
      </c>
      <c r="C18" s="1">
        <v>16</v>
      </c>
      <c r="D18" s="1">
        <v>677</v>
      </c>
      <c r="E18" s="1" t="s">
        <v>64</v>
      </c>
      <c r="F18" s="1">
        <v>999</v>
      </c>
      <c r="G18" s="1" t="s">
        <v>67</v>
      </c>
      <c r="H18" s="2">
        <v>56.59</v>
      </c>
      <c r="I18" s="2">
        <v>905.44</v>
      </c>
      <c r="J18" s="14">
        <f t="shared" si="2"/>
        <v>9054.4000000000015</v>
      </c>
      <c r="K18" s="15">
        <f t="shared" si="8"/>
        <v>10</v>
      </c>
      <c r="L18" s="19" t="s">
        <v>112</v>
      </c>
      <c r="M18" s="1">
        <v>2.72</v>
      </c>
      <c r="N18" s="1">
        <v>1.81</v>
      </c>
      <c r="O18" s="5">
        <v>5</v>
      </c>
      <c r="P18" s="1">
        <v>6.72</v>
      </c>
      <c r="Q18" s="1">
        <v>4.88</v>
      </c>
      <c r="R18" s="17">
        <f t="shared" si="10"/>
        <v>0</v>
      </c>
      <c r="S18" s="1">
        <v>9.6199999999999992</v>
      </c>
      <c r="T18" s="1">
        <v>3.94</v>
      </c>
      <c r="U18" s="5">
        <v>5</v>
      </c>
      <c r="V18" s="1" t="e">
        <f>VLOOKUP(A18:A106,'120326'!A18:T106,20,FALSE)</f>
        <v>#N/A</v>
      </c>
      <c r="W18" s="1">
        <v>0</v>
      </c>
      <c r="X18" s="18">
        <v>17259.95</v>
      </c>
      <c r="Y18" s="2">
        <v>9620.2999999999993</v>
      </c>
      <c r="Z18" s="1">
        <v>30</v>
      </c>
      <c r="AA18" s="1">
        <v>27</v>
      </c>
      <c r="AB18" s="1">
        <v>0</v>
      </c>
      <c r="AC18" s="1">
        <v>0</v>
      </c>
      <c r="AD18" s="1">
        <v>29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69</v>
      </c>
      <c r="AU18" s="1">
        <v>77</v>
      </c>
      <c r="AV18" s="1">
        <v>0</v>
      </c>
      <c r="AW18" s="1">
        <v>0</v>
      </c>
      <c r="AX18" s="1">
        <v>78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83</v>
      </c>
      <c r="BE18" s="1">
        <v>142</v>
      </c>
      <c r="BF18" s="1">
        <v>0</v>
      </c>
      <c r="BG18" s="1">
        <v>0</v>
      </c>
      <c r="BH18" s="1">
        <v>63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</row>
    <row r="19" spans="1:65" x14ac:dyDescent="0.2">
      <c r="A19" s="1">
        <v>47029</v>
      </c>
      <c r="B19" s="1" t="s">
        <v>94</v>
      </c>
      <c r="C19" s="1">
        <v>24</v>
      </c>
      <c r="D19" s="1">
        <v>677</v>
      </c>
      <c r="E19" s="1" t="s">
        <v>64</v>
      </c>
      <c r="F19" s="1">
        <v>61</v>
      </c>
      <c r="G19" s="1" t="s">
        <v>66</v>
      </c>
      <c r="H19" s="2">
        <v>41.26</v>
      </c>
      <c r="I19" s="2">
        <v>990.24</v>
      </c>
      <c r="J19" s="14">
        <f t="shared" si="2"/>
        <v>19804.8</v>
      </c>
      <c r="K19" s="19">
        <v>20</v>
      </c>
      <c r="L19" s="4"/>
      <c r="M19" s="1">
        <v>3.79</v>
      </c>
      <c r="N19" s="1">
        <v>3.33</v>
      </c>
      <c r="O19" s="5">
        <v>5</v>
      </c>
      <c r="P19" s="1">
        <v>6.4</v>
      </c>
      <c r="Q19" s="1">
        <v>7.79</v>
      </c>
      <c r="R19" s="17">
        <f t="shared" si="10"/>
        <v>0</v>
      </c>
      <c r="S19" s="1">
        <v>4.33</v>
      </c>
      <c r="T19" s="1">
        <v>-0.79</v>
      </c>
      <c r="U19" s="5">
        <v>5</v>
      </c>
      <c r="V19" s="1" t="e">
        <f>VLOOKUP(A19:A107,'120326'!A19:T107,20,FALSE)</f>
        <v>#N/A</v>
      </c>
      <c r="W19" s="1">
        <v>0</v>
      </c>
      <c r="X19" s="18">
        <v>14379.11</v>
      </c>
      <c r="Y19" s="2">
        <v>10232.48</v>
      </c>
      <c r="Z19" s="1">
        <v>17</v>
      </c>
      <c r="AA19" s="1">
        <v>47</v>
      </c>
      <c r="AB19" s="1">
        <v>43</v>
      </c>
      <c r="AC19" s="1">
        <v>15</v>
      </c>
      <c r="AD19" s="1">
        <v>80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59</v>
      </c>
      <c r="AU19" s="1">
        <v>86</v>
      </c>
      <c r="AV19" s="1">
        <v>33</v>
      </c>
      <c r="AW19" s="1">
        <v>37</v>
      </c>
      <c r="AX19" s="1">
        <v>187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18</v>
      </c>
      <c r="BE19" s="1">
        <v>90</v>
      </c>
      <c r="BF19" s="1">
        <v>25</v>
      </c>
      <c r="BG19" s="1">
        <v>32</v>
      </c>
      <c r="BH19" s="1">
        <v>-19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</row>
    <row r="20" spans="1:65" x14ac:dyDescent="0.2">
      <c r="A20" s="1">
        <v>48067</v>
      </c>
      <c r="B20" s="1" t="s">
        <v>106</v>
      </c>
      <c r="C20" s="1">
        <v>12</v>
      </c>
      <c r="D20" s="1">
        <v>677</v>
      </c>
      <c r="E20" s="1" t="s">
        <v>64</v>
      </c>
      <c r="F20" s="1">
        <v>690</v>
      </c>
      <c r="G20" s="1" t="s">
        <v>101</v>
      </c>
      <c r="H20" s="2">
        <v>54.916699999999999</v>
      </c>
      <c r="I20" s="2">
        <v>659.00040000000001</v>
      </c>
      <c r="J20" s="14">
        <f t="shared" si="2"/>
        <v>0</v>
      </c>
      <c r="K20" s="15">
        <f t="shared" ref="K20:K91" si="11">SUM(O20+R20+U20)</f>
        <v>0</v>
      </c>
      <c r="L20" s="15"/>
      <c r="M20" s="1">
        <v>4.04</v>
      </c>
      <c r="N20" s="1">
        <v>25.67</v>
      </c>
      <c r="O20" s="17">
        <f t="shared" ref="O20:O21" si="12">MAX(0,(TRUNC((M20*0.8)-N20)))</f>
        <v>0</v>
      </c>
      <c r="P20" s="1">
        <v>5.62</v>
      </c>
      <c r="Q20" s="1">
        <v>12.75</v>
      </c>
      <c r="R20" s="17">
        <f t="shared" si="10"/>
        <v>0</v>
      </c>
      <c r="S20" s="1">
        <v>11.58</v>
      </c>
      <c r="T20" s="1">
        <v>0.17</v>
      </c>
      <c r="U20" s="5">
        <v>0</v>
      </c>
      <c r="V20" s="1">
        <f>VLOOKUP(A20:A108,'120326'!A20:T108,20,FALSE)</f>
        <v>30</v>
      </c>
      <c r="W20" s="1">
        <v>0</v>
      </c>
      <c r="X20" s="18">
        <v>14003.76</v>
      </c>
      <c r="Y20" s="2">
        <v>25426.43</v>
      </c>
      <c r="Z20" s="1">
        <v>16</v>
      </c>
      <c r="AA20" s="1">
        <v>22</v>
      </c>
      <c r="AB20" s="1">
        <v>0</v>
      </c>
      <c r="AC20" s="1">
        <v>43</v>
      </c>
      <c r="AD20" s="1">
        <v>308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24</v>
      </c>
      <c r="AU20" s="1">
        <v>24</v>
      </c>
      <c r="AV20" s="1">
        <v>20</v>
      </c>
      <c r="AW20" s="1">
        <v>23</v>
      </c>
      <c r="AX20" s="1">
        <v>153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5</v>
      </c>
      <c r="BE20" s="1">
        <v>50</v>
      </c>
      <c r="BF20" s="1">
        <v>87</v>
      </c>
      <c r="BG20" s="1">
        <v>44</v>
      </c>
      <c r="BH20" s="1">
        <v>2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</row>
    <row r="21" spans="1:65" x14ac:dyDescent="0.2">
      <c r="A21" s="1">
        <v>48069</v>
      </c>
      <c r="B21" s="1" t="s">
        <v>110</v>
      </c>
      <c r="C21" s="1">
        <v>12</v>
      </c>
      <c r="D21" s="1">
        <v>677</v>
      </c>
      <c r="E21" s="1" t="s">
        <v>64</v>
      </c>
      <c r="F21" s="1">
        <v>690</v>
      </c>
      <c r="G21" s="1" t="s">
        <v>101</v>
      </c>
      <c r="H21" s="2">
        <v>54.916699999999999</v>
      </c>
      <c r="I21" s="2">
        <v>659.00040000000001</v>
      </c>
      <c r="J21" s="14">
        <f t="shared" si="2"/>
        <v>0</v>
      </c>
      <c r="K21" s="15">
        <f t="shared" si="11"/>
        <v>0</v>
      </c>
      <c r="L21" s="15"/>
      <c r="M21" s="1">
        <v>6.79</v>
      </c>
      <c r="N21" s="1">
        <v>9.5</v>
      </c>
      <c r="O21" s="17">
        <f t="shared" si="12"/>
        <v>0</v>
      </c>
      <c r="P21" s="1">
        <v>4.62</v>
      </c>
      <c r="Q21" s="1">
        <v>11.5</v>
      </c>
      <c r="R21" s="17">
        <f t="shared" si="10"/>
        <v>0</v>
      </c>
      <c r="S21" s="1">
        <v>9.17</v>
      </c>
      <c r="T21" s="1">
        <v>1.25</v>
      </c>
      <c r="U21" s="5">
        <v>0</v>
      </c>
      <c r="V21" s="1">
        <f>VLOOKUP(A21:A109,'120326'!A21:T109,20,FALSE)</f>
        <v>15</v>
      </c>
      <c r="W21" s="1">
        <v>0</v>
      </c>
      <c r="X21" s="18">
        <v>13564.42</v>
      </c>
      <c r="Y21" s="2">
        <v>14662.76</v>
      </c>
      <c r="Z21" s="1">
        <v>18</v>
      </c>
      <c r="AA21" s="1">
        <v>17</v>
      </c>
      <c r="AB21" s="1">
        <v>34</v>
      </c>
      <c r="AC21" s="1">
        <v>42</v>
      </c>
      <c r="AD21" s="1">
        <v>114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6</v>
      </c>
      <c r="AU21" s="1">
        <v>7</v>
      </c>
      <c r="AV21" s="1">
        <v>42</v>
      </c>
      <c r="AW21" s="1">
        <v>8</v>
      </c>
      <c r="AX21" s="1">
        <v>138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40</v>
      </c>
      <c r="BE21" s="1">
        <v>15</v>
      </c>
      <c r="BF21" s="1">
        <v>47</v>
      </c>
      <c r="BG21" s="1">
        <v>31</v>
      </c>
      <c r="BH21" s="1">
        <v>15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</row>
    <row r="22" spans="1:65" x14ac:dyDescent="0.2">
      <c r="A22" s="1">
        <v>47003</v>
      </c>
      <c r="B22" s="1" t="s">
        <v>91</v>
      </c>
      <c r="C22" s="1">
        <v>24</v>
      </c>
      <c r="D22" s="1">
        <v>677</v>
      </c>
      <c r="E22" s="1" t="s">
        <v>64</v>
      </c>
      <c r="F22" s="1">
        <v>61</v>
      </c>
      <c r="G22" s="1" t="s">
        <v>66</v>
      </c>
      <c r="H22" s="2">
        <v>22.315999999999999</v>
      </c>
      <c r="I22" s="2">
        <v>535.58399999999995</v>
      </c>
      <c r="J22" s="14">
        <f t="shared" si="2"/>
        <v>0</v>
      </c>
      <c r="K22" s="15">
        <f t="shared" si="11"/>
        <v>0</v>
      </c>
      <c r="L22" s="15"/>
      <c r="M22" s="1">
        <v>11.38</v>
      </c>
      <c r="N22" s="1">
        <v>4.96</v>
      </c>
      <c r="O22" s="5">
        <v>0</v>
      </c>
      <c r="P22" s="1">
        <v>9.48</v>
      </c>
      <c r="Q22" s="1">
        <v>16.21</v>
      </c>
      <c r="R22" s="17">
        <f t="shared" si="10"/>
        <v>0</v>
      </c>
      <c r="S22" s="1">
        <v>3.83</v>
      </c>
      <c r="T22" s="1">
        <v>37.17</v>
      </c>
      <c r="U22" s="5">
        <v>0</v>
      </c>
      <c r="V22" s="1" t="e">
        <f>VLOOKUP(A22:A110,'120326'!A22:T110,20,FALSE)</f>
        <v>#N/A</v>
      </c>
      <c r="W22" s="1">
        <v>0</v>
      </c>
      <c r="X22" s="18">
        <v>13222.23</v>
      </c>
      <c r="Y22" s="2">
        <v>31242.400000000001</v>
      </c>
      <c r="Z22" s="1">
        <v>87</v>
      </c>
      <c r="AA22" s="1">
        <v>118</v>
      </c>
      <c r="AB22" s="1">
        <v>96</v>
      </c>
      <c r="AC22" s="1">
        <v>62</v>
      </c>
      <c r="AD22" s="1">
        <v>119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116</v>
      </c>
      <c r="AU22" s="1">
        <v>25</v>
      </c>
      <c r="AV22" s="1">
        <v>54</v>
      </c>
      <c r="AW22" s="1">
        <v>90</v>
      </c>
      <c r="AX22" s="1">
        <v>389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22</v>
      </c>
      <c r="BE22" s="1">
        <v>52</v>
      </c>
      <c r="BF22" s="1">
        <v>29</v>
      </c>
      <c r="BG22" s="1">
        <v>30</v>
      </c>
      <c r="BH22" s="1">
        <v>892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</row>
    <row r="23" spans="1:65" x14ac:dyDescent="0.2">
      <c r="A23" s="1">
        <v>47004</v>
      </c>
      <c r="B23" s="1" t="s">
        <v>86</v>
      </c>
      <c r="C23" s="1">
        <v>24</v>
      </c>
      <c r="D23" s="1">
        <v>677</v>
      </c>
      <c r="E23" s="1" t="s">
        <v>64</v>
      </c>
      <c r="F23" s="1">
        <v>61</v>
      </c>
      <c r="G23" s="1" t="s">
        <v>66</v>
      </c>
      <c r="H23" s="2">
        <v>22.315999999999999</v>
      </c>
      <c r="I23" s="2">
        <v>535.58399999999995</v>
      </c>
      <c r="J23" s="14">
        <f t="shared" si="2"/>
        <v>0</v>
      </c>
      <c r="K23" s="15">
        <f t="shared" si="11"/>
        <v>0</v>
      </c>
      <c r="L23" s="15"/>
      <c r="M23" s="1">
        <v>8.2100000000000009</v>
      </c>
      <c r="N23" s="1">
        <v>0</v>
      </c>
      <c r="O23" s="5">
        <v>0</v>
      </c>
      <c r="P23" s="1">
        <v>8.2100000000000009</v>
      </c>
      <c r="Q23" s="1">
        <v>12.5</v>
      </c>
      <c r="R23" s="17">
        <f t="shared" si="10"/>
        <v>0</v>
      </c>
      <c r="S23" s="1">
        <v>7.85</v>
      </c>
      <c r="T23" s="1">
        <v>59.08</v>
      </c>
      <c r="U23" s="5">
        <v>0</v>
      </c>
      <c r="V23" s="1" t="e">
        <f>VLOOKUP(A23:A111,'120326'!A23:T111,20,FALSE)</f>
        <v>#N/A</v>
      </c>
      <c r="W23" s="1">
        <v>0</v>
      </c>
      <c r="X23" s="18">
        <v>12999.07</v>
      </c>
      <c r="Y23" s="2">
        <v>38338.89</v>
      </c>
      <c r="Z23" s="1">
        <v>0</v>
      </c>
      <c r="AA23" s="1">
        <v>0</v>
      </c>
      <c r="AB23" s="1">
        <v>155</v>
      </c>
      <c r="AC23" s="1">
        <v>84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45</v>
      </c>
      <c r="AU23" s="1">
        <v>52</v>
      </c>
      <c r="AV23" s="1">
        <v>98</v>
      </c>
      <c r="AW23" s="1">
        <v>56</v>
      </c>
      <c r="AX23" s="1">
        <v>300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43</v>
      </c>
      <c r="BE23" s="1">
        <v>41</v>
      </c>
      <c r="BF23" s="1">
        <v>97</v>
      </c>
      <c r="BG23" s="1">
        <v>56</v>
      </c>
      <c r="BH23" s="1">
        <v>1418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</row>
    <row r="24" spans="1:65" x14ac:dyDescent="0.2">
      <c r="A24" s="1">
        <v>48068</v>
      </c>
      <c r="B24" s="1" t="s">
        <v>109</v>
      </c>
      <c r="C24" s="1">
        <v>12</v>
      </c>
      <c r="D24" s="1">
        <v>677</v>
      </c>
      <c r="E24" s="1" t="s">
        <v>64</v>
      </c>
      <c r="F24" s="1">
        <v>690</v>
      </c>
      <c r="G24" s="1" t="s">
        <v>101</v>
      </c>
      <c r="H24" s="2">
        <v>54.916699999999999</v>
      </c>
      <c r="I24" s="2">
        <v>659.00040000000001</v>
      </c>
      <c r="J24" s="14">
        <f t="shared" si="2"/>
        <v>0</v>
      </c>
      <c r="K24" s="15">
        <f t="shared" si="11"/>
        <v>0</v>
      </c>
      <c r="L24" s="15"/>
      <c r="M24" s="1">
        <v>6.5</v>
      </c>
      <c r="N24" s="1">
        <v>10.67</v>
      </c>
      <c r="O24" s="17">
        <f t="shared" ref="O24:O25" si="13">MAX(0,(TRUNC((M24*0.8)-N24)))</f>
        <v>0</v>
      </c>
      <c r="P24" s="1">
        <v>2.67</v>
      </c>
      <c r="Q24" s="1">
        <v>-0.08</v>
      </c>
      <c r="R24" s="5">
        <v>0</v>
      </c>
      <c r="S24" s="1">
        <v>8.8800000000000008</v>
      </c>
      <c r="T24" s="1">
        <v>0</v>
      </c>
      <c r="U24" s="5">
        <v>0</v>
      </c>
      <c r="V24" s="1">
        <f>VLOOKUP(A24:A112,'120326'!A24:T112,20,FALSE)</f>
        <v>15</v>
      </c>
      <c r="W24" s="1">
        <v>0</v>
      </c>
      <c r="X24" s="18">
        <v>11889.47</v>
      </c>
      <c r="Y24" s="2">
        <v>6974.42</v>
      </c>
      <c r="Z24" s="1">
        <v>16</v>
      </c>
      <c r="AA24" s="1">
        <v>0</v>
      </c>
      <c r="AB24" s="1">
        <v>44</v>
      </c>
      <c r="AC24" s="1">
        <v>36</v>
      </c>
      <c r="AD24" s="1">
        <v>128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20</v>
      </c>
      <c r="AV24" s="1">
        <v>11</v>
      </c>
      <c r="AW24" s="1">
        <v>22</v>
      </c>
      <c r="AX24" s="1">
        <v>-1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76</v>
      </c>
      <c r="BG24" s="1">
        <v>61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</row>
    <row r="25" spans="1:65" x14ac:dyDescent="0.2">
      <c r="A25" s="1">
        <v>48082</v>
      </c>
      <c r="B25" s="1" t="s">
        <v>114</v>
      </c>
      <c r="C25" s="1">
        <v>12</v>
      </c>
      <c r="D25" s="1">
        <v>677</v>
      </c>
      <c r="E25" s="1" t="s">
        <v>64</v>
      </c>
      <c r="F25" s="1">
        <v>690</v>
      </c>
      <c r="G25" s="1" t="s">
        <v>101</v>
      </c>
      <c r="H25" s="2">
        <v>54.916699999999999</v>
      </c>
      <c r="I25" s="2">
        <v>659.00040000000001</v>
      </c>
      <c r="J25" s="14">
        <f t="shared" si="2"/>
        <v>0</v>
      </c>
      <c r="K25" s="15">
        <f t="shared" si="11"/>
        <v>0</v>
      </c>
      <c r="L25" s="15"/>
      <c r="M25" s="1">
        <v>5.62</v>
      </c>
      <c r="N25" s="1">
        <v>10.5</v>
      </c>
      <c r="O25" s="17">
        <f t="shared" si="13"/>
        <v>0</v>
      </c>
      <c r="P25" s="1">
        <v>1.79</v>
      </c>
      <c r="Q25" s="1">
        <v>0</v>
      </c>
      <c r="R25" s="5">
        <v>0</v>
      </c>
      <c r="S25" s="1">
        <v>9.7899999999999991</v>
      </c>
      <c r="T25" s="1">
        <v>2.25</v>
      </c>
      <c r="U25" s="5">
        <v>0</v>
      </c>
      <c r="V25" s="1">
        <f>VLOOKUP(A25:A113,'120326'!A25:T113,20,FALSE)</f>
        <v>15</v>
      </c>
      <c r="W25" s="1">
        <v>0</v>
      </c>
      <c r="X25" s="18">
        <v>11340.3</v>
      </c>
      <c r="Y25" s="2">
        <v>8402.26</v>
      </c>
      <c r="Z25" s="1">
        <v>17</v>
      </c>
      <c r="AA25" s="1">
        <v>4</v>
      </c>
      <c r="AB25" s="1">
        <v>36</v>
      </c>
      <c r="AC25" s="1">
        <v>25</v>
      </c>
      <c r="AD25" s="1">
        <v>126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15</v>
      </c>
      <c r="AW25" s="1">
        <v>13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44</v>
      </c>
      <c r="BE25" s="1">
        <v>13</v>
      </c>
      <c r="BF25" s="1">
        <v>50</v>
      </c>
      <c r="BG25" s="1">
        <v>34</v>
      </c>
      <c r="BH25" s="1">
        <v>27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</row>
    <row r="26" spans="1:65" x14ac:dyDescent="0.2">
      <c r="A26" s="1">
        <v>47002</v>
      </c>
      <c r="B26" s="1" t="s">
        <v>89</v>
      </c>
      <c r="C26" s="1">
        <v>24</v>
      </c>
      <c r="D26" s="1">
        <v>677</v>
      </c>
      <c r="E26" s="1" t="s">
        <v>64</v>
      </c>
      <c r="F26" s="1">
        <v>61</v>
      </c>
      <c r="G26" s="1" t="s">
        <v>66</v>
      </c>
      <c r="H26" s="2">
        <v>22.315999999999999</v>
      </c>
      <c r="I26" s="2">
        <v>535.58399999999995</v>
      </c>
      <c r="J26" s="14">
        <f t="shared" si="2"/>
        <v>0</v>
      </c>
      <c r="K26" s="15">
        <f t="shared" si="11"/>
        <v>0</v>
      </c>
      <c r="L26" s="15"/>
      <c r="M26" s="1">
        <v>9.81</v>
      </c>
      <c r="N26" s="1">
        <v>2.38</v>
      </c>
      <c r="O26" s="5">
        <v>0</v>
      </c>
      <c r="P26" s="1">
        <v>7.21</v>
      </c>
      <c r="Q26" s="1">
        <v>18.71</v>
      </c>
      <c r="R26" s="17">
        <f>MAX(0,(TRUNC((P26*0.8)-Q26)))</f>
        <v>0</v>
      </c>
      <c r="S26" s="1">
        <v>3.69</v>
      </c>
      <c r="T26" s="1">
        <v>24.58</v>
      </c>
      <c r="U26" s="17">
        <f>MAX(0,(TRUNC((S26*0.8)-T26)))</f>
        <v>0</v>
      </c>
      <c r="V26" s="1" t="e">
        <f>VLOOKUP(A26:A114,'120326'!A26:T114,20,FALSE)</f>
        <v>#N/A</v>
      </c>
      <c r="W26" s="1">
        <v>0</v>
      </c>
      <c r="X26" s="18">
        <v>11091.05</v>
      </c>
      <c r="Y26" s="2">
        <v>24458.34</v>
      </c>
      <c r="Z26" s="1">
        <v>92</v>
      </c>
      <c r="AA26" s="1">
        <v>61</v>
      </c>
      <c r="AB26" s="1">
        <v>105</v>
      </c>
      <c r="AC26" s="1">
        <v>16</v>
      </c>
      <c r="AD26" s="1">
        <v>57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45</v>
      </c>
      <c r="AU26" s="1">
        <v>51</v>
      </c>
      <c r="AV26" s="1">
        <v>66</v>
      </c>
      <c r="AW26" s="1">
        <v>73</v>
      </c>
      <c r="AX26" s="1">
        <v>449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22</v>
      </c>
      <c r="BE26" s="1">
        <v>30</v>
      </c>
      <c r="BF26" s="1">
        <v>32</v>
      </c>
      <c r="BG26" s="1">
        <v>39</v>
      </c>
      <c r="BH26" s="1">
        <v>590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</row>
    <row r="27" spans="1:65" x14ac:dyDescent="0.2">
      <c r="A27" s="1">
        <v>48085</v>
      </c>
      <c r="B27" s="1" t="s">
        <v>105</v>
      </c>
      <c r="C27" s="1">
        <v>12</v>
      </c>
      <c r="D27" s="1">
        <v>677</v>
      </c>
      <c r="E27" s="1" t="s">
        <v>64</v>
      </c>
      <c r="F27" s="1">
        <v>690</v>
      </c>
      <c r="G27" s="1" t="s">
        <v>101</v>
      </c>
      <c r="H27" s="2">
        <v>54.916699999999999</v>
      </c>
      <c r="I27" s="2">
        <v>659.00040000000001</v>
      </c>
      <c r="J27" s="14">
        <f t="shared" si="2"/>
        <v>0</v>
      </c>
      <c r="K27" s="15">
        <f t="shared" si="11"/>
        <v>0</v>
      </c>
      <c r="L27" s="15"/>
      <c r="M27" s="1">
        <v>7.29</v>
      </c>
      <c r="N27" s="1">
        <v>9.5</v>
      </c>
      <c r="O27" s="17">
        <f t="shared" ref="O27:O35" si="14">MAX(0,(TRUNC((M27*0.8)-N27)))</f>
        <v>0</v>
      </c>
      <c r="P27" s="1">
        <v>4.96</v>
      </c>
      <c r="Q27" s="1">
        <v>0</v>
      </c>
      <c r="R27" s="5">
        <v>0</v>
      </c>
      <c r="S27" s="1">
        <v>3.58</v>
      </c>
      <c r="T27" s="1">
        <v>0</v>
      </c>
      <c r="U27" s="5">
        <v>0</v>
      </c>
      <c r="V27" s="1">
        <f>VLOOKUP(A27:A115,'120326'!A27:T115,20,FALSE)</f>
        <v>0</v>
      </c>
      <c r="W27" s="1">
        <v>0</v>
      </c>
      <c r="X27" s="18">
        <v>10434.17</v>
      </c>
      <c r="Y27" s="2">
        <v>6260.5</v>
      </c>
      <c r="Z27" s="1">
        <v>30</v>
      </c>
      <c r="AA27" s="1">
        <v>0</v>
      </c>
      <c r="AB27" s="1">
        <v>30</v>
      </c>
      <c r="AC27" s="1">
        <v>55</v>
      </c>
      <c r="AD27" s="1">
        <v>114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24</v>
      </c>
      <c r="AU27" s="1">
        <v>6</v>
      </c>
      <c r="AV27" s="1">
        <v>20</v>
      </c>
      <c r="AW27" s="1">
        <v>25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1</v>
      </c>
      <c r="BG27" s="1">
        <v>84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</row>
    <row r="28" spans="1:65" x14ac:dyDescent="0.2">
      <c r="A28" s="1">
        <v>48058</v>
      </c>
      <c r="B28" s="1" t="s">
        <v>116</v>
      </c>
      <c r="C28" s="1">
        <v>12</v>
      </c>
      <c r="D28" s="1">
        <v>677</v>
      </c>
      <c r="E28" s="1" t="s">
        <v>64</v>
      </c>
      <c r="F28" s="1">
        <v>690</v>
      </c>
      <c r="G28" s="1" t="s">
        <v>101</v>
      </c>
      <c r="H28" s="2">
        <v>54.916699999999999</v>
      </c>
      <c r="I28" s="2">
        <v>659.00040000000001</v>
      </c>
      <c r="J28" s="14">
        <f t="shared" si="2"/>
        <v>0</v>
      </c>
      <c r="K28" s="15">
        <f t="shared" si="11"/>
        <v>0</v>
      </c>
      <c r="L28" s="15"/>
      <c r="M28" s="1">
        <v>3</v>
      </c>
      <c r="N28" s="1">
        <v>12.08</v>
      </c>
      <c r="O28" s="17">
        <f t="shared" si="14"/>
        <v>0</v>
      </c>
      <c r="P28" s="1">
        <v>2.54</v>
      </c>
      <c r="Q28" s="1">
        <v>-0.08</v>
      </c>
      <c r="R28" s="5">
        <v>0</v>
      </c>
      <c r="S28" s="1">
        <v>6.92</v>
      </c>
      <c r="T28" s="1">
        <v>0.25</v>
      </c>
      <c r="U28" s="5">
        <v>0</v>
      </c>
      <c r="V28" s="1">
        <f>VLOOKUP(A28:A116,'120326'!A28:T116,20,FALSE)</f>
        <v>0</v>
      </c>
      <c r="W28" s="1">
        <v>0</v>
      </c>
      <c r="X28" s="22">
        <v>8210.0499999999993</v>
      </c>
      <c r="Y28" s="2">
        <v>8072.75</v>
      </c>
      <c r="Z28" s="1">
        <v>11</v>
      </c>
      <c r="AA28" s="1">
        <v>18</v>
      </c>
      <c r="AB28" s="1">
        <v>0</v>
      </c>
      <c r="AC28" s="1">
        <v>32</v>
      </c>
      <c r="AD28" s="1">
        <v>145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31</v>
      </c>
      <c r="AV28" s="1">
        <v>11</v>
      </c>
      <c r="AW28" s="1">
        <v>8</v>
      </c>
      <c r="AX28" s="1">
        <v>-1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25</v>
      </c>
      <c r="BE28" s="1">
        <v>10</v>
      </c>
      <c r="BF28" s="1">
        <v>42</v>
      </c>
      <c r="BG28" s="1">
        <v>22</v>
      </c>
      <c r="BH28" s="1">
        <v>3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</row>
    <row r="29" spans="1:65" x14ac:dyDescent="0.2">
      <c r="A29" s="1">
        <v>48044</v>
      </c>
      <c r="B29" s="1" t="s">
        <v>121</v>
      </c>
      <c r="C29" s="1">
        <v>12</v>
      </c>
      <c r="D29" s="1">
        <v>677</v>
      </c>
      <c r="E29" s="1" t="s">
        <v>64</v>
      </c>
      <c r="F29" s="1">
        <v>690</v>
      </c>
      <c r="G29" s="1" t="s">
        <v>101</v>
      </c>
      <c r="H29" s="2">
        <v>54.916699999999999</v>
      </c>
      <c r="I29" s="2">
        <v>659.00040000000001</v>
      </c>
      <c r="J29" s="14">
        <f t="shared" si="2"/>
        <v>0</v>
      </c>
      <c r="K29" s="15">
        <f t="shared" si="11"/>
        <v>0</v>
      </c>
      <c r="L29" s="15"/>
      <c r="M29" s="1">
        <v>3.29</v>
      </c>
      <c r="N29" s="1">
        <v>10.75</v>
      </c>
      <c r="O29" s="17">
        <f t="shared" si="14"/>
        <v>0</v>
      </c>
      <c r="P29" s="1">
        <v>2.67</v>
      </c>
      <c r="Q29" s="1">
        <v>0.08</v>
      </c>
      <c r="R29" s="5">
        <v>0</v>
      </c>
      <c r="S29" s="1">
        <v>5.88</v>
      </c>
      <c r="T29" s="1">
        <v>0</v>
      </c>
      <c r="U29" s="5">
        <v>0</v>
      </c>
      <c r="V29" s="1">
        <f>VLOOKUP(A29:A117,'120326'!A29:T117,20,FALSE)</f>
        <v>0</v>
      </c>
      <c r="W29" s="1">
        <v>0</v>
      </c>
      <c r="X29" s="22">
        <v>7798.17</v>
      </c>
      <c r="Y29" s="2">
        <v>7139.17</v>
      </c>
      <c r="Z29" s="1">
        <v>15</v>
      </c>
      <c r="AA29" s="1">
        <v>0</v>
      </c>
      <c r="AB29" s="1">
        <v>15</v>
      </c>
      <c r="AC29" s="1">
        <v>19</v>
      </c>
      <c r="AD29" s="1">
        <v>129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1</v>
      </c>
      <c r="AU29" s="1">
        <v>24</v>
      </c>
      <c r="AV29" s="1">
        <v>11</v>
      </c>
      <c r="AW29" s="1">
        <v>16</v>
      </c>
      <c r="AX29" s="1">
        <v>1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7</v>
      </c>
      <c r="BE29" s="1">
        <v>13</v>
      </c>
      <c r="BF29" s="1">
        <v>48</v>
      </c>
      <c r="BG29" s="1">
        <v>18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</row>
    <row r="30" spans="1:65" x14ac:dyDescent="0.2">
      <c r="A30" s="1">
        <v>48055</v>
      </c>
      <c r="B30" s="1" t="s">
        <v>119</v>
      </c>
      <c r="C30" s="1">
        <v>12</v>
      </c>
      <c r="D30" s="1">
        <v>677</v>
      </c>
      <c r="E30" s="1" t="s">
        <v>64</v>
      </c>
      <c r="F30" s="1">
        <v>690</v>
      </c>
      <c r="G30" s="1" t="s">
        <v>101</v>
      </c>
      <c r="H30" s="2">
        <v>54.916699999999999</v>
      </c>
      <c r="I30" s="2">
        <v>659.00040000000001</v>
      </c>
      <c r="J30" s="14">
        <f t="shared" si="2"/>
        <v>0</v>
      </c>
      <c r="K30" s="15">
        <f t="shared" si="11"/>
        <v>0</v>
      </c>
      <c r="L30" s="15"/>
      <c r="M30" s="1">
        <v>3.21</v>
      </c>
      <c r="N30" s="1">
        <v>11.92</v>
      </c>
      <c r="O30" s="17">
        <f t="shared" si="14"/>
        <v>0</v>
      </c>
      <c r="P30" s="1">
        <v>2.29</v>
      </c>
      <c r="Q30" s="1">
        <v>0.08</v>
      </c>
      <c r="R30" s="5">
        <v>0</v>
      </c>
      <c r="S30" s="1">
        <v>4.5</v>
      </c>
      <c r="T30" s="1">
        <v>0</v>
      </c>
      <c r="U30" s="5">
        <v>0</v>
      </c>
      <c r="V30" s="1" t="e">
        <f>VLOOKUP(A30:A118,'120326'!A30:T118,20,FALSE)</f>
        <v>#N/A</v>
      </c>
      <c r="W30" s="1">
        <v>0</v>
      </c>
      <c r="X30" s="22">
        <v>6590</v>
      </c>
      <c r="Y30" s="2">
        <v>7908</v>
      </c>
      <c r="Z30" s="1">
        <v>3</v>
      </c>
      <c r="AA30" s="1">
        <v>20</v>
      </c>
      <c r="AB30" s="1">
        <v>22</v>
      </c>
      <c r="AC30" s="1">
        <v>7</v>
      </c>
      <c r="AD30" s="1">
        <v>143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4</v>
      </c>
      <c r="AU30" s="1">
        <v>24</v>
      </c>
      <c r="AV30" s="1">
        <v>9</v>
      </c>
      <c r="AW30" s="1">
        <v>5</v>
      </c>
      <c r="AX30" s="1">
        <v>1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1</v>
      </c>
      <c r="BF30" s="1">
        <v>36</v>
      </c>
      <c r="BG30" s="1">
        <v>35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</row>
    <row r="31" spans="1:65" x14ac:dyDescent="0.2">
      <c r="A31" s="1">
        <v>48063</v>
      </c>
      <c r="B31" s="1" t="s">
        <v>118</v>
      </c>
      <c r="C31" s="1">
        <v>12</v>
      </c>
      <c r="D31" s="1">
        <v>677</v>
      </c>
      <c r="E31" s="1" t="s">
        <v>64</v>
      </c>
      <c r="F31" s="1">
        <v>690</v>
      </c>
      <c r="G31" s="1" t="s">
        <v>101</v>
      </c>
      <c r="H31" s="2">
        <v>54.916699999999999</v>
      </c>
      <c r="I31" s="2">
        <v>659.00040000000001</v>
      </c>
      <c r="J31" s="14">
        <f t="shared" si="2"/>
        <v>0</v>
      </c>
      <c r="K31" s="15">
        <f t="shared" si="11"/>
        <v>0</v>
      </c>
      <c r="L31" s="15"/>
      <c r="M31" s="1">
        <v>4.29</v>
      </c>
      <c r="N31" s="1">
        <v>14</v>
      </c>
      <c r="O31" s="17">
        <f t="shared" si="14"/>
        <v>0</v>
      </c>
      <c r="P31" s="1">
        <v>2.67</v>
      </c>
      <c r="Q31" s="1">
        <v>0.08</v>
      </c>
      <c r="R31" s="5">
        <v>0</v>
      </c>
      <c r="S31" s="1">
        <v>2.83</v>
      </c>
      <c r="T31" s="1">
        <v>1.17</v>
      </c>
      <c r="U31" s="5">
        <v>0</v>
      </c>
      <c r="V31" s="1" t="e">
        <f>VLOOKUP(A31:A119,'120326'!A31:T119,20,FALSE)</f>
        <v>#N/A</v>
      </c>
      <c r="W31" s="1">
        <v>0</v>
      </c>
      <c r="X31" s="22">
        <v>6452.71</v>
      </c>
      <c r="Y31" s="2">
        <v>10049.76</v>
      </c>
      <c r="Z31" s="1">
        <v>12</v>
      </c>
      <c r="AA31" s="1">
        <v>14</v>
      </c>
      <c r="AB31" s="1">
        <v>22</v>
      </c>
      <c r="AC31" s="1">
        <v>21</v>
      </c>
      <c r="AD31" s="1">
        <v>168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2</v>
      </c>
      <c r="AU31" s="1">
        <v>27</v>
      </c>
      <c r="AV31" s="1">
        <v>13</v>
      </c>
      <c r="AW31" s="1">
        <v>7</v>
      </c>
      <c r="AX31" s="1">
        <v>1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14</v>
      </c>
      <c r="BE31" s="1">
        <v>21</v>
      </c>
      <c r="BF31" s="1">
        <v>0</v>
      </c>
      <c r="BG31" s="1">
        <v>19</v>
      </c>
      <c r="BH31" s="1">
        <v>14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</row>
    <row r="32" spans="1:65" x14ac:dyDescent="0.2">
      <c r="A32" s="1">
        <v>47014</v>
      </c>
      <c r="B32" s="1" t="s">
        <v>97</v>
      </c>
      <c r="C32" s="1">
        <v>24</v>
      </c>
      <c r="D32" s="1">
        <v>677</v>
      </c>
      <c r="E32" s="1" t="s">
        <v>64</v>
      </c>
      <c r="F32" s="1">
        <v>61</v>
      </c>
      <c r="G32" s="1" t="s">
        <v>66</v>
      </c>
      <c r="H32" s="2">
        <v>43.319099999999999</v>
      </c>
      <c r="I32" s="2">
        <v>1039.6584</v>
      </c>
      <c r="J32" s="14">
        <f t="shared" si="2"/>
        <v>0</v>
      </c>
      <c r="K32" s="15">
        <f t="shared" si="11"/>
        <v>0</v>
      </c>
      <c r="L32" s="15"/>
      <c r="M32" s="1">
        <v>0.88</v>
      </c>
      <c r="N32" s="1">
        <v>1.79</v>
      </c>
      <c r="O32" s="17">
        <f t="shared" si="14"/>
        <v>0</v>
      </c>
      <c r="P32" s="1">
        <v>2.69</v>
      </c>
      <c r="Q32" s="1">
        <v>3</v>
      </c>
      <c r="R32" s="5">
        <v>0</v>
      </c>
      <c r="S32" s="1">
        <v>1.67</v>
      </c>
      <c r="T32" s="1">
        <v>2</v>
      </c>
      <c r="U32" s="5">
        <v>0</v>
      </c>
      <c r="V32" s="1" t="e">
        <f>VLOOKUP(A32:A120,'120326'!A32:T120,20,FALSE)</f>
        <v>#N/A</v>
      </c>
      <c r="W32" s="1">
        <v>0</v>
      </c>
      <c r="X32" s="22">
        <v>5436.55</v>
      </c>
      <c r="Y32" s="2">
        <v>7061.01</v>
      </c>
      <c r="Z32" s="1">
        <v>9</v>
      </c>
      <c r="AA32" s="1">
        <v>7</v>
      </c>
      <c r="AB32" s="1">
        <v>2</v>
      </c>
      <c r="AC32" s="1">
        <v>13</v>
      </c>
      <c r="AD32" s="1">
        <v>43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20</v>
      </c>
      <c r="AU32" s="1">
        <v>17</v>
      </c>
      <c r="AV32" s="1">
        <v>33</v>
      </c>
      <c r="AW32" s="1">
        <v>6</v>
      </c>
      <c r="AX32" s="1">
        <v>72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12</v>
      </c>
      <c r="BE32" s="1">
        <v>0</v>
      </c>
      <c r="BF32" s="1">
        <v>18</v>
      </c>
      <c r="BG32" s="1">
        <v>20</v>
      </c>
      <c r="BH32" s="1">
        <v>48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</row>
    <row r="33" spans="1:65" x14ac:dyDescent="0.2">
      <c r="A33" s="1">
        <v>48029</v>
      </c>
      <c r="B33" s="1" t="s">
        <v>111</v>
      </c>
      <c r="C33" s="1">
        <v>12</v>
      </c>
      <c r="D33" s="1">
        <v>677</v>
      </c>
      <c r="E33" s="1" t="s">
        <v>64</v>
      </c>
      <c r="F33" s="1">
        <v>690</v>
      </c>
      <c r="G33" s="1" t="s">
        <v>101</v>
      </c>
      <c r="H33" s="2">
        <v>54.916699999999999</v>
      </c>
      <c r="I33" s="2">
        <v>659.00040000000001</v>
      </c>
      <c r="J33" s="14">
        <f t="shared" si="2"/>
        <v>0</v>
      </c>
      <c r="K33" s="15">
        <f t="shared" si="11"/>
        <v>0</v>
      </c>
      <c r="L33" s="15"/>
      <c r="M33" s="1">
        <v>2.92</v>
      </c>
      <c r="N33" s="1">
        <v>11.42</v>
      </c>
      <c r="O33" s="17">
        <f t="shared" si="14"/>
        <v>0</v>
      </c>
      <c r="P33" s="1">
        <v>2.5</v>
      </c>
      <c r="Q33" s="1">
        <v>0.42</v>
      </c>
      <c r="R33" s="5">
        <v>0</v>
      </c>
      <c r="S33" s="1">
        <v>1.71</v>
      </c>
      <c r="T33" s="1">
        <v>0.08</v>
      </c>
      <c r="U33" s="5">
        <v>0</v>
      </c>
      <c r="V33" s="1">
        <f>VLOOKUP(A33:A121,'120326'!A33:T121,20,FALSE)</f>
        <v>0</v>
      </c>
      <c r="W33" s="1">
        <v>0</v>
      </c>
      <c r="X33" s="20">
        <v>4695.38</v>
      </c>
      <c r="Y33" s="2">
        <v>7853.09</v>
      </c>
      <c r="Z33" s="1">
        <v>8</v>
      </c>
      <c r="AA33" s="1">
        <v>31</v>
      </c>
      <c r="AB33" s="1">
        <v>0</v>
      </c>
      <c r="AC33" s="1">
        <v>23</v>
      </c>
      <c r="AD33" s="1">
        <v>137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7</v>
      </c>
      <c r="AU33" s="1">
        <v>21</v>
      </c>
      <c r="AV33" s="1">
        <v>10</v>
      </c>
      <c r="AW33" s="1">
        <v>5</v>
      </c>
      <c r="AX33" s="1">
        <v>5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3</v>
      </c>
      <c r="BE33" s="1">
        <v>17</v>
      </c>
      <c r="BF33" s="1">
        <v>0</v>
      </c>
      <c r="BG33" s="1">
        <v>18</v>
      </c>
      <c r="BH33" s="1">
        <v>1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</row>
    <row r="34" spans="1:65" x14ac:dyDescent="0.2">
      <c r="A34" s="1">
        <v>47026</v>
      </c>
      <c r="B34" s="1" t="s">
        <v>120</v>
      </c>
      <c r="C34" s="1">
        <v>12</v>
      </c>
      <c r="D34" s="1">
        <v>677</v>
      </c>
      <c r="E34" s="1" t="s">
        <v>64</v>
      </c>
      <c r="F34" s="1">
        <v>999</v>
      </c>
      <c r="G34" s="1" t="s">
        <v>67</v>
      </c>
      <c r="H34" s="2">
        <v>48.56</v>
      </c>
      <c r="I34" s="2">
        <v>582.72</v>
      </c>
      <c r="J34" s="14">
        <f t="shared" si="2"/>
        <v>0</v>
      </c>
      <c r="K34" s="15">
        <f t="shared" si="11"/>
        <v>0</v>
      </c>
      <c r="L34" s="15"/>
      <c r="M34" s="1">
        <v>0</v>
      </c>
      <c r="N34" s="1">
        <v>0</v>
      </c>
      <c r="O34" s="17">
        <f t="shared" si="14"/>
        <v>0</v>
      </c>
      <c r="P34" s="1">
        <v>4.58</v>
      </c>
      <c r="Q34" s="1">
        <v>10.75</v>
      </c>
      <c r="R34" s="17">
        <f t="shared" ref="R34:R35" si="15">MAX(0,(TRUNC((P34*0.8)-Q34)))</f>
        <v>0</v>
      </c>
      <c r="S34" s="1">
        <v>2.67</v>
      </c>
      <c r="T34" s="1">
        <v>2.33</v>
      </c>
      <c r="U34" s="5">
        <v>0</v>
      </c>
      <c r="V34" s="1" t="e">
        <f>VLOOKUP(A34:A122,'120326'!A34:T122,20,FALSE)</f>
        <v>#N/A</v>
      </c>
      <c r="W34" s="1">
        <v>0</v>
      </c>
      <c r="X34" s="20">
        <v>4224.72</v>
      </c>
      <c r="Y34" s="2">
        <v>7623.92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33</v>
      </c>
      <c r="AU34" s="1">
        <v>44</v>
      </c>
      <c r="AV34" s="1">
        <v>0</v>
      </c>
      <c r="AW34" s="1">
        <v>0</v>
      </c>
      <c r="AX34" s="1">
        <v>129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24</v>
      </c>
      <c r="BE34" s="1">
        <v>16</v>
      </c>
      <c r="BF34" s="1">
        <v>0</v>
      </c>
      <c r="BG34" s="1">
        <v>0</v>
      </c>
      <c r="BH34" s="1">
        <v>28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</row>
    <row r="35" spans="1:65" x14ac:dyDescent="0.2">
      <c r="A35" s="1">
        <v>47019</v>
      </c>
      <c r="B35" s="1" t="s">
        <v>123</v>
      </c>
      <c r="C35" s="1">
        <v>8</v>
      </c>
      <c r="D35" s="1">
        <v>677</v>
      </c>
      <c r="E35" s="1" t="s">
        <v>64</v>
      </c>
      <c r="F35" s="1">
        <v>61</v>
      </c>
      <c r="G35" s="1" t="s">
        <v>66</v>
      </c>
      <c r="H35" s="2">
        <v>152.41</v>
      </c>
      <c r="I35" s="2">
        <v>1219.28</v>
      </c>
      <c r="J35" s="14">
        <f t="shared" si="2"/>
        <v>0</v>
      </c>
      <c r="K35" s="15">
        <f t="shared" si="11"/>
        <v>0</v>
      </c>
      <c r="L35" s="15"/>
      <c r="M35" s="1">
        <v>0.12</v>
      </c>
      <c r="N35" s="1">
        <v>3.25</v>
      </c>
      <c r="O35" s="17">
        <f t="shared" si="14"/>
        <v>0</v>
      </c>
      <c r="P35" s="1">
        <v>1</v>
      </c>
      <c r="Q35" s="1">
        <v>1.1200000000000001</v>
      </c>
      <c r="R35" s="17">
        <f t="shared" si="15"/>
        <v>0</v>
      </c>
      <c r="S35" s="1">
        <v>2.19</v>
      </c>
      <c r="T35" s="1">
        <v>0.62</v>
      </c>
      <c r="U35" s="5">
        <v>0</v>
      </c>
      <c r="V35" s="1" t="e">
        <f>VLOOKUP(A35:A123,'120326'!A35:T123,20,FALSE)</f>
        <v>#N/A</v>
      </c>
      <c r="W35" s="1">
        <v>0</v>
      </c>
      <c r="X35" s="20">
        <v>4038.86</v>
      </c>
      <c r="Y35" s="2">
        <v>6096.4</v>
      </c>
      <c r="Z35" s="1">
        <v>0</v>
      </c>
      <c r="AA35" s="1">
        <v>0</v>
      </c>
      <c r="AB35" s="1">
        <v>1</v>
      </c>
      <c r="AC35" s="1">
        <v>0</v>
      </c>
      <c r="AD35" s="1">
        <v>26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1</v>
      </c>
      <c r="AU35" s="1">
        <v>2</v>
      </c>
      <c r="AV35" s="1">
        <v>6</v>
      </c>
      <c r="AW35" s="1">
        <v>0</v>
      </c>
      <c r="AX35" s="1">
        <v>9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1</v>
      </c>
      <c r="BE35" s="1">
        <v>0</v>
      </c>
      <c r="BF35" s="1">
        <v>16</v>
      </c>
      <c r="BG35" s="1">
        <v>1</v>
      </c>
      <c r="BH35" s="1">
        <v>5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</row>
    <row r="36" spans="1:65" x14ac:dyDescent="0.2">
      <c r="A36" s="1">
        <v>48049</v>
      </c>
      <c r="B36" s="1" t="s">
        <v>124</v>
      </c>
      <c r="C36" s="1">
        <v>12</v>
      </c>
      <c r="D36" s="1">
        <v>677</v>
      </c>
      <c r="E36" s="1" t="s">
        <v>64</v>
      </c>
      <c r="F36" s="1">
        <v>690</v>
      </c>
      <c r="G36" s="1" t="s">
        <v>101</v>
      </c>
      <c r="H36" s="2">
        <v>54.916699999999999</v>
      </c>
      <c r="I36" s="2">
        <v>659.00040000000001</v>
      </c>
      <c r="J36" s="14">
        <f t="shared" si="2"/>
        <v>0</v>
      </c>
      <c r="K36" s="15">
        <f t="shared" si="11"/>
        <v>0</v>
      </c>
      <c r="L36" s="15"/>
      <c r="M36" s="1">
        <v>2.5</v>
      </c>
      <c r="N36" s="1">
        <v>0</v>
      </c>
      <c r="O36" s="5">
        <v>0</v>
      </c>
      <c r="P36" s="1">
        <v>1.46</v>
      </c>
      <c r="Q36" s="1">
        <v>0</v>
      </c>
      <c r="R36" s="5">
        <v>0</v>
      </c>
      <c r="S36" s="1">
        <v>0.42</v>
      </c>
      <c r="T36" s="1">
        <v>0</v>
      </c>
      <c r="U36" s="5">
        <v>0</v>
      </c>
      <c r="V36" s="1">
        <f>VLOOKUP(A36:A124,'120326'!A36:T124,20,FALSE)</f>
        <v>0</v>
      </c>
      <c r="W36" s="1">
        <v>0</v>
      </c>
      <c r="X36" s="20">
        <v>2883.13</v>
      </c>
      <c r="Y36" s="2">
        <v>0</v>
      </c>
      <c r="Z36" s="1">
        <v>0</v>
      </c>
      <c r="AA36" s="1">
        <v>1</v>
      </c>
      <c r="AB36" s="1">
        <v>12</v>
      </c>
      <c r="AC36" s="1">
        <v>35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12</v>
      </c>
      <c r="AW36" s="1">
        <v>11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1</v>
      </c>
      <c r="BG36" s="1">
        <v>8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</row>
    <row r="37" spans="1:65" x14ac:dyDescent="0.2">
      <c r="A37" s="1">
        <v>48066</v>
      </c>
      <c r="B37" s="1" t="s">
        <v>129</v>
      </c>
      <c r="C37" s="1">
        <v>12</v>
      </c>
      <c r="D37" s="1">
        <v>677</v>
      </c>
      <c r="E37" s="1" t="s">
        <v>64</v>
      </c>
      <c r="F37" s="1">
        <v>690</v>
      </c>
      <c r="G37" s="1" t="s">
        <v>101</v>
      </c>
      <c r="H37" s="2">
        <v>54.916699999999999</v>
      </c>
      <c r="I37" s="2">
        <v>659.00040000000001</v>
      </c>
      <c r="J37" s="14">
        <f t="shared" si="2"/>
        <v>0</v>
      </c>
      <c r="K37" s="15">
        <f t="shared" si="11"/>
        <v>0</v>
      </c>
      <c r="L37" s="15"/>
      <c r="M37" s="1">
        <v>0.75</v>
      </c>
      <c r="N37" s="1">
        <v>0</v>
      </c>
      <c r="O37" s="17">
        <f t="shared" ref="O37:O39" si="16">MAX(0,(TRUNC((M37*0.8)-N37)))</f>
        <v>0</v>
      </c>
      <c r="P37" s="1">
        <v>2.21</v>
      </c>
      <c r="Q37" s="1">
        <v>2.42</v>
      </c>
      <c r="R37" s="17">
        <f t="shared" ref="R37:R38" si="17">MAX(0,(TRUNC((P37*0.8)-Q37)))</f>
        <v>0</v>
      </c>
      <c r="S37" s="1">
        <v>1.33</v>
      </c>
      <c r="T37" s="1">
        <v>-0.08</v>
      </c>
      <c r="U37" s="5">
        <v>0</v>
      </c>
      <c r="V37" s="1">
        <f>VLOOKUP(A37:A125,'120326'!A37:T125,20,FALSE)</f>
        <v>0</v>
      </c>
      <c r="W37" s="1">
        <v>0</v>
      </c>
      <c r="X37" s="20">
        <v>2828.21</v>
      </c>
      <c r="Y37" s="2">
        <v>1537.67</v>
      </c>
      <c r="Z37" s="1">
        <v>0</v>
      </c>
      <c r="AA37" s="1">
        <v>18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11</v>
      </c>
      <c r="AU37" s="1">
        <v>11</v>
      </c>
      <c r="AV37" s="1">
        <v>5</v>
      </c>
      <c r="AW37" s="1">
        <v>10</v>
      </c>
      <c r="AX37" s="1">
        <v>29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9</v>
      </c>
      <c r="BE37" s="1">
        <v>9</v>
      </c>
      <c r="BF37" s="1">
        <v>0</v>
      </c>
      <c r="BG37" s="1">
        <v>5</v>
      </c>
      <c r="BH37" s="1">
        <v>-1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</row>
    <row r="38" spans="1:65" x14ac:dyDescent="0.2">
      <c r="A38" s="1">
        <v>47210</v>
      </c>
      <c r="B38" s="1" t="s">
        <v>127</v>
      </c>
      <c r="C38" s="1">
        <v>12</v>
      </c>
      <c r="D38" s="1">
        <v>677</v>
      </c>
      <c r="E38" s="1" t="s">
        <v>64</v>
      </c>
      <c r="F38" s="1">
        <v>61</v>
      </c>
      <c r="G38" s="1" t="s">
        <v>66</v>
      </c>
      <c r="H38" s="2">
        <v>48.1554</v>
      </c>
      <c r="I38" s="2">
        <v>577.86479999999995</v>
      </c>
      <c r="J38" s="14">
        <f t="shared" si="2"/>
        <v>0</v>
      </c>
      <c r="K38" s="15">
        <f t="shared" si="11"/>
        <v>0</v>
      </c>
      <c r="L38" s="15"/>
      <c r="M38" s="1">
        <v>0.75</v>
      </c>
      <c r="N38" s="1">
        <v>0.08</v>
      </c>
      <c r="O38" s="17">
        <f t="shared" si="16"/>
        <v>0</v>
      </c>
      <c r="P38" s="1">
        <v>3.46</v>
      </c>
      <c r="Q38" s="1">
        <v>1.83</v>
      </c>
      <c r="R38" s="17">
        <f t="shared" si="17"/>
        <v>0</v>
      </c>
      <c r="S38" s="1">
        <v>0</v>
      </c>
      <c r="T38" s="1">
        <v>0.67</v>
      </c>
      <c r="U38" s="5">
        <v>0</v>
      </c>
      <c r="V38" s="1" t="e">
        <f>VLOOKUP(A38:A126,'120326'!A38:T126,20,FALSE)</f>
        <v>#N/A</v>
      </c>
      <c r="W38" s="1">
        <v>0</v>
      </c>
      <c r="X38" s="20">
        <v>2431.85</v>
      </c>
      <c r="Y38" s="2">
        <v>1492.82</v>
      </c>
      <c r="Z38" s="1">
        <v>0</v>
      </c>
      <c r="AA38" s="1">
        <v>1</v>
      </c>
      <c r="AB38" s="1">
        <v>1</v>
      </c>
      <c r="AC38" s="1">
        <v>15</v>
      </c>
      <c r="AD38" s="1">
        <v>1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18</v>
      </c>
      <c r="AU38" s="1">
        <v>20</v>
      </c>
      <c r="AV38" s="1">
        <v>5</v>
      </c>
      <c r="AW38" s="1">
        <v>17</v>
      </c>
      <c r="AX38" s="1">
        <v>22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8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</row>
    <row r="39" spans="1:65" x14ac:dyDescent="0.2">
      <c r="A39" s="1">
        <v>48080</v>
      </c>
      <c r="B39" s="1" t="s">
        <v>122</v>
      </c>
      <c r="C39" s="1">
        <v>12</v>
      </c>
      <c r="D39" s="1">
        <v>677</v>
      </c>
      <c r="E39" s="1" t="s">
        <v>64</v>
      </c>
      <c r="F39" s="1">
        <v>690</v>
      </c>
      <c r="G39" s="1" t="s">
        <v>101</v>
      </c>
      <c r="H39" s="2">
        <v>54.916699999999999</v>
      </c>
      <c r="I39" s="2">
        <v>659.00040000000001</v>
      </c>
      <c r="J39" s="14">
        <f t="shared" si="2"/>
        <v>0</v>
      </c>
      <c r="K39" s="15">
        <f t="shared" si="11"/>
        <v>0</v>
      </c>
      <c r="L39" s="15"/>
      <c r="M39" s="1">
        <v>0</v>
      </c>
      <c r="N39" s="1">
        <v>0</v>
      </c>
      <c r="O39" s="17">
        <f t="shared" si="16"/>
        <v>0</v>
      </c>
      <c r="P39" s="1">
        <v>2.12</v>
      </c>
      <c r="Q39" s="1">
        <v>0</v>
      </c>
      <c r="R39" s="5">
        <v>0</v>
      </c>
      <c r="S39" s="1">
        <v>0.96</v>
      </c>
      <c r="T39" s="1">
        <v>0</v>
      </c>
      <c r="U39" s="17">
        <f t="shared" ref="U39:U91" si="18">MAX(0,(TRUNC((S39*0.8)-T39)))</f>
        <v>0</v>
      </c>
      <c r="V39" s="1">
        <f>VLOOKUP(A39:A127,'120326'!A39:T127,20,FALSE)</f>
        <v>0</v>
      </c>
      <c r="W39" s="1">
        <v>0</v>
      </c>
      <c r="X39" s="20">
        <v>2031.92</v>
      </c>
      <c r="Y39" s="2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15</v>
      </c>
      <c r="AW39" s="1">
        <v>21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12</v>
      </c>
      <c r="BF39" s="1">
        <v>0</v>
      </c>
      <c r="BG39" s="1">
        <v>11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</row>
    <row r="40" spans="1:65" x14ac:dyDescent="0.2">
      <c r="A40" s="1">
        <v>47036</v>
      </c>
      <c r="B40" s="1" t="s">
        <v>117</v>
      </c>
      <c r="C40" s="1">
        <v>24</v>
      </c>
      <c r="D40" s="1">
        <v>677</v>
      </c>
      <c r="E40" s="1" t="s">
        <v>64</v>
      </c>
      <c r="F40" s="1">
        <v>61</v>
      </c>
      <c r="G40" s="1" t="s">
        <v>66</v>
      </c>
      <c r="H40" s="2">
        <v>38.6661</v>
      </c>
      <c r="I40" s="2">
        <v>927.9864</v>
      </c>
      <c r="J40" s="14">
        <f t="shared" si="2"/>
        <v>0</v>
      </c>
      <c r="K40" s="15">
        <f t="shared" si="11"/>
        <v>0</v>
      </c>
      <c r="L40" s="15"/>
      <c r="M40" s="1">
        <v>1.27</v>
      </c>
      <c r="N40" s="1">
        <v>0</v>
      </c>
      <c r="O40" s="5">
        <v>0</v>
      </c>
      <c r="P40" s="1">
        <v>0</v>
      </c>
      <c r="Q40" s="1">
        <v>0</v>
      </c>
      <c r="R40" s="17">
        <f t="shared" ref="R40:R91" si="19">MAX(0,(TRUNC((P40*0.8)-Q40)))</f>
        <v>0</v>
      </c>
      <c r="S40" s="1">
        <v>0.17</v>
      </c>
      <c r="T40" s="1">
        <v>0</v>
      </c>
      <c r="U40" s="17">
        <f t="shared" si="18"/>
        <v>0</v>
      </c>
      <c r="V40" s="1">
        <f>VLOOKUP(A40:A128,'120326'!A40:T128,20,FALSE)</f>
        <v>0</v>
      </c>
      <c r="W40" s="1">
        <v>0</v>
      </c>
      <c r="X40" s="20">
        <v>1333.98</v>
      </c>
      <c r="Y40" s="2">
        <v>0</v>
      </c>
      <c r="Z40" s="1">
        <v>0</v>
      </c>
      <c r="AA40" s="1">
        <v>0</v>
      </c>
      <c r="AB40" s="1">
        <v>28</v>
      </c>
      <c r="AC40" s="1">
        <v>5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4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</row>
    <row r="41" spans="1:65" x14ac:dyDescent="0.2">
      <c r="A41" s="1">
        <v>48056</v>
      </c>
      <c r="B41" s="1" t="s">
        <v>134</v>
      </c>
      <c r="C41" s="1">
        <v>12</v>
      </c>
      <c r="D41" s="1">
        <v>677</v>
      </c>
      <c r="E41" s="1" t="s">
        <v>64</v>
      </c>
      <c r="F41" s="1">
        <v>690</v>
      </c>
      <c r="G41" s="1" t="s">
        <v>101</v>
      </c>
      <c r="H41" s="2">
        <v>54.916699999999999</v>
      </c>
      <c r="I41" s="2">
        <v>659.00040000000001</v>
      </c>
      <c r="J41" s="14">
        <f t="shared" si="2"/>
        <v>0</v>
      </c>
      <c r="K41" s="15">
        <f t="shared" si="11"/>
        <v>0</v>
      </c>
      <c r="L41" s="15"/>
      <c r="M41" s="1">
        <v>0</v>
      </c>
      <c r="N41" s="1">
        <v>0</v>
      </c>
      <c r="O41" s="17">
        <f t="shared" ref="O41:O91" si="20">MAX(0,(TRUNC((M41*0.8)-N41)))</f>
        <v>0</v>
      </c>
      <c r="P41" s="1">
        <v>1</v>
      </c>
      <c r="Q41" s="1">
        <v>0</v>
      </c>
      <c r="R41" s="17">
        <f t="shared" si="19"/>
        <v>0</v>
      </c>
      <c r="S41" s="1">
        <v>0.79</v>
      </c>
      <c r="T41" s="1">
        <v>0</v>
      </c>
      <c r="U41" s="17">
        <f t="shared" si="18"/>
        <v>0</v>
      </c>
      <c r="V41" s="1">
        <f>VLOOKUP(A41:A129,'120326'!A41:T129,20,FALSE)</f>
        <v>0</v>
      </c>
      <c r="W41" s="1">
        <v>0</v>
      </c>
      <c r="X41" s="20">
        <v>1180.71</v>
      </c>
      <c r="Y41" s="2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9</v>
      </c>
      <c r="AW41" s="1">
        <v>6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19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</row>
    <row r="42" spans="1:65" x14ac:dyDescent="0.2">
      <c r="A42" s="1">
        <v>564</v>
      </c>
      <c r="B42" s="1" t="s">
        <v>136</v>
      </c>
      <c r="C42" s="1">
        <v>96</v>
      </c>
      <c r="D42" s="1">
        <v>677</v>
      </c>
      <c r="E42" s="1" t="s">
        <v>64</v>
      </c>
      <c r="F42" s="1">
        <v>690</v>
      </c>
      <c r="G42" s="1" t="s">
        <v>101</v>
      </c>
      <c r="H42" s="2">
        <v>6.8646000000000003</v>
      </c>
      <c r="I42" s="2">
        <v>659.00160000000005</v>
      </c>
      <c r="J42" s="14">
        <f t="shared" si="2"/>
        <v>0</v>
      </c>
      <c r="K42" s="15">
        <f t="shared" si="11"/>
        <v>0</v>
      </c>
      <c r="L42" s="15"/>
      <c r="M42" s="1">
        <v>0.83</v>
      </c>
      <c r="N42" s="1">
        <v>-7.0000000000000007E-2</v>
      </c>
      <c r="O42" s="17">
        <f t="shared" si="20"/>
        <v>0</v>
      </c>
      <c r="P42" s="1">
        <v>0</v>
      </c>
      <c r="Q42" s="1">
        <v>0</v>
      </c>
      <c r="R42" s="17">
        <f t="shared" si="19"/>
        <v>0</v>
      </c>
      <c r="S42" s="1">
        <v>0.02</v>
      </c>
      <c r="T42" s="1">
        <v>-0.04</v>
      </c>
      <c r="U42" s="17">
        <f t="shared" si="18"/>
        <v>0</v>
      </c>
      <c r="V42" s="1">
        <f>VLOOKUP(A42:A130,'120326'!A42:T130,20,FALSE)</f>
        <v>0</v>
      </c>
      <c r="W42" s="1">
        <v>0</v>
      </c>
      <c r="X42" s="20">
        <v>562.9</v>
      </c>
      <c r="Y42" s="2">
        <v>-75.510000000000005</v>
      </c>
      <c r="Z42" s="1">
        <v>33</v>
      </c>
      <c r="AA42" s="1">
        <v>34</v>
      </c>
      <c r="AB42" s="1">
        <v>21</v>
      </c>
      <c r="AC42" s="1">
        <v>18</v>
      </c>
      <c r="AD42" s="1">
        <v>-7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2</v>
      </c>
      <c r="BE42" s="1">
        <v>0</v>
      </c>
      <c r="BF42" s="1">
        <v>0</v>
      </c>
      <c r="BG42" s="1">
        <v>0</v>
      </c>
      <c r="BH42" s="1">
        <v>-4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</row>
    <row r="43" spans="1:65" x14ac:dyDescent="0.2">
      <c r="A43" s="1">
        <v>566</v>
      </c>
      <c r="B43" s="1" t="s">
        <v>140</v>
      </c>
      <c r="C43" s="1">
        <v>96</v>
      </c>
      <c r="D43" s="1">
        <v>677</v>
      </c>
      <c r="E43" s="1" t="s">
        <v>64</v>
      </c>
      <c r="F43" s="1">
        <v>690</v>
      </c>
      <c r="G43" s="1" t="s">
        <v>101</v>
      </c>
      <c r="H43" s="2">
        <v>6.8646000000000003</v>
      </c>
      <c r="I43" s="2">
        <v>659.00160000000005</v>
      </c>
      <c r="J43" s="14">
        <f t="shared" si="2"/>
        <v>0</v>
      </c>
      <c r="K43" s="15">
        <f t="shared" si="11"/>
        <v>0</v>
      </c>
      <c r="L43" s="15"/>
      <c r="M43" s="1">
        <v>0.51</v>
      </c>
      <c r="N43" s="1">
        <v>-7.0000000000000007E-2</v>
      </c>
      <c r="O43" s="17">
        <f t="shared" si="20"/>
        <v>0</v>
      </c>
      <c r="P43" s="1">
        <v>0</v>
      </c>
      <c r="Q43" s="1">
        <v>0</v>
      </c>
      <c r="R43" s="17">
        <f t="shared" si="19"/>
        <v>0</v>
      </c>
      <c r="S43" s="1">
        <v>7.0000000000000007E-2</v>
      </c>
      <c r="T43" s="1">
        <v>0</v>
      </c>
      <c r="U43" s="17">
        <f t="shared" si="18"/>
        <v>0</v>
      </c>
      <c r="V43" s="1">
        <f>VLOOKUP(A43:A131,'120326'!A43:T131,20,FALSE)</f>
        <v>0</v>
      </c>
      <c r="W43" s="1">
        <v>0</v>
      </c>
      <c r="X43" s="20">
        <v>380.99</v>
      </c>
      <c r="Y43" s="2">
        <v>-48.05</v>
      </c>
      <c r="Z43" s="1">
        <v>8</v>
      </c>
      <c r="AA43" s="1">
        <v>0</v>
      </c>
      <c r="AB43" s="1">
        <v>29</v>
      </c>
      <c r="AC43" s="1">
        <v>24</v>
      </c>
      <c r="AD43" s="1">
        <v>-7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5</v>
      </c>
      <c r="BG43" s="1">
        <v>3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</row>
    <row r="44" spans="1:65" x14ac:dyDescent="0.2">
      <c r="A44" s="1">
        <v>560</v>
      </c>
      <c r="B44" s="1" t="s">
        <v>133</v>
      </c>
      <c r="C44" s="1">
        <v>96</v>
      </c>
      <c r="D44" s="1">
        <v>677</v>
      </c>
      <c r="E44" s="1" t="s">
        <v>64</v>
      </c>
      <c r="F44" s="1">
        <v>690</v>
      </c>
      <c r="G44" s="1" t="s">
        <v>101</v>
      </c>
      <c r="H44" s="2">
        <v>6.8646000000000003</v>
      </c>
      <c r="I44" s="2">
        <v>659.00160000000005</v>
      </c>
      <c r="J44" s="14">
        <f t="shared" si="2"/>
        <v>0</v>
      </c>
      <c r="K44" s="15">
        <f t="shared" si="11"/>
        <v>0</v>
      </c>
      <c r="L44" s="15"/>
      <c r="M44" s="1">
        <v>0.56999999999999995</v>
      </c>
      <c r="N44" s="1">
        <v>-0.21</v>
      </c>
      <c r="O44" s="17">
        <f t="shared" si="20"/>
        <v>0</v>
      </c>
      <c r="P44" s="1">
        <v>0</v>
      </c>
      <c r="Q44" s="1">
        <v>0</v>
      </c>
      <c r="R44" s="17">
        <f t="shared" si="19"/>
        <v>0</v>
      </c>
      <c r="S44" s="1">
        <v>0</v>
      </c>
      <c r="T44" s="1">
        <v>0</v>
      </c>
      <c r="U44" s="17">
        <f t="shared" si="18"/>
        <v>0</v>
      </c>
      <c r="V44" s="1">
        <f>VLOOKUP(A44:A132,'120326'!A44:T132,20,FALSE)</f>
        <v>0</v>
      </c>
      <c r="W44" s="1">
        <v>0</v>
      </c>
      <c r="X44" s="20">
        <v>377.55</v>
      </c>
      <c r="Y44" s="2">
        <v>-137.29</v>
      </c>
      <c r="Z44" s="1">
        <v>23</v>
      </c>
      <c r="AA44" s="1">
        <v>0</v>
      </c>
      <c r="AB44" s="1">
        <v>15</v>
      </c>
      <c r="AC44" s="1">
        <v>34</v>
      </c>
      <c r="AD44" s="1">
        <v>-20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</row>
    <row r="45" spans="1:65" x14ac:dyDescent="0.2">
      <c r="A45" s="1">
        <v>504</v>
      </c>
      <c r="B45" s="1" t="s">
        <v>138</v>
      </c>
      <c r="C45" s="1">
        <v>96</v>
      </c>
      <c r="D45" s="1">
        <v>677</v>
      </c>
      <c r="E45" s="1" t="s">
        <v>64</v>
      </c>
      <c r="F45" s="1">
        <v>690</v>
      </c>
      <c r="G45" s="1" t="s">
        <v>101</v>
      </c>
      <c r="H45" s="2">
        <v>6.8646000000000003</v>
      </c>
      <c r="I45" s="2">
        <v>659.00160000000005</v>
      </c>
      <c r="J45" s="14">
        <f t="shared" si="2"/>
        <v>0</v>
      </c>
      <c r="K45" s="15">
        <f t="shared" si="11"/>
        <v>0</v>
      </c>
      <c r="L45" s="15"/>
      <c r="M45" s="1">
        <v>0.55000000000000004</v>
      </c>
      <c r="N45" s="1">
        <v>-0.03</v>
      </c>
      <c r="O45" s="17">
        <f t="shared" si="20"/>
        <v>0</v>
      </c>
      <c r="P45" s="1">
        <v>0</v>
      </c>
      <c r="Q45" s="1">
        <v>0</v>
      </c>
      <c r="R45" s="17">
        <f t="shared" si="19"/>
        <v>0</v>
      </c>
      <c r="S45" s="1">
        <v>0</v>
      </c>
      <c r="T45" s="1">
        <v>0</v>
      </c>
      <c r="U45" s="17">
        <f t="shared" si="18"/>
        <v>0</v>
      </c>
      <c r="V45" s="1" t="e">
        <f>VLOOKUP(A45:A133,'120326'!A45:T133,20,FALSE)</f>
        <v>#N/A</v>
      </c>
      <c r="W45" s="1">
        <v>0</v>
      </c>
      <c r="X45" s="20">
        <v>360.39</v>
      </c>
      <c r="Y45" s="2">
        <v>-20.59</v>
      </c>
      <c r="Z45" s="1">
        <v>3</v>
      </c>
      <c r="AA45" s="1">
        <v>12</v>
      </c>
      <c r="AB45" s="1">
        <v>29</v>
      </c>
      <c r="AC45" s="1">
        <v>29</v>
      </c>
      <c r="AD45" s="1">
        <v>-3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</row>
    <row r="46" spans="1:65" x14ac:dyDescent="0.2">
      <c r="A46" s="1">
        <v>565</v>
      </c>
      <c r="B46" s="1" t="s">
        <v>137</v>
      </c>
      <c r="C46" s="1">
        <v>96</v>
      </c>
      <c r="D46" s="1">
        <v>677</v>
      </c>
      <c r="E46" s="1" t="s">
        <v>64</v>
      </c>
      <c r="F46" s="1">
        <v>690</v>
      </c>
      <c r="G46" s="1" t="s">
        <v>101</v>
      </c>
      <c r="H46" s="2">
        <v>6.8646000000000003</v>
      </c>
      <c r="I46" s="2">
        <v>659.00160000000005</v>
      </c>
      <c r="J46" s="14">
        <f t="shared" si="2"/>
        <v>0</v>
      </c>
      <c r="K46" s="15">
        <f t="shared" si="11"/>
        <v>0</v>
      </c>
      <c r="L46" s="15"/>
      <c r="M46" s="1">
        <v>0.48</v>
      </c>
      <c r="N46" s="1">
        <v>-0.05</v>
      </c>
      <c r="O46" s="17">
        <f t="shared" si="20"/>
        <v>0</v>
      </c>
      <c r="P46" s="1">
        <v>0</v>
      </c>
      <c r="Q46" s="1">
        <v>0</v>
      </c>
      <c r="R46" s="17">
        <f t="shared" si="19"/>
        <v>0</v>
      </c>
      <c r="S46" s="1">
        <v>0.02</v>
      </c>
      <c r="T46" s="1">
        <v>-0.02</v>
      </c>
      <c r="U46" s="17">
        <f t="shared" si="18"/>
        <v>0</v>
      </c>
      <c r="V46" s="1">
        <f>VLOOKUP(A46:A134,'120326'!A46:T134,20,FALSE)</f>
        <v>0</v>
      </c>
      <c r="W46" s="1">
        <v>0</v>
      </c>
      <c r="X46" s="20">
        <v>332.93</v>
      </c>
      <c r="Y46" s="2">
        <v>-48.05</v>
      </c>
      <c r="Z46" s="1">
        <v>15</v>
      </c>
      <c r="AA46" s="1">
        <v>9</v>
      </c>
      <c r="AB46" s="1">
        <v>17</v>
      </c>
      <c r="AC46" s="1">
        <v>20</v>
      </c>
      <c r="AD46" s="1">
        <v>-5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2</v>
      </c>
      <c r="BE46" s="1">
        <v>0</v>
      </c>
      <c r="BF46" s="1">
        <v>0</v>
      </c>
      <c r="BG46" s="1">
        <v>0</v>
      </c>
      <c r="BH46" s="1">
        <v>-2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</row>
    <row r="47" spans="1:65" x14ac:dyDescent="0.2">
      <c r="A47" s="1">
        <v>47009</v>
      </c>
      <c r="B47" s="1" t="s">
        <v>130</v>
      </c>
      <c r="C47" s="1">
        <v>12</v>
      </c>
      <c r="D47" s="1">
        <v>677</v>
      </c>
      <c r="E47" s="1" t="s">
        <v>64</v>
      </c>
      <c r="F47" s="1">
        <v>61</v>
      </c>
      <c r="G47" s="1" t="s">
        <v>66</v>
      </c>
      <c r="H47" s="2">
        <v>138.47</v>
      </c>
      <c r="I47" s="2">
        <v>1661.64</v>
      </c>
      <c r="J47" s="14">
        <f t="shared" si="2"/>
        <v>0</v>
      </c>
      <c r="K47" s="15">
        <f t="shared" si="11"/>
        <v>0</v>
      </c>
      <c r="L47" s="15"/>
      <c r="M47" s="1">
        <v>0</v>
      </c>
      <c r="N47" s="1">
        <v>0</v>
      </c>
      <c r="O47" s="17">
        <f t="shared" si="20"/>
        <v>0</v>
      </c>
      <c r="P47" s="1">
        <v>0.17</v>
      </c>
      <c r="Q47" s="1">
        <v>0</v>
      </c>
      <c r="R47" s="17">
        <f t="shared" si="19"/>
        <v>0</v>
      </c>
      <c r="S47" s="1">
        <v>0</v>
      </c>
      <c r="T47" s="1">
        <v>0</v>
      </c>
      <c r="U47" s="17">
        <f t="shared" si="18"/>
        <v>0</v>
      </c>
      <c r="V47" s="1" t="e">
        <f>VLOOKUP(A47:A135,'120326'!A47:T135,20,FALSE)</f>
        <v>#N/A</v>
      </c>
      <c r="W47" s="1">
        <v>0</v>
      </c>
      <c r="X47" s="20">
        <v>276.94</v>
      </c>
      <c r="Y47" s="2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2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</row>
    <row r="48" spans="1:65" x14ac:dyDescent="0.2">
      <c r="A48" s="1">
        <v>561</v>
      </c>
      <c r="B48" s="1" t="s">
        <v>132</v>
      </c>
      <c r="C48" s="1">
        <v>96</v>
      </c>
      <c r="D48" s="1">
        <v>677</v>
      </c>
      <c r="E48" s="1" t="s">
        <v>64</v>
      </c>
      <c r="F48" s="1">
        <v>690</v>
      </c>
      <c r="G48" s="1" t="s">
        <v>101</v>
      </c>
      <c r="H48" s="2">
        <v>6.8646000000000003</v>
      </c>
      <c r="I48" s="2">
        <v>659.00160000000005</v>
      </c>
      <c r="J48" s="14">
        <f t="shared" si="2"/>
        <v>0</v>
      </c>
      <c r="K48" s="15">
        <f t="shared" si="11"/>
        <v>0</v>
      </c>
      <c r="L48" s="15"/>
      <c r="M48" s="1">
        <v>0.4</v>
      </c>
      <c r="N48" s="1">
        <v>-0.03</v>
      </c>
      <c r="O48" s="17">
        <f t="shared" si="20"/>
        <v>0</v>
      </c>
      <c r="P48" s="1">
        <v>0</v>
      </c>
      <c r="Q48" s="1">
        <v>0</v>
      </c>
      <c r="R48" s="17">
        <f t="shared" si="19"/>
        <v>0</v>
      </c>
      <c r="S48" s="1">
        <v>0.02</v>
      </c>
      <c r="T48" s="1">
        <v>-0.02</v>
      </c>
      <c r="U48" s="17">
        <f t="shared" si="18"/>
        <v>0</v>
      </c>
      <c r="V48" s="1" t="e">
        <f>VLOOKUP(A48:A136,'120326'!A48:T136,20,FALSE)</f>
        <v>#N/A</v>
      </c>
      <c r="W48" s="1">
        <v>0</v>
      </c>
      <c r="X48" s="20">
        <v>274.58</v>
      </c>
      <c r="Y48" s="2">
        <v>-34.32</v>
      </c>
      <c r="Z48" s="1">
        <v>5</v>
      </c>
      <c r="AA48" s="1">
        <v>22</v>
      </c>
      <c r="AB48" s="1">
        <v>15</v>
      </c>
      <c r="AC48" s="1">
        <v>14</v>
      </c>
      <c r="AD48" s="1">
        <v>-3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2</v>
      </c>
      <c r="BE48" s="1">
        <v>0</v>
      </c>
      <c r="BF48" s="1">
        <v>0</v>
      </c>
      <c r="BG48" s="1">
        <v>0</v>
      </c>
      <c r="BH48" s="1">
        <v>-2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</row>
    <row r="49" spans="1:65" x14ac:dyDescent="0.2">
      <c r="A49" s="1">
        <v>562</v>
      </c>
      <c r="B49" s="1" t="s">
        <v>131</v>
      </c>
      <c r="C49" s="1">
        <v>96</v>
      </c>
      <c r="D49" s="1">
        <v>677</v>
      </c>
      <c r="E49" s="1" t="s">
        <v>64</v>
      </c>
      <c r="F49" s="1">
        <v>690</v>
      </c>
      <c r="G49" s="1" t="s">
        <v>101</v>
      </c>
      <c r="H49" s="2">
        <v>6.8646000000000003</v>
      </c>
      <c r="I49" s="2">
        <v>659.00160000000005</v>
      </c>
      <c r="J49" s="14">
        <f t="shared" si="2"/>
        <v>0</v>
      </c>
      <c r="K49" s="15">
        <f t="shared" si="11"/>
        <v>0</v>
      </c>
      <c r="L49" s="15"/>
      <c r="M49" s="1">
        <v>0.35</v>
      </c>
      <c r="N49" s="1">
        <v>-0.17</v>
      </c>
      <c r="O49" s="17">
        <f t="shared" si="20"/>
        <v>0</v>
      </c>
      <c r="P49" s="1">
        <v>0</v>
      </c>
      <c r="Q49" s="1">
        <v>0</v>
      </c>
      <c r="R49" s="17">
        <f t="shared" si="19"/>
        <v>0</v>
      </c>
      <c r="S49" s="1">
        <v>0</v>
      </c>
      <c r="T49" s="1">
        <v>-0.01</v>
      </c>
      <c r="U49" s="17">
        <f t="shared" si="18"/>
        <v>0</v>
      </c>
      <c r="V49" s="1">
        <f>VLOOKUP(A49:A137,'120326'!A49:T137,20,FALSE)</f>
        <v>0</v>
      </c>
      <c r="W49" s="1">
        <v>0</v>
      </c>
      <c r="X49" s="20">
        <v>233.4</v>
      </c>
      <c r="Y49" s="2">
        <v>-116.7</v>
      </c>
      <c r="Z49" s="1">
        <v>16</v>
      </c>
      <c r="AA49" s="1">
        <v>24</v>
      </c>
      <c r="AB49" s="1">
        <v>0</v>
      </c>
      <c r="AC49" s="1">
        <v>12</v>
      </c>
      <c r="AD49" s="1">
        <v>-16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-1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</row>
    <row r="50" spans="1:65" x14ac:dyDescent="0.2">
      <c r="A50" s="1">
        <v>519</v>
      </c>
      <c r="B50" s="1" t="s">
        <v>143</v>
      </c>
      <c r="C50" s="1">
        <v>96</v>
      </c>
      <c r="D50" s="1">
        <v>677</v>
      </c>
      <c r="E50" s="1" t="s">
        <v>64</v>
      </c>
      <c r="F50" s="1">
        <v>690</v>
      </c>
      <c r="G50" s="1" t="s">
        <v>101</v>
      </c>
      <c r="H50" s="2">
        <v>6.8646000000000003</v>
      </c>
      <c r="I50" s="2">
        <v>659.00160000000005</v>
      </c>
      <c r="J50" s="14">
        <f t="shared" si="2"/>
        <v>0</v>
      </c>
      <c r="K50" s="15">
        <f t="shared" si="11"/>
        <v>0</v>
      </c>
      <c r="L50" s="15"/>
      <c r="M50" s="1">
        <v>0.31</v>
      </c>
      <c r="N50" s="1">
        <v>0</v>
      </c>
      <c r="O50" s="17">
        <f t="shared" si="20"/>
        <v>0</v>
      </c>
      <c r="P50" s="1">
        <v>0</v>
      </c>
      <c r="Q50" s="1">
        <v>0</v>
      </c>
      <c r="R50" s="17">
        <f t="shared" si="19"/>
        <v>0</v>
      </c>
      <c r="S50" s="1">
        <v>0</v>
      </c>
      <c r="T50" s="1">
        <v>0</v>
      </c>
      <c r="U50" s="17">
        <f t="shared" si="18"/>
        <v>0</v>
      </c>
      <c r="V50" s="1">
        <f>VLOOKUP(A50:A138,'120326'!A50:T138,20,FALSE)</f>
        <v>0</v>
      </c>
      <c r="W50" s="1">
        <v>0</v>
      </c>
      <c r="X50" s="20">
        <v>205.94</v>
      </c>
      <c r="Y50" s="2">
        <v>0</v>
      </c>
      <c r="Z50" s="1">
        <v>16</v>
      </c>
      <c r="AA50" s="1">
        <v>11</v>
      </c>
      <c r="AB50" s="1">
        <v>7</v>
      </c>
      <c r="AC50" s="1">
        <v>3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</row>
    <row r="51" spans="1:65" x14ac:dyDescent="0.2">
      <c r="A51" s="1">
        <v>510</v>
      </c>
      <c r="B51" s="1" t="s">
        <v>146</v>
      </c>
      <c r="C51" s="1">
        <v>96</v>
      </c>
      <c r="D51" s="1">
        <v>677</v>
      </c>
      <c r="E51" s="1" t="s">
        <v>64</v>
      </c>
      <c r="F51" s="1">
        <v>690</v>
      </c>
      <c r="G51" s="1" t="s">
        <v>101</v>
      </c>
      <c r="H51" s="2">
        <v>6.8646000000000003</v>
      </c>
      <c r="I51" s="2">
        <v>659.00160000000005</v>
      </c>
      <c r="J51" s="14">
        <f t="shared" si="2"/>
        <v>0</v>
      </c>
      <c r="K51" s="15">
        <f t="shared" si="11"/>
        <v>0</v>
      </c>
      <c r="L51" s="15"/>
      <c r="M51" s="1">
        <v>0.28000000000000003</v>
      </c>
      <c r="N51" s="1">
        <v>-0.12</v>
      </c>
      <c r="O51" s="17">
        <f t="shared" si="20"/>
        <v>0</v>
      </c>
      <c r="P51" s="1">
        <v>0</v>
      </c>
      <c r="Q51" s="1">
        <v>0</v>
      </c>
      <c r="R51" s="17">
        <f t="shared" si="19"/>
        <v>0</v>
      </c>
      <c r="S51" s="1">
        <v>0</v>
      </c>
      <c r="T51" s="1">
        <v>0</v>
      </c>
      <c r="U51" s="17">
        <f t="shared" si="18"/>
        <v>0</v>
      </c>
      <c r="V51" s="1">
        <f>VLOOKUP(A51:A139,'120326'!A51:T139,20,FALSE)</f>
        <v>0</v>
      </c>
      <c r="W51" s="1">
        <v>0</v>
      </c>
      <c r="X51" s="20">
        <v>181.91</v>
      </c>
      <c r="Y51" s="2">
        <v>-82.38</v>
      </c>
      <c r="Z51" s="1">
        <v>12</v>
      </c>
      <c r="AA51" s="1">
        <v>0</v>
      </c>
      <c r="AB51" s="1">
        <v>12</v>
      </c>
      <c r="AC51" s="1">
        <v>5</v>
      </c>
      <c r="AD51" s="1">
        <v>-12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</row>
    <row r="52" spans="1:65" x14ac:dyDescent="0.2">
      <c r="A52" s="1">
        <v>567</v>
      </c>
      <c r="B52" s="1" t="s">
        <v>135</v>
      </c>
      <c r="C52" s="1">
        <v>96</v>
      </c>
      <c r="D52" s="1">
        <v>677</v>
      </c>
      <c r="E52" s="1" t="s">
        <v>64</v>
      </c>
      <c r="F52" s="1">
        <v>690</v>
      </c>
      <c r="G52" s="1" t="s">
        <v>101</v>
      </c>
      <c r="H52" s="2">
        <v>6.8646000000000003</v>
      </c>
      <c r="I52" s="2">
        <v>659.00160000000005</v>
      </c>
      <c r="J52" s="14">
        <f t="shared" si="2"/>
        <v>0</v>
      </c>
      <c r="K52" s="15">
        <f t="shared" si="11"/>
        <v>0</v>
      </c>
      <c r="L52" s="15"/>
      <c r="M52" s="1">
        <v>0.22</v>
      </c>
      <c r="N52" s="1">
        <v>-0.04</v>
      </c>
      <c r="O52" s="17">
        <f t="shared" si="20"/>
        <v>0</v>
      </c>
      <c r="P52" s="1">
        <v>0</v>
      </c>
      <c r="Q52" s="1">
        <v>0</v>
      </c>
      <c r="R52" s="17">
        <f t="shared" si="19"/>
        <v>0</v>
      </c>
      <c r="S52" s="1">
        <v>0.01</v>
      </c>
      <c r="T52" s="1">
        <v>0.01</v>
      </c>
      <c r="U52" s="17">
        <f t="shared" si="18"/>
        <v>0</v>
      </c>
      <c r="V52" s="1">
        <f>VLOOKUP(A52:A140,'120326'!A52:T140,20,FALSE)</f>
        <v>0</v>
      </c>
      <c r="W52" s="1">
        <v>0</v>
      </c>
      <c r="X52" s="20">
        <v>147.59</v>
      </c>
      <c r="Y52" s="2">
        <v>-20.59</v>
      </c>
      <c r="Z52" s="1">
        <v>4</v>
      </c>
      <c r="AA52" s="1">
        <v>6</v>
      </c>
      <c r="AB52" s="1">
        <v>10</v>
      </c>
      <c r="AC52" s="1">
        <v>8</v>
      </c>
      <c r="AD52" s="1">
        <v>-4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1</v>
      </c>
      <c r="BH52" s="1">
        <v>1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</row>
    <row r="53" spans="1:65" x14ac:dyDescent="0.2">
      <c r="A53" s="1">
        <v>501</v>
      </c>
      <c r="B53" s="1" t="s">
        <v>145</v>
      </c>
      <c r="C53" s="1">
        <v>96</v>
      </c>
      <c r="D53" s="1">
        <v>677</v>
      </c>
      <c r="E53" s="1" t="s">
        <v>64</v>
      </c>
      <c r="F53" s="1">
        <v>690</v>
      </c>
      <c r="G53" s="1" t="s">
        <v>101</v>
      </c>
      <c r="H53" s="2">
        <v>6.8646000000000003</v>
      </c>
      <c r="I53" s="2">
        <v>659.00160000000005</v>
      </c>
      <c r="J53" s="14">
        <f t="shared" si="2"/>
        <v>0</v>
      </c>
      <c r="K53" s="15">
        <f t="shared" si="11"/>
        <v>0</v>
      </c>
      <c r="L53" s="15"/>
      <c r="M53" s="1">
        <v>0.22</v>
      </c>
      <c r="N53" s="1">
        <v>0</v>
      </c>
      <c r="O53" s="17">
        <f t="shared" si="20"/>
        <v>0</v>
      </c>
      <c r="P53" s="1">
        <v>0</v>
      </c>
      <c r="Q53" s="1">
        <v>0</v>
      </c>
      <c r="R53" s="17">
        <f t="shared" si="19"/>
        <v>0</v>
      </c>
      <c r="S53" s="1">
        <v>0</v>
      </c>
      <c r="T53" s="1">
        <v>-0.08</v>
      </c>
      <c r="U53" s="17">
        <f t="shared" si="18"/>
        <v>0</v>
      </c>
      <c r="V53" s="1" t="e">
        <f>VLOOKUP(A53:A141,'120326'!A53:T141,20,FALSE)</f>
        <v>#N/A</v>
      </c>
      <c r="W53" s="1">
        <v>0</v>
      </c>
      <c r="X53" s="20">
        <v>144.16</v>
      </c>
      <c r="Y53" s="2">
        <v>-54.92</v>
      </c>
      <c r="Z53" s="1">
        <v>0</v>
      </c>
      <c r="AA53" s="1">
        <v>1</v>
      </c>
      <c r="AB53" s="1">
        <v>16</v>
      </c>
      <c r="AC53" s="1">
        <v>9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-8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</row>
    <row r="54" spans="1:65" x14ac:dyDescent="0.2">
      <c r="A54" s="1">
        <v>526</v>
      </c>
      <c r="B54" s="1" t="s">
        <v>144</v>
      </c>
      <c r="C54" s="1">
        <v>96</v>
      </c>
      <c r="D54" s="1">
        <v>677</v>
      </c>
      <c r="E54" s="1" t="s">
        <v>64</v>
      </c>
      <c r="F54" s="1">
        <v>690</v>
      </c>
      <c r="G54" s="1" t="s">
        <v>101</v>
      </c>
      <c r="H54" s="2">
        <v>6.8646000000000003</v>
      </c>
      <c r="I54" s="2">
        <v>659.00160000000005</v>
      </c>
      <c r="J54" s="14">
        <f t="shared" si="2"/>
        <v>0</v>
      </c>
      <c r="K54" s="15">
        <f t="shared" si="11"/>
        <v>0</v>
      </c>
      <c r="L54" s="15"/>
      <c r="M54" s="1">
        <v>0.21</v>
      </c>
      <c r="N54" s="1">
        <v>0</v>
      </c>
      <c r="O54" s="17">
        <f t="shared" si="20"/>
        <v>0</v>
      </c>
      <c r="P54" s="1">
        <v>0</v>
      </c>
      <c r="Q54" s="1">
        <v>0</v>
      </c>
      <c r="R54" s="17">
        <f t="shared" si="19"/>
        <v>0</v>
      </c>
      <c r="S54" s="1">
        <v>0</v>
      </c>
      <c r="T54" s="1">
        <v>0</v>
      </c>
      <c r="U54" s="17">
        <f t="shared" si="18"/>
        <v>0</v>
      </c>
      <c r="V54" s="1" t="e">
        <f>VLOOKUP(A54:A142,'120326'!A54:T142,20,FALSE)</f>
        <v>#N/A</v>
      </c>
      <c r="W54" s="1">
        <v>0</v>
      </c>
      <c r="X54" s="20">
        <v>140.72</v>
      </c>
      <c r="Y54" s="2">
        <v>0</v>
      </c>
      <c r="Z54" s="1">
        <v>0</v>
      </c>
      <c r="AA54" s="1">
        <v>0</v>
      </c>
      <c r="AB54" s="1">
        <v>17</v>
      </c>
      <c r="AC54" s="1">
        <v>7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</row>
    <row r="55" spans="1:65" x14ac:dyDescent="0.2">
      <c r="A55" s="1">
        <v>506</v>
      </c>
      <c r="B55" s="1" t="s">
        <v>139</v>
      </c>
      <c r="C55" s="1">
        <v>96</v>
      </c>
      <c r="D55" s="1">
        <v>677</v>
      </c>
      <c r="E55" s="1" t="s">
        <v>64</v>
      </c>
      <c r="F55" s="1">
        <v>690</v>
      </c>
      <c r="G55" s="1" t="s">
        <v>101</v>
      </c>
      <c r="H55" s="2">
        <v>6.8646000000000003</v>
      </c>
      <c r="I55" s="2">
        <v>659.00160000000005</v>
      </c>
      <c r="J55" s="14">
        <f t="shared" si="2"/>
        <v>0</v>
      </c>
      <c r="K55" s="15">
        <f t="shared" si="11"/>
        <v>0</v>
      </c>
      <c r="L55" s="15"/>
      <c r="M55" s="1">
        <v>0.09</v>
      </c>
      <c r="N55" s="1">
        <v>-0.01</v>
      </c>
      <c r="O55" s="17">
        <f t="shared" si="20"/>
        <v>0</v>
      </c>
      <c r="P55" s="1">
        <v>0</v>
      </c>
      <c r="Q55" s="1">
        <v>0</v>
      </c>
      <c r="R55" s="17">
        <f t="shared" si="19"/>
        <v>0</v>
      </c>
      <c r="S55" s="1">
        <v>0</v>
      </c>
      <c r="T55" s="1">
        <v>0</v>
      </c>
      <c r="U55" s="17">
        <f t="shared" si="18"/>
        <v>0</v>
      </c>
      <c r="V55" s="1">
        <f>VLOOKUP(A55:A143,'120326'!A55:T143,20,FALSE)</f>
        <v>0</v>
      </c>
      <c r="W55" s="1">
        <v>0</v>
      </c>
      <c r="X55" s="20">
        <v>58.35</v>
      </c>
      <c r="Y55" s="2">
        <v>-6.86</v>
      </c>
      <c r="Z55" s="1">
        <v>1</v>
      </c>
      <c r="AA55" s="1">
        <v>4</v>
      </c>
      <c r="AB55" s="1">
        <v>0</v>
      </c>
      <c r="AC55" s="1">
        <v>11</v>
      </c>
      <c r="AD55" s="1">
        <v>-1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</row>
    <row r="56" spans="1:65" x14ac:dyDescent="0.2">
      <c r="A56" s="1">
        <v>509</v>
      </c>
      <c r="B56" s="1" t="s">
        <v>141</v>
      </c>
      <c r="C56" s="1">
        <v>96</v>
      </c>
      <c r="D56" s="1">
        <v>677</v>
      </c>
      <c r="E56" s="1" t="s">
        <v>64</v>
      </c>
      <c r="F56" s="1">
        <v>690</v>
      </c>
      <c r="G56" s="1" t="s">
        <v>101</v>
      </c>
      <c r="H56" s="2">
        <v>6.8646000000000003</v>
      </c>
      <c r="I56" s="2">
        <v>659.00160000000005</v>
      </c>
      <c r="J56" s="14">
        <f t="shared" si="2"/>
        <v>0</v>
      </c>
      <c r="K56" s="15">
        <f t="shared" si="11"/>
        <v>0</v>
      </c>
      <c r="L56" s="15"/>
      <c r="M56" s="1">
        <v>0.05</v>
      </c>
      <c r="N56" s="1">
        <v>0</v>
      </c>
      <c r="O56" s="17">
        <f t="shared" si="20"/>
        <v>0</v>
      </c>
      <c r="P56" s="1">
        <v>0</v>
      </c>
      <c r="Q56" s="1">
        <v>0</v>
      </c>
      <c r="R56" s="17">
        <f t="shared" si="19"/>
        <v>0</v>
      </c>
      <c r="S56" s="1">
        <v>0</v>
      </c>
      <c r="T56" s="1">
        <v>0</v>
      </c>
      <c r="U56" s="17">
        <f t="shared" si="18"/>
        <v>0</v>
      </c>
      <c r="V56" s="1">
        <f>VLOOKUP(A56:A144,'120326'!A56:T144,20,FALSE)</f>
        <v>0</v>
      </c>
      <c r="W56" s="1">
        <v>0</v>
      </c>
      <c r="X56" s="20">
        <v>30.89</v>
      </c>
      <c r="Y56" s="2">
        <v>0</v>
      </c>
      <c r="Z56" s="1">
        <v>3</v>
      </c>
      <c r="AA56" s="1">
        <v>3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</row>
    <row r="57" spans="1:65" x14ac:dyDescent="0.2">
      <c r="A57" s="1">
        <v>563</v>
      </c>
      <c r="B57" s="1" t="s">
        <v>155</v>
      </c>
      <c r="C57" s="1">
        <v>96</v>
      </c>
      <c r="D57" s="1">
        <v>677</v>
      </c>
      <c r="E57" s="1" t="s">
        <v>64</v>
      </c>
      <c r="F57" s="1">
        <v>690</v>
      </c>
      <c r="G57" s="1" t="s">
        <v>101</v>
      </c>
      <c r="H57" s="2">
        <v>6.8646000000000003</v>
      </c>
      <c r="I57" s="2">
        <v>659.00160000000005</v>
      </c>
      <c r="J57" s="14">
        <f t="shared" si="2"/>
        <v>0</v>
      </c>
      <c r="K57" s="15">
        <f t="shared" si="11"/>
        <v>0</v>
      </c>
      <c r="L57" s="15"/>
      <c r="M57" s="1">
        <v>0</v>
      </c>
      <c r="N57" s="1">
        <v>0</v>
      </c>
      <c r="O57" s="17">
        <f t="shared" si="20"/>
        <v>0</v>
      </c>
      <c r="P57" s="1">
        <v>0</v>
      </c>
      <c r="Q57" s="1">
        <v>0</v>
      </c>
      <c r="R57" s="17">
        <f t="shared" si="19"/>
        <v>0</v>
      </c>
      <c r="S57" s="1">
        <v>0</v>
      </c>
      <c r="T57" s="1">
        <v>0</v>
      </c>
      <c r="U57" s="17">
        <f t="shared" si="18"/>
        <v>0</v>
      </c>
      <c r="V57" s="1">
        <f>VLOOKUP(A57:A145,'120326'!A57:T145,20,FALSE)</f>
        <v>0</v>
      </c>
      <c r="W57" s="1">
        <v>0</v>
      </c>
      <c r="X57" s="20">
        <v>0</v>
      </c>
      <c r="Y57" s="2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</row>
    <row r="58" spans="1:65" x14ac:dyDescent="0.2">
      <c r="A58" s="1">
        <v>543</v>
      </c>
      <c r="B58" s="1" t="s">
        <v>154</v>
      </c>
      <c r="C58" s="1">
        <v>96</v>
      </c>
      <c r="D58" s="1">
        <v>677</v>
      </c>
      <c r="E58" s="1" t="s">
        <v>64</v>
      </c>
      <c r="F58" s="1">
        <v>690</v>
      </c>
      <c r="G58" s="1" t="s">
        <v>101</v>
      </c>
      <c r="H58" s="2">
        <v>6.8646000000000003</v>
      </c>
      <c r="I58" s="2">
        <v>659.00160000000005</v>
      </c>
      <c r="J58" s="14">
        <f t="shared" si="2"/>
        <v>0</v>
      </c>
      <c r="K58" s="15">
        <f t="shared" si="11"/>
        <v>0</v>
      </c>
      <c r="L58" s="15"/>
      <c r="M58" s="1">
        <v>0</v>
      </c>
      <c r="N58" s="1">
        <v>0</v>
      </c>
      <c r="O58" s="17">
        <f t="shared" si="20"/>
        <v>0</v>
      </c>
      <c r="P58" s="1">
        <v>0</v>
      </c>
      <c r="Q58" s="1">
        <v>0</v>
      </c>
      <c r="R58" s="17">
        <f t="shared" si="19"/>
        <v>0</v>
      </c>
      <c r="S58" s="1">
        <v>0</v>
      </c>
      <c r="T58" s="1">
        <v>0</v>
      </c>
      <c r="U58" s="17">
        <f t="shared" si="18"/>
        <v>0</v>
      </c>
      <c r="V58" s="1">
        <f>VLOOKUP(A58:A146,'120326'!A58:T146,20,FALSE)</f>
        <v>0</v>
      </c>
      <c r="W58" s="1">
        <v>0</v>
      </c>
      <c r="X58" s="20">
        <v>0</v>
      </c>
      <c r="Y58" s="2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</row>
    <row r="59" spans="1:65" x14ac:dyDescent="0.2">
      <c r="A59" s="1">
        <v>8042</v>
      </c>
      <c r="B59" s="1" t="s">
        <v>77</v>
      </c>
      <c r="C59" s="1">
        <v>72</v>
      </c>
      <c r="D59" s="1">
        <v>677</v>
      </c>
      <c r="E59" s="1" t="s">
        <v>64</v>
      </c>
      <c r="F59" s="1">
        <v>999</v>
      </c>
      <c r="G59" s="1" t="s">
        <v>67</v>
      </c>
      <c r="H59" s="2">
        <v>6.5368000000000004</v>
      </c>
      <c r="I59" s="2">
        <v>470.64960000000002</v>
      </c>
      <c r="J59" s="14">
        <f t="shared" si="2"/>
        <v>0</v>
      </c>
      <c r="K59" s="15">
        <f t="shared" si="11"/>
        <v>0</v>
      </c>
      <c r="L59" s="15"/>
      <c r="M59" s="1">
        <v>0</v>
      </c>
      <c r="N59" s="1">
        <v>0</v>
      </c>
      <c r="O59" s="17">
        <f t="shared" si="20"/>
        <v>0</v>
      </c>
      <c r="P59" s="1">
        <v>0</v>
      </c>
      <c r="Q59" s="1">
        <v>0</v>
      </c>
      <c r="R59" s="17">
        <f t="shared" si="19"/>
        <v>0</v>
      </c>
      <c r="S59" s="1">
        <v>0</v>
      </c>
      <c r="T59" s="1">
        <v>0</v>
      </c>
      <c r="U59" s="17">
        <f t="shared" si="18"/>
        <v>0</v>
      </c>
      <c r="V59" s="1">
        <f>VLOOKUP(A59:A147,'120326'!A59:T147,20,FALSE)</f>
        <v>0</v>
      </c>
      <c r="W59" s="1">
        <v>0</v>
      </c>
      <c r="X59" s="20">
        <v>0</v>
      </c>
      <c r="Y59" s="2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</row>
    <row r="60" spans="1:65" x14ac:dyDescent="0.2">
      <c r="A60" s="1">
        <v>8038</v>
      </c>
      <c r="B60" s="1" t="s">
        <v>156</v>
      </c>
      <c r="C60" s="1">
        <v>6</v>
      </c>
      <c r="D60" s="1">
        <v>677</v>
      </c>
      <c r="E60" s="1" t="s">
        <v>64</v>
      </c>
      <c r="F60" s="1">
        <v>61</v>
      </c>
      <c r="G60" s="1" t="s">
        <v>66</v>
      </c>
      <c r="H60" s="2">
        <v>77</v>
      </c>
      <c r="I60" s="2">
        <v>462</v>
      </c>
      <c r="J60" s="14">
        <f t="shared" si="2"/>
        <v>0</v>
      </c>
      <c r="K60" s="15">
        <f t="shared" si="11"/>
        <v>0</v>
      </c>
      <c r="L60" s="15"/>
      <c r="M60" s="1">
        <v>0</v>
      </c>
      <c r="N60" s="1">
        <v>0</v>
      </c>
      <c r="O60" s="17">
        <f t="shared" si="20"/>
        <v>0</v>
      </c>
      <c r="P60" s="1">
        <v>0</v>
      </c>
      <c r="Q60" s="1">
        <v>0</v>
      </c>
      <c r="R60" s="17">
        <f t="shared" si="19"/>
        <v>0</v>
      </c>
      <c r="S60" s="1">
        <v>0</v>
      </c>
      <c r="T60" s="1">
        <v>0</v>
      </c>
      <c r="U60" s="17">
        <f t="shared" si="18"/>
        <v>0</v>
      </c>
      <c r="V60" s="1">
        <f>VLOOKUP(A60:A148,'120326'!A60:T148,20,FALSE)</f>
        <v>0</v>
      </c>
      <c r="W60" s="1">
        <v>0</v>
      </c>
      <c r="X60" s="20">
        <v>0</v>
      </c>
      <c r="Y60" s="2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</row>
    <row r="61" spans="1:65" x14ac:dyDescent="0.2">
      <c r="A61" s="1">
        <v>8041</v>
      </c>
      <c r="B61" s="1" t="s">
        <v>77</v>
      </c>
      <c r="C61" s="1">
        <v>72</v>
      </c>
      <c r="D61" s="1">
        <v>677</v>
      </c>
      <c r="E61" s="1" t="s">
        <v>64</v>
      </c>
      <c r="F61" s="1">
        <v>999</v>
      </c>
      <c r="G61" s="1" t="s">
        <v>67</v>
      </c>
      <c r="H61" s="2">
        <v>6.5368000000000004</v>
      </c>
      <c r="I61" s="2">
        <v>470.64960000000002</v>
      </c>
      <c r="J61" s="14">
        <f t="shared" si="2"/>
        <v>0</v>
      </c>
      <c r="K61" s="15">
        <f t="shared" si="11"/>
        <v>0</v>
      </c>
      <c r="L61" s="15"/>
      <c r="M61" s="1">
        <v>0</v>
      </c>
      <c r="N61" s="1">
        <v>0</v>
      </c>
      <c r="O61" s="17">
        <f t="shared" si="20"/>
        <v>0</v>
      </c>
      <c r="P61" s="1">
        <v>0</v>
      </c>
      <c r="Q61" s="1">
        <v>0</v>
      </c>
      <c r="R61" s="17">
        <f t="shared" si="19"/>
        <v>0</v>
      </c>
      <c r="S61" s="1">
        <v>0</v>
      </c>
      <c r="T61" s="1">
        <v>0</v>
      </c>
      <c r="U61" s="17">
        <f t="shared" si="18"/>
        <v>0</v>
      </c>
      <c r="V61" s="1">
        <f>VLOOKUP(A61:A149,'120326'!A61:T149,20,FALSE)</f>
        <v>0</v>
      </c>
      <c r="W61" s="1">
        <v>0</v>
      </c>
      <c r="X61" s="20">
        <v>0</v>
      </c>
      <c r="Y61" s="2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</row>
    <row r="62" spans="1:65" x14ac:dyDescent="0.2">
      <c r="A62" s="1">
        <v>515</v>
      </c>
      <c r="B62" s="1" t="s">
        <v>152</v>
      </c>
      <c r="C62" s="1">
        <v>96</v>
      </c>
      <c r="D62" s="1">
        <v>677</v>
      </c>
      <c r="E62" s="1" t="s">
        <v>64</v>
      </c>
      <c r="F62" s="1">
        <v>690</v>
      </c>
      <c r="G62" s="1" t="s">
        <v>101</v>
      </c>
      <c r="H62" s="2">
        <v>6.8646000000000003</v>
      </c>
      <c r="I62" s="2">
        <v>659.00160000000005</v>
      </c>
      <c r="J62" s="14">
        <f t="shared" si="2"/>
        <v>0</v>
      </c>
      <c r="K62" s="15">
        <f t="shared" si="11"/>
        <v>0</v>
      </c>
      <c r="L62" s="15"/>
      <c r="M62" s="1">
        <v>0</v>
      </c>
      <c r="N62" s="1">
        <v>0</v>
      </c>
      <c r="O62" s="17">
        <f t="shared" si="20"/>
        <v>0</v>
      </c>
      <c r="P62" s="1">
        <v>0</v>
      </c>
      <c r="Q62" s="1">
        <v>0</v>
      </c>
      <c r="R62" s="17">
        <f t="shared" si="19"/>
        <v>0</v>
      </c>
      <c r="S62" s="1">
        <v>0</v>
      </c>
      <c r="T62" s="1">
        <v>0</v>
      </c>
      <c r="U62" s="17">
        <f t="shared" si="18"/>
        <v>0</v>
      </c>
      <c r="V62" s="1">
        <f>VLOOKUP(A62:A150,'120326'!A62:T150,20,FALSE)</f>
        <v>0</v>
      </c>
      <c r="W62" s="1">
        <v>0</v>
      </c>
      <c r="X62" s="20">
        <v>0</v>
      </c>
      <c r="Y62" s="2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</row>
    <row r="63" spans="1:65" x14ac:dyDescent="0.2">
      <c r="A63" s="1">
        <v>514</v>
      </c>
      <c r="B63" s="1" t="s">
        <v>147</v>
      </c>
      <c r="C63" s="1">
        <v>96</v>
      </c>
      <c r="D63" s="1">
        <v>677</v>
      </c>
      <c r="E63" s="1" t="s">
        <v>64</v>
      </c>
      <c r="F63" s="1">
        <v>690</v>
      </c>
      <c r="G63" s="1" t="s">
        <v>101</v>
      </c>
      <c r="H63" s="2">
        <v>6.8646000000000003</v>
      </c>
      <c r="I63" s="2">
        <v>659.00160000000005</v>
      </c>
      <c r="J63" s="14">
        <f t="shared" si="2"/>
        <v>0</v>
      </c>
      <c r="K63" s="15">
        <f t="shared" si="11"/>
        <v>0</v>
      </c>
      <c r="L63" s="15"/>
      <c r="M63" s="1">
        <v>0</v>
      </c>
      <c r="N63" s="1">
        <v>0</v>
      </c>
      <c r="O63" s="17">
        <f t="shared" si="20"/>
        <v>0</v>
      </c>
      <c r="P63" s="1">
        <v>0</v>
      </c>
      <c r="Q63" s="1">
        <v>0</v>
      </c>
      <c r="R63" s="17">
        <f t="shared" si="19"/>
        <v>0</v>
      </c>
      <c r="S63" s="1">
        <v>0</v>
      </c>
      <c r="T63" s="1">
        <v>0</v>
      </c>
      <c r="U63" s="17">
        <f t="shared" si="18"/>
        <v>0</v>
      </c>
      <c r="V63" s="1" t="e">
        <f>VLOOKUP(A63:A151,'120326'!A63:T151,20,FALSE)</f>
        <v>#N/A</v>
      </c>
      <c r="W63" s="1">
        <v>0</v>
      </c>
      <c r="X63" s="20">
        <v>0</v>
      </c>
      <c r="Y63" s="2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</row>
    <row r="64" spans="1:65" x14ac:dyDescent="0.2">
      <c r="A64" s="1">
        <v>512</v>
      </c>
      <c r="B64" s="1" t="s">
        <v>151</v>
      </c>
      <c r="C64" s="1">
        <v>96</v>
      </c>
      <c r="D64" s="1">
        <v>677</v>
      </c>
      <c r="E64" s="1" t="s">
        <v>64</v>
      </c>
      <c r="F64" s="1">
        <v>690</v>
      </c>
      <c r="G64" s="1" t="s">
        <v>101</v>
      </c>
      <c r="H64" s="2">
        <v>6.8646000000000003</v>
      </c>
      <c r="I64" s="2">
        <v>659.00160000000005</v>
      </c>
      <c r="J64" s="14">
        <f t="shared" si="2"/>
        <v>0</v>
      </c>
      <c r="K64" s="15">
        <f t="shared" si="11"/>
        <v>0</v>
      </c>
      <c r="L64" s="15"/>
      <c r="M64" s="1">
        <v>0</v>
      </c>
      <c r="N64" s="1">
        <v>0</v>
      </c>
      <c r="O64" s="17">
        <f t="shared" si="20"/>
        <v>0</v>
      </c>
      <c r="P64" s="1">
        <v>0</v>
      </c>
      <c r="Q64" s="1">
        <v>0</v>
      </c>
      <c r="R64" s="17">
        <f t="shared" si="19"/>
        <v>0</v>
      </c>
      <c r="S64" s="1">
        <v>0</v>
      </c>
      <c r="T64" s="1">
        <v>0</v>
      </c>
      <c r="U64" s="17">
        <f t="shared" si="18"/>
        <v>0</v>
      </c>
      <c r="V64" s="1">
        <f>VLOOKUP(A64:A152,'120326'!A64:T152,20,FALSE)</f>
        <v>0</v>
      </c>
      <c r="W64" s="1">
        <v>0</v>
      </c>
      <c r="X64" s="20">
        <v>0</v>
      </c>
      <c r="Y64" s="2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</row>
    <row r="65" spans="1:65" x14ac:dyDescent="0.2">
      <c r="A65" s="1">
        <v>511</v>
      </c>
      <c r="B65" s="1" t="s">
        <v>150</v>
      </c>
      <c r="C65" s="1">
        <v>96</v>
      </c>
      <c r="D65" s="1">
        <v>677</v>
      </c>
      <c r="E65" s="1" t="s">
        <v>64</v>
      </c>
      <c r="F65" s="1">
        <v>690</v>
      </c>
      <c r="G65" s="1" t="s">
        <v>101</v>
      </c>
      <c r="H65" s="2">
        <v>6.8646000000000003</v>
      </c>
      <c r="I65" s="2">
        <v>659.00160000000005</v>
      </c>
      <c r="J65" s="14">
        <f t="shared" si="2"/>
        <v>0</v>
      </c>
      <c r="K65" s="15">
        <f t="shared" si="11"/>
        <v>0</v>
      </c>
      <c r="L65" s="15"/>
      <c r="M65" s="1">
        <v>0</v>
      </c>
      <c r="N65" s="1">
        <v>0</v>
      </c>
      <c r="O65" s="17">
        <f t="shared" si="20"/>
        <v>0</v>
      </c>
      <c r="P65" s="1">
        <v>0</v>
      </c>
      <c r="Q65" s="1">
        <v>0</v>
      </c>
      <c r="R65" s="17">
        <f t="shared" si="19"/>
        <v>0</v>
      </c>
      <c r="S65" s="1">
        <v>0</v>
      </c>
      <c r="T65" s="1">
        <v>0</v>
      </c>
      <c r="U65" s="17">
        <f t="shared" si="18"/>
        <v>0</v>
      </c>
      <c r="V65" s="1">
        <f>VLOOKUP(A65:A153,'120326'!A65:T153,20,FALSE)</f>
        <v>0</v>
      </c>
      <c r="W65" s="1">
        <v>0</v>
      </c>
      <c r="X65" s="20">
        <v>0</v>
      </c>
      <c r="Y65" s="2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</row>
    <row r="66" spans="1:65" x14ac:dyDescent="0.2">
      <c r="A66" s="1">
        <v>516</v>
      </c>
      <c r="B66" s="1" t="s">
        <v>153</v>
      </c>
      <c r="C66" s="1">
        <v>96</v>
      </c>
      <c r="D66" s="1">
        <v>677</v>
      </c>
      <c r="E66" s="1" t="s">
        <v>64</v>
      </c>
      <c r="F66" s="1">
        <v>690</v>
      </c>
      <c r="G66" s="1" t="s">
        <v>101</v>
      </c>
      <c r="H66" s="2">
        <v>6.8646000000000003</v>
      </c>
      <c r="I66" s="2">
        <v>659.00160000000005</v>
      </c>
      <c r="J66" s="14">
        <f t="shared" si="2"/>
        <v>0</v>
      </c>
      <c r="K66" s="15">
        <f t="shared" si="11"/>
        <v>0</v>
      </c>
      <c r="L66" s="15"/>
      <c r="M66" s="1">
        <v>0</v>
      </c>
      <c r="N66" s="1">
        <v>0</v>
      </c>
      <c r="O66" s="17">
        <f t="shared" si="20"/>
        <v>0</v>
      </c>
      <c r="P66" s="1">
        <v>0</v>
      </c>
      <c r="Q66" s="1">
        <v>0</v>
      </c>
      <c r="R66" s="17">
        <f t="shared" si="19"/>
        <v>0</v>
      </c>
      <c r="S66" s="1">
        <v>0</v>
      </c>
      <c r="T66" s="1">
        <v>0</v>
      </c>
      <c r="U66" s="17">
        <f t="shared" si="18"/>
        <v>0</v>
      </c>
      <c r="V66" s="1">
        <f>VLOOKUP(A66:A154,'120326'!A66:T154,20,FALSE)</f>
        <v>0</v>
      </c>
      <c r="W66" s="1">
        <v>0</v>
      </c>
      <c r="X66" s="20">
        <v>0</v>
      </c>
      <c r="Y66" s="2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</row>
    <row r="67" spans="1:65" x14ac:dyDescent="0.2">
      <c r="A67" s="1">
        <v>47028</v>
      </c>
      <c r="B67" s="1" t="s">
        <v>81</v>
      </c>
      <c r="C67" s="1">
        <v>24</v>
      </c>
      <c r="D67" s="1">
        <v>677</v>
      </c>
      <c r="E67" s="1" t="s">
        <v>64</v>
      </c>
      <c r="F67" s="1">
        <v>999</v>
      </c>
      <c r="G67" s="1" t="s">
        <v>67</v>
      </c>
      <c r="H67" s="2">
        <v>37.9</v>
      </c>
      <c r="I67" s="2">
        <v>909.6</v>
      </c>
      <c r="J67" s="14">
        <f t="shared" si="2"/>
        <v>0</v>
      </c>
      <c r="K67" s="15">
        <f t="shared" si="11"/>
        <v>0</v>
      </c>
      <c r="L67" s="15"/>
      <c r="M67" s="1">
        <v>0</v>
      </c>
      <c r="N67" s="1">
        <v>0</v>
      </c>
      <c r="O67" s="17">
        <f t="shared" si="20"/>
        <v>0</v>
      </c>
      <c r="P67" s="1">
        <v>0</v>
      </c>
      <c r="Q67" s="1">
        <v>0</v>
      </c>
      <c r="R67" s="17">
        <f t="shared" si="19"/>
        <v>0</v>
      </c>
      <c r="S67" s="1">
        <v>0</v>
      </c>
      <c r="T67" s="1">
        <v>0</v>
      </c>
      <c r="U67" s="17">
        <f t="shared" si="18"/>
        <v>0</v>
      </c>
      <c r="V67" s="1">
        <f>VLOOKUP(A67:A155,'120326'!A67:T155,20,FALSE)</f>
        <v>0</v>
      </c>
      <c r="W67" s="1">
        <v>0</v>
      </c>
      <c r="X67" s="20">
        <v>0</v>
      </c>
      <c r="Y67" s="2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</row>
    <row r="68" spans="1:65" x14ac:dyDescent="0.2">
      <c r="A68" s="1">
        <v>48083</v>
      </c>
      <c r="B68" s="1" t="s">
        <v>142</v>
      </c>
      <c r="C68" s="1">
        <v>12</v>
      </c>
      <c r="D68" s="1">
        <v>677</v>
      </c>
      <c r="E68" s="1" t="s">
        <v>64</v>
      </c>
      <c r="F68" s="1">
        <v>690</v>
      </c>
      <c r="G68" s="1" t="s">
        <v>101</v>
      </c>
      <c r="H68" s="2">
        <v>54.916699999999999</v>
      </c>
      <c r="I68" s="2">
        <v>659.00040000000001</v>
      </c>
      <c r="J68" s="14">
        <f t="shared" si="2"/>
        <v>0</v>
      </c>
      <c r="K68" s="15">
        <f t="shared" si="11"/>
        <v>0</v>
      </c>
      <c r="L68" s="15"/>
      <c r="M68" s="1">
        <v>0</v>
      </c>
      <c r="N68" s="1">
        <v>0</v>
      </c>
      <c r="O68" s="17">
        <f t="shared" si="20"/>
        <v>0</v>
      </c>
      <c r="P68" s="1">
        <v>0</v>
      </c>
      <c r="Q68" s="1">
        <v>0</v>
      </c>
      <c r="R68" s="17">
        <f t="shared" si="19"/>
        <v>0</v>
      </c>
      <c r="S68" s="1">
        <v>0</v>
      </c>
      <c r="T68" s="1">
        <v>0</v>
      </c>
      <c r="U68" s="17">
        <f t="shared" si="18"/>
        <v>0</v>
      </c>
      <c r="V68" s="1">
        <f>VLOOKUP(A68:A156,'120326'!A68:T156,20,FALSE)</f>
        <v>0</v>
      </c>
      <c r="W68" s="1">
        <v>0</v>
      </c>
      <c r="X68" s="20">
        <v>0</v>
      </c>
      <c r="Y68" s="2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</row>
    <row r="69" spans="1:65" x14ac:dyDescent="0.2">
      <c r="A69" s="1">
        <v>47125</v>
      </c>
      <c r="B69" s="1" t="s">
        <v>81</v>
      </c>
      <c r="C69" s="1">
        <v>15</v>
      </c>
      <c r="D69" s="1">
        <v>677</v>
      </c>
      <c r="E69" s="1" t="s">
        <v>64</v>
      </c>
      <c r="F69" s="1">
        <v>999</v>
      </c>
      <c r="G69" s="1" t="s">
        <v>67</v>
      </c>
      <c r="H69" s="2">
        <v>37.9</v>
      </c>
      <c r="I69" s="2">
        <v>568.5</v>
      </c>
      <c r="J69" s="14">
        <f t="shared" si="2"/>
        <v>0</v>
      </c>
      <c r="K69" s="15">
        <f t="shared" si="11"/>
        <v>0</v>
      </c>
      <c r="L69" s="15"/>
      <c r="M69" s="1">
        <v>0</v>
      </c>
      <c r="N69" s="1">
        <v>0</v>
      </c>
      <c r="O69" s="17">
        <f t="shared" si="20"/>
        <v>0</v>
      </c>
      <c r="P69" s="1">
        <v>0</v>
      </c>
      <c r="Q69" s="1">
        <v>0</v>
      </c>
      <c r="R69" s="17">
        <f t="shared" si="19"/>
        <v>0</v>
      </c>
      <c r="S69" s="1">
        <v>0</v>
      </c>
      <c r="T69" s="1">
        <v>0</v>
      </c>
      <c r="U69" s="17">
        <f t="shared" si="18"/>
        <v>0</v>
      </c>
      <c r="V69" s="1">
        <f>VLOOKUP(A69:A157,'120326'!A69:T157,20,FALSE)</f>
        <v>0</v>
      </c>
      <c r="W69" s="1">
        <v>0</v>
      </c>
      <c r="X69" s="20">
        <v>0</v>
      </c>
      <c r="Y69" s="2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</row>
    <row r="70" spans="1:65" x14ac:dyDescent="0.2">
      <c r="A70" s="1">
        <v>47050</v>
      </c>
      <c r="B70" s="1" t="s">
        <v>81</v>
      </c>
      <c r="C70" s="1">
        <v>24</v>
      </c>
      <c r="D70" s="1">
        <v>677</v>
      </c>
      <c r="E70" s="1" t="s">
        <v>64</v>
      </c>
      <c r="F70" s="1">
        <v>999</v>
      </c>
      <c r="G70" s="1" t="s">
        <v>67</v>
      </c>
      <c r="H70" s="2">
        <v>16.470099999999999</v>
      </c>
      <c r="I70" s="2">
        <v>395.2824</v>
      </c>
      <c r="J70" s="14">
        <f t="shared" si="2"/>
        <v>0</v>
      </c>
      <c r="K70" s="15">
        <f t="shared" si="11"/>
        <v>0</v>
      </c>
      <c r="L70" s="15"/>
      <c r="M70" s="1">
        <v>0</v>
      </c>
      <c r="N70" s="1">
        <v>0</v>
      </c>
      <c r="O70" s="17">
        <f t="shared" si="20"/>
        <v>0</v>
      </c>
      <c r="P70" s="1">
        <v>0</v>
      </c>
      <c r="Q70" s="1">
        <v>0</v>
      </c>
      <c r="R70" s="17">
        <f t="shared" si="19"/>
        <v>0</v>
      </c>
      <c r="S70" s="1">
        <v>0</v>
      </c>
      <c r="T70" s="1">
        <v>0</v>
      </c>
      <c r="U70" s="17">
        <f t="shared" si="18"/>
        <v>0</v>
      </c>
      <c r="V70" s="1">
        <f>VLOOKUP(A70:A158,'120326'!A70:T158,20,FALSE)</f>
        <v>0</v>
      </c>
      <c r="W70" s="1">
        <v>0</v>
      </c>
      <c r="X70" s="20">
        <v>0</v>
      </c>
      <c r="Y70" s="2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</row>
    <row r="71" spans="1:65" x14ac:dyDescent="0.2">
      <c r="A71" s="1">
        <v>47049</v>
      </c>
      <c r="B71" s="1" t="s">
        <v>165</v>
      </c>
      <c r="C71" s="1">
        <v>12</v>
      </c>
      <c r="D71" s="1">
        <v>677</v>
      </c>
      <c r="E71" s="1" t="s">
        <v>64</v>
      </c>
      <c r="F71" s="1">
        <v>999</v>
      </c>
      <c r="G71" s="1" t="s">
        <v>67</v>
      </c>
      <c r="H71" s="2">
        <v>34.17</v>
      </c>
      <c r="I71" s="2">
        <v>410.04</v>
      </c>
      <c r="J71" s="14">
        <f t="shared" si="2"/>
        <v>0</v>
      </c>
      <c r="K71" s="15">
        <f t="shared" si="11"/>
        <v>0</v>
      </c>
      <c r="L71" s="15"/>
      <c r="M71" s="1">
        <v>0</v>
      </c>
      <c r="N71" s="1">
        <v>0</v>
      </c>
      <c r="O71" s="17">
        <f t="shared" si="20"/>
        <v>0</v>
      </c>
      <c r="P71" s="1">
        <v>0</v>
      </c>
      <c r="Q71" s="1">
        <v>0</v>
      </c>
      <c r="R71" s="17">
        <f t="shared" si="19"/>
        <v>0</v>
      </c>
      <c r="S71" s="1">
        <v>0</v>
      </c>
      <c r="T71" s="1">
        <v>0</v>
      </c>
      <c r="U71" s="17">
        <f t="shared" si="18"/>
        <v>0</v>
      </c>
      <c r="V71" s="1">
        <f>VLOOKUP(A71:A159,'120326'!A71:T159,20,FALSE)</f>
        <v>0</v>
      </c>
      <c r="W71" s="1">
        <v>0</v>
      </c>
      <c r="X71" s="20">
        <v>0</v>
      </c>
      <c r="Y71" s="2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</row>
    <row r="72" spans="1:65" x14ac:dyDescent="0.2">
      <c r="A72" s="1">
        <v>47048</v>
      </c>
      <c r="B72" s="1" t="s">
        <v>166</v>
      </c>
      <c r="C72" s="1">
        <v>4</v>
      </c>
      <c r="D72" s="1">
        <v>677</v>
      </c>
      <c r="E72" s="1" t="s">
        <v>64</v>
      </c>
      <c r="F72" s="1">
        <v>677</v>
      </c>
      <c r="G72" s="1" t="s">
        <v>84</v>
      </c>
      <c r="H72" s="2">
        <v>119.16</v>
      </c>
      <c r="I72" s="2">
        <v>476.64</v>
      </c>
      <c r="J72" s="14">
        <f t="shared" si="2"/>
        <v>0</v>
      </c>
      <c r="K72" s="15">
        <f t="shared" si="11"/>
        <v>0</v>
      </c>
      <c r="L72" s="15"/>
      <c r="M72" s="1">
        <v>0</v>
      </c>
      <c r="N72" s="1">
        <v>0</v>
      </c>
      <c r="O72" s="17">
        <f t="shared" si="20"/>
        <v>0</v>
      </c>
      <c r="P72" s="1">
        <v>0</v>
      </c>
      <c r="Q72" s="1">
        <v>0</v>
      </c>
      <c r="R72" s="17">
        <f t="shared" si="19"/>
        <v>0</v>
      </c>
      <c r="S72" s="1">
        <v>0</v>
      </c>
      <c r="T72" s="1">
        <v>0</v>
      </c>
      <c r="U72" s="17">
        <f t="shared" si="18"/>
        <v>0</v>
      </c>
      <c r="V72" s="1">
        <f>VLOOKUP(A72:A160,'120326'!A72:T160,20,FALSE)</f>
        <v>0</v>
      </c>
      <c r="W72" s="1">
        <v>0</v>
      </c>
      <c r="X72" s="20">
        <v>0</v>
      </c>
      <c r="Y72" s="2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</row>
    <row r="73" spans="1:65" x14ac:dyDescent="0.2">
      <c r="A73" s="1">
        <v>47047</v>
      </c>
      <c r="B73" s="1">
        <v>47047</v>
      </c>
      <c r="C73" s="1">
        <v>15</v>
      </c>
      <c r="D73" s="1">
        <v>677</v>
      </c>
      <c r="E73" s="1" t="s">
        <v>64</v>
      </c>
      <c r="F73" s="1">
        <v>999</v>
      </c>
      <c r="G73" s="1" t="s">
        <v>67</v>
      </c>
      <c r="H73" s="2">
        <v>20.947700000000001</v>
      </c>
      <c r="I73" s="2">
        <v>314.21550000000002</v>
      </c>
      <c r="J73" s="14">
        <f t="shared" si="2"/>
        <v>0</v>
      </c>
      <c r="K73" s="15">
        <f t="shared" si="11"/>
        <v>0</v>
      </c>
      <c r="L73" s="15"/>
      <c r="M73" s="1">
        <v>0</v>
      </c>
      <c r="N73" s="1">
        <v>0</v>
      </c>
      <c r="O73" s="17">
        <f t="shared" si="20"/>
        <v>0</v>
      </c>
      <c r="P73" s="1">
        <v>0</v>
      </c>
      <c r="Q73" s="1">
        <v>0</v>
      </c>
      <c r="R73" s="17">
        <f t="shared" si="19"/>
        <v>0</v>
      </c>
      <c r="S73" s="1">
        <v>0</v>
      </c>
      <c r="T73" s="1">
        <v>0</v>
      </c>
      <c r="U73" s="17">
        <f t="shared" si="18"/>
        <v>0</v>
      </c>
      <c r="V73" s="1">
        <f>VLOOKUP(A73:A161,'120326'!A73:T161,20,FALSE)</f>
        <v>0</v>
      </c>
      <c r="W73" s="1">
        <v>0</v>
      </c>
      <c r="X73" s="20">
        <v>0</v>
      </c>
      <c r="Y73" s="2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</row>
    <row r="74" spans="1:65" x14ac:dyDescent="0.2">
      <c r="A74" s="1">
        <v>47044</v>
      </c>
      <c r="B74" s="1" t="s">
        <v>81</v>
      </c>
      <c r="C74" s="1">
        <v>12</v>
      </c>
      <c r="D74" s="1">
        <v>677</v>
      </c>
      <c r="E74" s="1" t="s">
        <v>64</v>
      </c>
      <c r="F74" s="1">
        <v>999</v>
      </c>
      <c r="G74" s="1" t="s">
        <v>67</v>
      </c>
      <c r="H74" s="2">
        <v>18.04</v>
      </c>
      <c r="I74" s="2">
        <v>216.48</v>
      </c>
      <c r="J74" s="14">
        <f t="shared" si="2"/>
        <v>0</v>
      </c>
      <c r="K74" s="15">
        <f t="shared" si="11"/>
        <v>0</v>
      </c>
      <c r="L74" s="15"/>
      <c r="M74" s="1">
        <v>0</v>
      </c>
      <c r="N74" s="1">
        <v>0</v>
      </c>
      <c r="O74" s="17">
        <f t="shared" si="20"/>
        <v>0</v>
      </c>
      <c r="P74" s="1">
        <v>0</v>
      </c>
      <c r="Q74" s="1">
        <v>0</v>
      </c>
      <c r="R74" s="17">
        <f t="shared" si="19"/>
        <v>0</v>
      </c>
      <c r="S74" s="1">
        <v>0</v>
      </c>
      <c r="T74" s="1">
        <v>0</v>
      </c>
      <c r="U74" s="17">
        <f t="shared" si="18"/>
        <v>0</v>
      </c>
      <c r="V74" s="1">
        <f>VLOOKUP(A74:A162,'120326'!A74:T162,20,FALSE)</f>
        <v>0</v>
      </c>
      <c r="W74" s="1">
        <v>0</v>
      </c>
      <c r="X74" s="20">
        <v>0</v>
      </c>
      <c r="Y74" s="2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</row>
    <row r="75" spans="1:65" x14ac:dyDescent="0.2">
      <c r="A75" s="1">
        <v>47037</v>
      </c>
      <c r="B75" s="1" t="s">
        <v>81</v>
      </c>
      <c r="C75" s="1">
        <v>24</v>
      </c>
      <c r="D75" s="1">
        <v>677</v>
      </c>
      <c r="E75" s="1" t="s">
        <v>64</v>
      </c>
      <c r="F75" s="1">
        <v>999</v>
      </c>
      <c r="G75" s="1" t="s">
        <v>67</v>
      </c>
      <c r="H75" s="2">
        <v>20.088100000000001</v>
      </c>
      <c r="I75" s="2">
        <v>482.11439999999999</v>
      </c>
      <c r="J75" s="14">
        <f t="shared" si="2"/>
        <v>0</v>
      </c>
      <c r="K75" s="15">
        <f t="shared" si="11"/>
        <v>0</v>
      </c>
      <c r="L75" s="15"/>
      <c r="M75" s="1">
        <v>0</v>
      </c>
      <c r="N75" s="1">
        <v>0</v>
      </c>
      <c r="O75" s="17">
        <f t="shared" si="20"/>
        <v>0</v>
      </c>
      <c r="P75" s="1">
        <v>0</v>
      </c>
      <c r="Q75" s="1">
        <v>0</v>
      </c>
      <c r="R75" s="17">
        <f t="shared" si="19"/>
        <v>0</v>
      </c>
      <c r="S75" s="1">
        <v>0</v>
      </c>
      <c r="T75" s="1">
        <v>0</v>
      </c>
      <c r="U75" s="17">
        <f t="shared" si="18"/>
        <v>0</v>
      </c>
      <c r="V75" s="1">
        <f>VLOOKUP(A75:A163,'120326'!A75:T163,20,FALSE)</f>
        <v>0</v>
      </c>
      <c r="W75" s="1">
        <v>0</v>
      </c>
      <c r="X75" s="20">
        <v>0</v>
      </c>
      <c r="Y75" s="2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</row>
    <row r="76" spans="1:65" x14ac:dyDescent="0.2">
      <c r="A76" s="1">
        <v>47034</v>
      </c>
      <c r="B76" s="1" t="s">
        <v>81</v>
      </c>
      <c r="C76" s="1">
        <v>12</v>
      </c>
      <c r="D76" s="1">
        <v>677</v>
      </c>
      <c r="E76" s="1" t="s">
        <v>64</v>
      </c>
      <c r="F76" s="1">
        <v>999</v>
      </c>
      <c r="G76" s="1" t="s">
        <v>67</v>
      </c>
      <c r="H76" s="2">
        <v>25.038699999999999</v>
      </c>
      <c r="I76" s="2">
        <v>300.46440000000001</v>
      </c>
      <c r="J76" s="14">
        <f t="shared" si="2"/>
        <v>0</v>
      </c>
      <c r="K76" s="15">
        <f t="shared" si="11"/>
        <v>0</v>
      </c>
      <c r="L76" s="15"/>
      <c r="M76" s="1">
        <v>0</v>
      </c>
      <c r="N76" s="1">
        <v>0</v>
      </c>
      <c r="O76" s="17">
        <f t="shared" si="20"/>
        <v>0</v>
      </c>
      <c r="P76" s="1">
        <v>0</v>
      </c>
      <c r="Q76" s="1">
        <v>0</v>
      </c>
      <c r="R76" s="17">
        <f t="shared" si="19"/>
        <v>0</v>
      </c>
      <c r="S76" s="1">
        <v>0</v>
      </c>
      <c r="T76" s="1">
        <v>0</v>
      </c>
      <c r="U76" s="17">
        <f t="shared" si="18"/>
        <v>0</v>
      </c>
      <c r="V76" s="1">
        <f>VLOOKUP(A76:A164,'120326'!A76:T164,20,FALSE)</f>
        <v>0</v>
      </c>
      <c r="W76" s="1">
        <v>0</v>
      </c>
      <c r="X76" s="20">
        <v>0</v>
      </c>
      <c r="Y76" s="2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</row>
    <row r="77" spans="1:65" x14ac:dyDescent="0.2">
      <c r="A77" s="1">
        <v>47032</v>
      </c>
      <c r="B77" s="1" t="s">
        <v>81</v>
      </c>
      <c r="C77" s="1">
        <v>12</v>
      </c>
      <c r="D77" s="1">
        <v>677</v>
      </c>
      <c r="E77" s="1" t="s">
        <v>64</v>
      </c>
      <c r="F77" s="1">
        <v>999</v>
      </c>
      <c r="G77" s="1" t="s">
        <v>67</v>
      </c>
      <c r="H77" s="2">
        <v>22.49</v>
      </c>
      <c r="I77" s="2">
        <v>269.88</v>
      </c>
      <c r="J77" s="14">
        <f t="shared" si="2"/>
        <v>0</v>
      </c>
      <c r="K77" s="15">
        <f t="shared" si="11"/>
        <v>0</v>
      </c>
      <c r="L77" s="15"/>
      <c r="M77" s="1">
        <v>0</v>
      </c>
      <c r="N77" s="1">
        <v>0</v>
      </c>
      <c r="O77" s="17">
        <f t="shared" si="20"/>
        <v>0</v>
      </c>
      <c r="P77" s="1">
        <v>0</v>
      </c>
      <c r="Q77" s="1">
        <v>0</v>
      </c>
      <c r="R77" s="17">
        <f t="shared" si="19"/>
        <v>0</v>
      </c>
      <c r="S77" s="1">
        <v>0</v>
      </c>
      <c r="T77" s="1">
        <v>0</v>
      </c>
      <c r="U77" s="17">
        <f t="shared" si="18"/>
        <v>0</v>
      </c>
      <c r="V77" s="1">
        <f>VLOOKUP(A77:A165,'120326'!A77:T165,20,FALSE)</f>
        <v>0</v>
      </c>
      <c r="W77" s="1">
        <v>0</v>
      </c>
      <c r="X77" s="20">
        <v>0</v>
      </c>
      <c r="Y77" s="2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</row>
    <row r="78" spans="1:65" x14ac:dyDescent="0.2">
      <c r="A78" s="1">
        <v>47017</v>
      </c>
      <c r="B78" s="1" t="s">
        <v>81</v>
      </c>
      <c r="C78" s="1">
        <v>6</v>
      </c>
      <c r="D78" s="1">
        <v>677</v>
      </c>
      <c r="E78" s="1" t="s">
        <v>64</v>
      </c>
      <c r="F78" s="1">
        <v>999</v>
      </c>
      <c r="G78" s="1" t="s">
        <v>67</v>
      </c>
      <c r="H78" s="2">
        <v>51.17</v>
      </c>
      <c r="I78" s="2">
        <v>307.02</v>
      </c>
      <c r="J78" s="14">
        <f t="shared" si="2"/>
        <v>0</v>
      </c>
      <c r="K78" s="15">
        <f t="shared" si="11"/>
        <v>0</v>
      </c>
      <c r="L78" s="15"/>
      <c r="M78" s="1">
        <v>0</v>
      </c>
      <c r="N78" s="1">
        <v>0</v>
      </c>
      <c r="O78" s="17">
        <f t="shared" si="20"/>
        <v>0</v>
      </c>
      <c r="P78" s="1">
        <v>0</v>
      </c>
      <c r="Q78" s="1">
        <v>0</v>
      </c>
      <c r="R78" s="17">
        <f t="shared" si="19"/>
        <v>0</v>
      </c>
      <c r="S78" s="1">
        <v>0</v>
      </c>
      <c r="T78" s="1">
        <v>0</v>
      </c>
      <c r="U78" s="17">
        <f t="shared" si="18"/>
        <v>0</v>
      </c>
      <c r="V78" s="1">
        <f>VLOOKUP(A78:A166,'120326'!A78:T166,20,FALSE)</f>
        <v>0</v>
      </c>
      <c r="W78" s="1">
        <v>0</v>
      </c>
      <c r="X78" s="20">
        <v>0</v>
      </c>
      <c r="Y78" s="2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</row>
    <row r="79" spans="1:65" x14ac:dyDescent="0.2">
      <c r="A79" s="1">
        <v>47030</v>
      </c>
      <c r="B79" s="1" t="s">
        <v>163</v>
      </c>
      <c r="C79" s="1">
        <v>12</v>
      </c>
      <c r="D79" s="1">
        <v>677</v>
      </c>
      <c r="E79" s="1" t="s">
        <v>64</v>
      </c>
      <c r="F79" s="1">
        <v>999</v>
      </c>
      <c r="G79" s="1" t="s">
        <v>67</v>
      </c>
      <c r="H79" s="2">
        <v>109.64</v>
      </c>
      <c r="I79" s="2">
        <v>1315.68</v>
      </c>
      <c r="J79" s="14">
        <f t="shared" si="2"/>
        <v>0</v>
      </c>
      <c r="K79" s="15">
        <f t="shared" si="11"/>
        <v>0</v>
      </c>
      <c r="L79" s="15"/>
      <c r="M79" s="1">
        <v>0</v>
      </c>
      <c r="N79" s="1">
        <v>0</v>
      </c>
      <c r="O79" s="17">
        <f t="shared" si="20"/>
        <v>0</v>
      </c>
      <c r="P79" s="1">
        <v>0</v>
      </c>
      <c r="Q79" s="1">
        <v>0</v>
      </c>
      <c r="R79" s="17">
        <f t="shared" si="19"/>
        <v>0</v>
      </c>
      <c r="S79" s="1">
        <v>0</v>
      </c>
      <c r="T79" s="1">
        <v>0</v>
      </c>
      <c r="U79" s="17">
        <f t="shared" si="18"/>
        <v>0</v>
      </c>
      <c r="V79" s="1">
        <f>VLOOKUP(A79:A167,'120326'!A79:T167,20,FALSE)</f>
        <v>0</v>
      </c>
      <c r="W79" s="1">
        <v>0</v>
      </c>
      <c r="X79" s="20">
        <v>0</v>
      </c>
      <c r="Y79" s="2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</row>
    <row r="80" spans="1:65" x14ac:dyDescent="0.2">
      <c r="A80" s="1">
        <v>9099</v>
      </c>
      <c r="B80" s="1" t="s">
        <v>77</v>
      </c>
      <c r="C80" s="1">
        <v>24</v>
      </c>
      <c r="D80" s="1">
        <v>677</v>
      </c>
      <c r="E80" s="1" t="s">
        <v>64</v>
      </c>
      <c r="F80" s="1">
        <v>999</v>
      </c>
      <c r="G80" s="1" t="s">
        <v>67</v>
      </c>
      <c r="H80" s="2">
        <v>15.6492</v>
      </c>
      <c r="I80" s="2">
        <v>375.58080000000001</v>
      </c>
      <c r="J80" s="14">
        <f t="shared" si="2"/>
        <v>0</v>
      </c>
      <c r="K80" s="15">
        <f t="shared" si="11"/>
        <v>0</v>
      </c>
      <c r="L80" s="15"/>
      <c r="M80" s="1">
        <v>0</v>
      </c>
      <c r="N80" s="1">
        <v>0</v>
      </c>
      <c r="O80" s="17">
        <f t="shared" si="20"/>
        <v>0</v>
      </c>
      <c r="P80" s="1">
        <v>0</v>
      </c>
      <c r="Q80" s="1">
        <v>0</v>
      </c>
      <c r="R80" s="17">
        <f t="shared" si="19"/>
        <v>0</v>
      </c>
      <c r="S80" s="1">
        <v>0</v>
      </c>
      <c r="T80" s="1">
        <v>0</v>
      </c>
      <c r="U80" s="17">
        <f t="shared" si="18"/>
        <v>0</v>
      </c>
      <c r="V80" s="1">
        <f>VLOOKUP(A80:A168,'120326'!A80:T168,20,FALSE)</f>
        <v>0</v>
      </c>
      <c r="W80" s="1">
        <v>0</v>
      </c>
      <c r="X80" s="20">
        <v>0</v>
      </c>
      <c r="Y80" s="2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</row>
    <row r="81" spans="1:65" x14ac:dyDescent="0.2">
      <c r="A81" s="1">
        <v>47025</v>
      </c>
      <c r="B81" s="1" t="s">
        <v>162</v>
      </c>
      <c r="C81" s="1">
        <v>24</v>
      </c>
      <c r="D81" s="1">
        <v>677</v>
      </c>
      <c r="E81" s="1" t="s">
        <v>64</v>
      </c>
      <c r="F81" s="1">
        <v>677</v>
      </c>
      <c r="G81" s="1" t="s">
        <v>84</v>
      </c>
      <c r="H81" s="2">
        <v>48.56</v>
      </c>
      <c r="I81" s="2">
        <v>1165.44</v>
      </c>
      <c r="J81" s="14">
        <f t="shared" si="2"/>
        <v>0</v>
      </c>
      <c r="K81" s="15">
        <f t="shared" si="11"/>
        <v>0</v>
      </c>
      <c r="L81" s="15"/>
      <c r="M81" s="1">
        <v>0</v>
      </c>
      <c r="N81" s="1">
        <v>0</v>
      </c>
      <c r="O81" s="17">
        <f t="shared" si="20"/>
        <v>0</v>
      </c>
      <c r="P81" s="1">
        <v>0</v>
      </c>
      <c r="Q81" s="1">
        <v>0</v>
      </c>
      <c r="R81" s="17">
        <f t="shared" si="19"/>
        <v>0</v>
      </c>
      <c r="S81" s="1">
        <v>0</v>
      </c>
      <c r="T81" s="1">
        <v>0</v>
      </c>
      <c r="U81" s="17">
        <f t="shared" si="18"/>
        <v>0</v>
      </c>
      <c r="V81" s="1">
        <f>VLOOKUP(A81:A169,'120326'!A81:T169,20,FALSE)</f>
        <v>0</v>
      </c>
      <c r="W81" s="1">
        <v>0</v>
      </c>
      <c r="X81" s="20">
        <v>0</v>
      </c>
      <c r="Y81" s="2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</row>
    <row r="82" spans="1:65" x14ac:dyDescent="0.2">
      <c r="A82" s="1">
        <v>47022</v>
      </c>
      <c r="B82" s="1" t="s">
        <v>75</v>
      </c>
      <c r="C82" s="1">
        <v>10</v>
      </c>
      <c r="D82" s="1">
        <v>677</v>
      </c>
      <c r="E82" s="1" t="s">
        <v>64</v>
      </c>
      <c r="F82" s="1">
        <v>998</v>
      </c>
      <c r="G82" s="1" t="s">
        <v>73</v>
      </c>
      <c r="H82" s="2">
        <v>127.43</v>
      </c>
      <c r="I82" s="2">
        <v>1274.3</v>
      </c>
      <c r="J82" s="14">
        <f t="shared" si="2"/>
        <v>0</v>
      </c>
      <c r="K82" s="15">
        <f t="shared" si="11"/>
        <v>0</v>
      </c>
      <c r="L82" s="15"/>
      <c r="M82" s="1">
        <v>0</v>
      </c>
      <c r="N82" s="1">
        <v>0</v>
      </c>
      <c r="O82" s="17">
        <f t="shared" si="20"/>
        <v>0</v>
      </c>
      <c r="P82" s="1">
        <v>0</v>
      </c>
      <c r="Q82" s="1">
        <v>0</v>
      </c>
      <c r="R82" s="17">
        <f t="shared" si="19"/>
        <v>0</v>
      </c>
      <c r="S82" s="1">
        <v>0</v>
      </c>
      <c r="T82" s="1">
        <v>0</v>
      </c>
      <c r="U82" s="17">
        <f t="shared" si="18"/>
        <v>0</v>
      </c>
      <c r="V82" s="1">
        <f>VLOOKUP(A82:A170,'120326'!A82:T170,20,FALSE)</f>
        <v>0</v>
      </c>
      <c r="W82" s="1">
        <v>0</v>
      </c>
      <c r="X82" s="20">
        <v>0</v>
      </c>
      <c r="Y82" s="2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</row>
    <row r="83" spans="1:65" x14ac:dyDescent="0.2">
      <c r="A83" s="1">
        <v>47021</v>
      </c>
      <c r="B83" s="1" t="s">
        <v>81</v>
      </c>
      <c r="C83" s="1">
        <v>10</v>
      </c>
      <c r="D83" s="1">
        <v>677</v>
      </c>
      <c r="E83" s="1" t="s">
        <v>64</v>
      </c>
      <c r="F83" s="1">
        <v>999</v>
      </c>
      <c r="G83" s="1" t="s">
        <v>67</v>
      </c>
      <c r="H83" s="2">
        <v>34.318800000000003</v>
      </c>
      <c r="I83" s="2">
        <v>343.18799999999999</v>
      </c>
      <c r="J83" s="14">
        <f t="shared" si="2"/>
        <v>0</v>
      </c>
      <c r="K83" s="15">
        <f t="shared" si="11"/>
        <v>0</v>
      </c>
      <c r="L83" s="15"/>
      <c r="M83" s="1">
        <v>0</v>
      </c>
      <c r="N83" s="1">
        <v>0</v>
      </c>
      <c r="O83" s="17">
        <f t="shared" si="20"/>
        <v>0</v>
      </c>
      <c r="P83" s="1">
        <v>0</v>
      </c>
      <c r="Q83" s="1">
        <v>0</v>
      </c>
      <c r="R83" s="17">
        <f t="shared" si="19"/>
        <v>0</v>
      </c>
      <c r="S83" s="1">
        <v>0</v>
      </c>
      <c r="T83" s="1">
        <v>0</v>
      </c>
      <c r="U83" s="17">
        <f t="shared" si="18"/>
        <v>0</v>
      </c>
      <c r="V83" s="1">
        <f>VLOOKUP(A83:A171,'120326'!A83:T171,20,FALSE)</f>
        <v>0</v>
      </c>
      <c r="W83" s="1">
        <v>0</v>
      </c>
      <c r="X83" s="20">
        <v>0</v>
      </c>
      <c r="Y83" s="2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</row>
    <row r="84" spans="1:65" x14ac:dyDescent="0.2">
      <c r="A84" s="1">
        <v>47018</v>
      </c>
      <c r="B84" s="1" t="s">
        <v>161</v>
      </c>
      <c r="C84" s="1">
        <v>6</v>
      </c>
      <c r="D84" s="1">
        <v>677</v>
      </c>
      <c r="E84" s="1" t="s">
        <v>64</v>
      </c>
      <c r="F84" s="1">
        <v>61</v>
      </c>
      <c r="G84" s="1" t="s">
        <v>66</v>
      </c>
      <c r="H84" s="2">
        <v>77.28</v>
      </c>
      <c r="I84" s="2">
        <v>463.68</v>
      </c>
      <c r="J84" s="14">
        <f t="shared" si="2"/>
        <v>0</v>
      </c>
      <c r="K84" s="15">
        <f t="shared" si="11"/>
        <v>0</v>
      </c>
      <c r="L84" s="15"/>
      <c r="M84" s="1">
        <v>0</v>
      </c>
      <c r="N84" s="1">
        <v>0</v>
      </c>
      <c r="O84" s="17">
        <f t="shared" si="20"/>
        <v>0</v>
      </c>
      <c r="P84" s="1">
        <v>0</v>
      </c>
      <c r="Q84" s="1">
        <v>0</v>
      </c>
      <c r="R84" s="17">
        <f t="shared" si="19"/>
        <v>0</v>
      </c>
      <c r="S84" s="1">
        <v>0</v>
      </c>
      <c r="T84" s="1">
        <v>0</v>
      </c>
      <c r="U84" s="17">
        <f t="shared" si="18"/>
        <v>0</v>
      </c>
      <c r="V84" s="1">
        <f>VLOOKUP(A84:A172,'120326'!A84:T172,20,FALSE)</f>
        <v>0</v>
      </c>
      <c r="W84" s="1">
        <v>0</v>
      </c>
      <c r="X84" s="20">
        <v>0</v>
      </c>
      <c r="Y84" s="2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</row>
    <row r="85" spans="1:65" x14ac:dyDescent="0.2">
      <c r="A85" s="1">
        <v>85</v>
      </c>
      <c r="B85" s="1" t="s">
        <v>148</v>
      </c>
      <c r="C85" s="1">
        <v>192</v>
      </c>
      <c r="D85" s="1">
        <v>677</v>
      </c>
      <c r="E85" s="1" t="s">
        <v>64</v>
      </c>
      <c r="F85" s="1">
        <v>1</v>
      </c>
      <c r="G85" s="1" t="s">
        <v>149</v>
      </c>
      <c r="H85" s="2">
        <v>6</v>
      </c>
      <c r="I85" s="2">
        <v>1152</v>
      </c>
      <c r="J85" s="14">
        <f t="shared" si="2"/>
        <v>0</v>
      </c>
      <c r="K85" s="15">
        <f t="shared" si="11"/>
        <v>0</v>
      </c>
      <c r="L85" s="15"/>
      <c r="M85" s="1">
        <v>0</v>
      </c>
      <c r="N85" s="1">
        <v>0</v>
      </c>
      <c r="O85" s="17">
        <f t="shared" si="20"/>
        <v>0</v>
      </c>
      <c r="P85" s="1">
        <v>0</v>
      </c>
      <c r="Q85" s="1">
        <v>0</v>
      </c>
      <c r="R85" s="17">
        <f t="shared" si="19"/>
        <v>0</v>
      </c>
      <c r="S85" s="1">
        <v>0</v>
      </c>
      <c r="T85" s="1">
        <v>0</v>
      </c>
      <c r="U85" s="17">
        <f t="shared" si="18"/>
        <v>0</v>
      </c>
      <c r="V85" s="1">
        <f>VLOOKUP(A85:A173,'120326'!A85:T173,20,FALSE)</f>
        <v>0</v>
      </c>
      <c r="W85" s="1">
        <v>0</v>
      </c>
      <c r="X85" s="20">
        <v>0</v>
      </c>
      <c r="Y85" s="2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</row>
    <row r="86" spans="1:65" x14ac:dyDescent="0.2">
      <c r="A86" s="1">
        <v>47016</v>
      </c>
      <c r="B86" s="1" t="s">
        <v>160</v>
      </c>
      <c r="C86" s="1">
        <v>12</v>
      </c>
      <c r="D86" s="1">
        <v>677</v>
      </c>
      <c r="E86" s="1" t="s">
        <v>64</v>
      </c>
      <c r="F86" s="1">
        <v>1</v>
      </c>
      <c r="G86" s="1" t="s">
        <v>149</v>
      </c>
      <c r="H86" s="2">
        <v>7.68</v>
      </c>
      <c r="I86" s="2">
        <v>92.16</v>
      </c>
      <c r="J86" s="14">
        <f t="shared" si="2"/>
        <v>0</v>
      </c>
      <c r="K86" s="15">
        <f t="shared" si="11"/>
        <v>0</v>
      </c>
      <c r="L86" s="15"/>
      <c r="M86" s="1">
        <v>0</v>
      </c>
      <c r="N86" s="1">
        <v>0</v>
      </c>
      <c r="O86" s="17">
        <f t="shared" si="20"/>
        <v>0</v>
      </c>
      <c r="P86" s="1">
        <v>0</v>
      </c>
      <c r="Q86" s="1">
        <v>0</v>
      </c>
      <c r="R86" s="17">
        <f t="shared" si="19"/>
        <v>0</v>
      </c>
      <c r="S86" s="1">
        <v>0</v>
      </c>
      <c r="T86" s="1">
        <v>0</v>
      </c>
      <c r="U86" s="17">
        <f t="shared" si="18"/>
        <v>0</v>
      </c>
      <c r="V86" s="1">
        <f>VLOOKUP(A86:A174,'120326'!A86:T174,20,FALSE)</f>
        <v>0</v>
      </c>
      <c r="W86" s="1">
        <v>0</v>
      </c>
      <c r="X86" s="20">
        <v>0</v>
      </c>
      <c r="Y86" s="2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</row>
    <row r="87" spans="1:65" x14ac:dyDescent="0.2">
      <c r="A87" s="1">
        <v>47013</v>
      </c>
      <c r="B87" s="1" t="s">
        <v>159</v>
      </c>
      <c r="C87" s="1">
        <v>4</v>
      </c>
      <c r="D87" s="1">
        <v>677</v>
      </c>
      <c r="E87" s="1" t="s">
        <v>64</v>
      </c>
      <c r="F87" s="1">
        <v>61</v>
      </c>
      <c r="G87" s="1" t="s">
        <v>66</v>
      </c>
      <c r="H87" s="2">
        <v>92.19</v>
      </c>
      <c r="I87" s="2">
        <v>368.76</v>
      </c>
      <c r="J87" s="14">
        <f t="shared" si="2"/>
        <v>0</v>
      </c>
      <c r="K87" s="15">
        <f t="shared" si="11"/>
        <v>0</v>
      </c>
      <c r="L87" s="15"/>
      <c r="M87" s="1">
        <v>0</v>
      </c>
      <c r="N87" s="1">
        <v>0</v>
      </c>
      <c r="O87" s="17">
        <f t="shared" si="20"/>
        <v>0</v>
      </c>
      <c r="P87" s="1">
        <v>0</v>
      </c>
      <c r="Q87" s="1">
        <v>0</v>
      </c>
      <c r="R87" s="17">
        <f t="shared" si="19"/>
        <v>0</v>
      </c>
      <c r="S87" s="1">
        <v>0</v>
      </c>
      <c r="T87" s="1">
        <v>0</v>
      </c>
      <c r="U87" s="17">
        <f t="shared" si="18"/>
        <v>0</v>
      </c>
      <c r="V87" s="1">
        <f>VLOOKUP(A87:A175,'120326'!A87:T175,20,FALSE)</f>
        <v>0</v>
      </c>
      <c r="W87" s="1">
        <v>0</v>
      </c>
      <c r="X87" s="20">
        <v>0</v>
      </c>
      <c r="Y87" s="2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</row>
    <row r="88" spans="1:65" x14ac:dyDescent="0.2">
      <c r="A88" s="1">
        <v>47011</v>
      </c>
      <c r="B88" s="1" t="s">
        <v>158</v>
      </c>
      <c r="C88" s="1">
        <v>24</v>
      </c>
      <c r="D88" s="1">
        <v>677</v>
      </c>
      <c r="E88" s="1" t="s">
        <v>64</v>
      </c>
      <c r="F88" s="1">
        <v>677</v>
      </c>
      <c r="G88" s="1" t="s">
        <v>84</v>
      </c>
      <c r="H88" s="2">
        <v>21.65</v>
      </c>
      <c r="I88" s="2">
        <v>519.6</v>
      </c>
      <c r="J88" s="14">
        <f t="shared" si="2"/>
        <v>0</v>
      </c>
      <c r="K88" s="15">
        <f t="shared" si="11"/>
        <v>0</v>
      </c>
      <c r="L88" s="15"/>
      <c r="M88" s="1">
        <v>0</v>
      </c>
      <c r="N88" s="1">
        <v>0</v>
      </c>
      <c r="O88" s="17">
        <f t="shared" si="20"/>
        <v>0</v>
      </c>
      <c r="P88" s="1">
        <v>0</v>
      </c>
      <c r="Q88" s="1">
        <v>0</v>
      </c>
      <c r="R88" s="17">
        <f t="shared" si="19"/>
        <v>0</v>
      </c>
      <c r="S88" s="1">
        <v>0</v>
      </c>
      <c r="T88" s="1">
        <v>0</v>
      </c>
      <c r="U88" s="17">
        <f t="shared" si="18"/>
        <v>0</v>
      </c>
      <c r="V88" s="1">
        <f>VLOOKUP(A88:A176,'120326'!A88:T176,20,FALSE)</f>
        <v>0</v>
      </c>
      <c r="W88" s="1">
        <v>0</v>
      </c>
      <c r="X88" s="20">
        <v>0</v>
      </c>
      <c r="Y88" s="2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</row>
    <row r="89" spans="1:65" x14ac:dyDescent="0.2">
      <c r="A89" s="1">
        <v>47007</v>
      </c>
      <c r="B89" s="1" t="s">
        <v>157</v>
      </c>
      <c r="C89" s="1">
        <v>12</v>
      </c>
      <c r="D89" s="1">
        <v>677</v>
      </c>
      <c r="E89" s="1" t="s">
        <v>64</v>
      </c>
      <c r="F89" s="1">
        <v>1</v>
      </c>
      <c r="G89" s="1" t="s">
        <v>149</v>
      </c>
      <c r="H89" s="2">
        <v>7.68</v>
      </c>
      <c r="I89" s="2">
        <v>92.16</v>
      </c>
      <c r="J89" s="14">
        <f t="shared" si="2"/>
        <v>0</v>
      </c>
      <c r="K89" s="15">
        <f t="shared" si="11"/>
        <v>0</v>
      </c>
      <c r="L89" s="15"/>
      <c r="M89" s="1">
        <v>0</v>
      </c>
      <c r="N89" s="1">
        <v>0</v>
      </c>
      <c r="O89" s="17">
        <f t="shared" si="20"/>
        <v>0</v>
      </c>
      <c r="P89" s="1">
        <v>0</v>
      </c>
      <c r="Q89" s="1">
        <v>0</v>
      </c>
      <c r="R89" s="17">
        <f t="shared" si="19"/>
        <v>0</v>
      </c>
      <c r="S89" s="1">
        <v>0</v>
      </c>
      <c r="T89" s="1">
        <v>0</v>
      </c>
      <c r="U89" s="17">
        <f t="shared" si="18"/>
        <v>0</v>
      </c>
      <c r="V89" s="1">
        <f>VLOOKUP(A89:A177,'120326'!A89:T177,20,FALSE)</f>
        <v>0</v>
      </c>
      <c r="W89" s="1">
        <v>0</v>
      </c>
      <c r="X89" s="20">
        <v>0</v>
      </c>
      <c r="Y89" s="2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</row>
    <row r="90" spans="1:65" x14ac:dyDescent="0.2">
      <c r="A90" s="1">
        <v>47006</v>
      </c>
      <c r="B90" s="1" t="s">
        <v>72</v>
      </c>
      <c r="C90" s="1">
        <v>24</v>
      </c>
      <c r="D90" s="1">
        <v>677</v>
      </c>
      <c r="E90" s="1" t="s">
        <v>64</v>
      </c>
      <c r="F90" s="1">
        <v>998</v>
      </c>
      <c r="G90" s="1" t="s">
        <v>73</v>
      </c>
      <c r="H90" s="2">
        <v>20.635100000000001</v>
      </c>
      <c r="I90" s="2">
        <v>495.24239999999998</v>
      </c>
      <c r="J90" s="14">
        <f t="shared" si="2"/>
        <v>0</v>
      </c>
      <c r="K90" s="15">
        <f t="shared" si="11"/>
        <v>0</v>
      </c>
      <c r="L90" s="15"/>
      <c r="M90" s="1">
        <v>0</v>
      </c>
      <c r="N90" s="1">
        <v>0</v>
      </c>
      <c r="O90" s="17">
        <f t="shared" si="20"/>
        <v>0</v>
      </c>
      <c r="P90" s="1">
        <v>0</v>
      </c>
      <c r="Q90" s="1">
        <v>0</v>
      </c>
      <c r="R90" s="17">
        <f t="shared" si="19"/>
        <v>0</v>
      </c>
      <c r="S90" s="1">
        <v>0</v>
      </c>
      <c r="T90" s="1">
        <v>0</v>
      </c>
      <c r="U90" s="17">
        <f t="shared" si="18"/>
        <v>0</v>
      </c>
      <c r="V90" s="1">
        <f>VLOOKUP(A90:A178,'120326'!A90:T178,20,FALSE)</f>
        <v>0</v>
      </c>
      <c r="W90" s="1">
        <v>0</v>
      </c>
      <c r="X90" s="20">
        <v>0</v>
      </c>
      <c r="Y90" s="2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</row>
    <row r="91" spans="1:65" x14ac:dyDescent="0.2">
      <c r="A91" s="1">
        <v>47031</v>
      </c>
      <c r="B91" s="1" t="s">
        <v>164</v>
      </c>
      <c r="C91" s="1">
        <v>4</v>
      </c>
      <c r="D91" s="1">
        <v>677</v>
      </c>
      <c r="E91" s="1" t="s">
        <v>64</v>
      </c>
      <c r="F91" s="1">
        <v>61</v>
      </c>
      <c r="G91" s="1" t="s">
        <v>66</v>
      </c>
      <c r="H91" s="2">
        <v>92.19</v>
      </c>
      <c r="I91" s="2">
        <v>368.76</v>
      </c>
      <c r="J91" s="14">
        <f t="shared" si="2"/>
        <v>0</v>
      </c>
      <c r="K91" s="15">
        <f t="shared" si="11"/>
        <v>0</v>
      </c>
      <c r="L91" s="15"/>
      <c r="M91" s="1">
        <v>0</v>
      </c>
      <c r="N91" s="1">
        <v>0</v>
      </c>
      <c r="O91" s="17">
        <f t="shared" si="20"/>
        <v>0</v>
      </c>
      <c r="P91" s="1">
        <v>0</v>
      </c>
      <c r="Q91" s="1">
        <v>0</v>
      </c>
      <c r="R91" s="17">
        <f t="shared" si="19"/>
        <v>0</v>
      </c>
      <c r="S91" s="1">
        <v>0</v>
      </c>
      <c r="T91" s="1">
        <v>0</v>
      </c>
      <c r="U91" s="17">
        <f t="shared" si="18"/>
        <v>0</v>
      </c>
      <c r="V91" s="1">
        <f>VLOOKUP(A91:A179,'120326'!A91:T179,20,FALSE)</f>
        <v>0</v>
      </c>
      <c r="W91" s="1">
        <v>0</v>
      </c>
      <c r="X91" s="20">
        <v>0</v>
      </c>
      <c r="Y91" s="2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</row>
    <row r="92" spans="1:65" x14ac:dyDescent="0.2">
      <c r="H92" s="26"/>
      <c r="I92" s="26"/>
      <c r="J92" s="26"/>
      <c r="X92" s="26"/>
      <c r="Y92" s="26"/>
    </row>
    <row r="93" spans="1:65" x14ac:dyDescent="0.2">
      <c r="H93" s="26"/>
      <c r="I93" s="26"/>
      <c r="J93" s="26"/>
      <c r="X93" s="26"/>
      <c r="Y93" s="26"/>
    </row>
    <row r="94" spans="1:65" x14ac:dyDescent="0.2">
      <c r="H94" s="26"/>
      <c r="I94" s="26"/>
      <c r="J94" s="26"/>
      <c r="X94" s="26"/>
      <c r="Y94" s="26"/>
    </row>
    <row r="95" spans="1:65" x14ac:dyDescent="0.2">
      <c r="H95" s="26"/>
      <c r="I95" s="26"/>
      <c r="J95" s="26"/>
      <c r="X95" s="26"/>
      <c r="Y95" s="26"/>
    </row>
    <row r="96" spans="1:65" x14ac:dyDescent="0.2">
      <c r="H96" s="26"/>
      <c r="I96" s="26"/>
      <c r="J96" s="26"/>
      <c r="X96" s="26"/>
      <c r="Y96" s="26"/>
    </row>
    <row r="97" spans="8:25" x14ac:dyDescent="0.2">
      <c r="H97" s="26"/>
      <c r="I97" s="26"/>
      <c r="J97" s="26"/>
      <c r="X97" s="26"/>
      <c r="Y97" s="26"/>
    </row>
    <row r="98" spans="8:25" x14ac:dyDescent="0.2">
      <c r="H98" s="26"/>
      <c r="I98" s="26"/>
      <c r="J98" s="26"/>
      <c r="X98" s="26"/>
      <c r="Y98" s="26"/>
    </row>
    <row r="99" spans="8:25" x14ac:dyDescent="0.2">
      <c r="H99" s="26"/>
      <c r="I99" s="26"/>
      <c r="J99" s="26"/>
      <c r="X99" s="26"/>
      <c r="Y99" s="26"/>
    </row>
    <row r="100" spans="8:25" x14ac:dyDescent="0.2">
      <c r="H100" s="26"/>
      <c r="I100" s="26"/>
      <c r="J100" s="26"/>
      <c r="X100" s="26"/>
      <c r="Y100" s="26"/>
    </row>
    <row r="101" spans="8:25" x14ac:dyDescent="0.2">
      <c r="H101" s="26"/>
      <c r="I101" s="26"/>
      <c r="J101" s="26"/>
      <c r="X101" s="26"/>
      <c r="Y101" s="26"/>
    </row>
    <row r="102" spans="8:25" x14ac:dyDescent="0.2">
      <c r="H102" s="26"/>
      <c r="I102" s="26"/>
      <c r="J102" s="26"/>
      <c r="X102" s="26"/>
      <c r="Y102" s="26"/>
    </row>
    <row r="103" spans="8:25" x14ac:dyDescent="0.2">
      <c r="H103" s="26"/>
      <c r="I103" s="26"/>
      <c r="J103" s="26"/>
      <c r="X103" s="26"/>
      <c r="Y103" s="26"/>
    </row>
    <row r="104" spans="8:25" x14ac:dyDescent="0.2">
      <c r="H104" s="26"/>
      <c r="I104" s="26"/>
      <c r="J104" s="26"/>
      <c r="X104" s="26"/>
      <c r="Y104" s="26"/>
    </row>
    <row r="105" spans="8:25" x14ac:dyDescent="0.2">
      <c r="H105" s="26"/>
      <c r="I105" s="26"/>
      <c r="J105" s="26"/>
      <c r="X105" s="26"/>
      <c r="Y105" s="26"/>
    </row>
    <row r="106" spans="8:25" x14ac:dyDescent="0.2">
      <c r="H106" s="26"/>
      <c r="I106" s="26"/>
      <c r="J106" s="26"/>
      <c r="X106" s="26"/>
      <c r="Y106" s="26"/>
    </row>
    <row r="107" spans="8:25" x14ac:dyDescent="0.2">
      <c r="H107" s="26"/>
      <c r="I107" s="26"/>
      <c r="J107" s="26"/>
      <c r="X107" s="26"/>
      <c r="Y107" s="26"/>
    </row>
    <row r="108" spans="8:25" x14ac:dyDescent="0.2">
      <c r="H108" s="26"/>
      <c r="I108" s="26"/>
      <c r="J108" s="26"/>
      <c r="X108" s="26"/>
      <c r="Y108" s="26"/>
    </row>
    <row r="109" spans="8:25" x14ac:dyDescent="0.2">
      <c r="H109" s="26"/>
      <c r="I109" s="26"/>
      <c r="J109" s="26"/>
      <c r="X109" s="26"/>
      <c r="Y109" s="26"/>
    </row>
    <row r="110" spans="8:25" x14ac:dyDescent="0.2">
      <c r="H110" s="26"/>
      <c r="I110" s="26"/>
      <c r="J110" s="26"/>
      <c r="X110" s="26"/>
      <c r="Y110" s="26"/>
    </row>
    <row r="111" spans="8:25" x14ac:dyDescent="0.2">
      <c r="H111" s="26"/>
      <c r="I111" s="26"/>
      <c r="J111" s="26"/>
      <c r="X111" s="26"/>
      <c r="Y111" s="26"/>
    </row>
    <row r="112" spans="8:25" x14ac:dyDescent="0.2">
      <c r="H112" s="26"/>
      <c r="I112" s="26"/>
      <c r="J112" s="26"/>
      <c r="X112" s="26"/>
      <c r="Y112" s="26"/>
    </row>
    <row r="113" spans="8:25" x14ac:dyDescent="0.2">
      <c r="H113" s="26"/>
      <c r="I113" s="26"/>
      <c r="J113" s="26"/>
      <c r="X113" s="26"/>
      <c r="Y113" s="26"/>
    </row>
    <row r="114" spans="8:25" x14ac:dyDescent="0.2">
      <c r="H114" s="26"/>
      <c r="I114" s="26"/>
      <c r="J114" s="26"/>
      <c r="X114" s="26"/>
      <c r="Y114" s="26"/>
    </row>
    <row r="115" spans="8:25" x14ac:dyDescent="0.2">
      <c r="H115" s="26"/>
      <c r="I115" s="26"/>
      <c r="J115" s="26"/>
      <c r="X115" s="26"/>
      <c r="Y115" s="26"/>
    </row>
    <row r="116" spans="8:25" x14ac:dyDescent="0.2">
      <c r="H116" s="26"/>
      <c r="I116" s="26"/>
      <c r="J116" s="26"/>
      <c r="X116" s="26"/>
      <c r="Y116" s="26"/>
    </row>
    <row r="117" spans="8:25" x14ac:dyDescent="0.2">
      <c r="H117" s="26"/>
      <c r="I117" s="26"/>
      <c r="J117" s="26"/>
      <c r="X117" s="26"/>
      <c r="Y117" s="26"/>
    </row>
    <row r="118" spans="8:25" x14ac:dyDescent="0.2">
      <c r="H118" s="26"/>
      <c r="I118" s="26"/>
      <c r="J118" s="26"/>
      <c r="X118" s="26"/>
      <c r="Y118" s="26"/>
    </row>
    <row r="119" spans="8:25" x14ac:dyDescent="0.2">
      <c r="H119" s="26"/>
      <c r="I119" s="26"/>
      <c r="J119" s="26"/>
      <c r="X119" s="26"/>
      <c r="Y119" s="26"/>
    </row>
    <row r="120" spans="8:25" x14ac:dyDescent="0.2">
      <c r="H120" s="26"/>
      <c r="I120" s="26"/>
      <c r="J120" s="26"/>
      <c r="X120" s="26"/>
      <c r="Y120" s="26"/>
    </row>
    <row r="121" spans="8:25" x14ac:dyDescent="0.2">
      <c r="H121" s="26"/>
      <c r="I121" s="26"/>
      <c r="J121" s="26"/>
      <c r="X121" s="26"/>
      <c r="Y121" s="26"/>
    </row>
    <row r="122" spans="8:25" x14ac:dyDescent="0.2">
      <c r="H122" s="26"/>
      <c r="I122" s="26"/>
      <c r="J122" s="26"/>
      <c r="X122" s="26"/>
      <c r="Y122" s="26"/>
    </row>
    <row r="123" spans="8:25" x14ac:dyDescent="0.2">
      <c r="H123" s="26"/>
      <c r="I123" s="26"/>
      <c r="J123" s="26"/>
      <c r="X123" s="26"/>
      <c r="Y123" s="26"/>
    </row>
    <row r="124" spans="8:25" x14ac:dyDescent="0.2">
      <c r="H124" s="26"/>
      <c r="I124" s="26"/>
      <c r="J124" s="26"/>
      <c r="X124" s="26"/>
      <c r="Y124" s="26"/>
    </row>
    <row r="125" spans="8:25" x14ac:dyDescent="0.2">
      <c r="H125" s="26"/>
      <c r="I125" s="26"/>
      <c r="J125" s="26"/>
      <c r="X125" s="26"/>
      <c r="Y125" s="26"/>
    </row>
    <row r="126" spans="8:25" x14ac:dyDescent="0.2">
      <c r="H126" s="26"/>
      <c r="I126" s="26"/>
      <c r="J126" s="26"/>
      <c r="X126" s="26"/>
      <c r="Y126" s="26"/>
    </row>
    <row r="127" spans="8:25" x14ac:dyDescent="0.2">
      <c r="H127" s="26"/>
      <c r="I127" s="26"/>
      <c r="J127" s="26"/>
      <c r="X127" s="26"/>
      <c r="Y127" s="26"/>
    </row>
    <row r="128" spans="8:25" x14ac:dyDescent="0.2">
      <c r="H128" s="26"/>
      <c r="I128" s="26"/>
      <c r="J128" s="26"/>
      <c r="X128" s="26"/>
      <c r="Y128" s="26"/>
    </row>
    <row r="129" spans="8:25" x14ac:dyDescent="0.2">
      <c r="H129" s="26"/>
      <c r="I129" s="26"/>
      <c r="J129" s="26"/>
      <c r="X129" s="26"/>
      <c r="Y129" s="26"/>
    </row>
    <row r="130" spans="8:25" x14ac:dyDescent="0.2">
      <c r="H130" s="26"/>
      <c r="I130" s="26"/>
      <c r="J130" s="26"/>
      <c r="X130" s="26"/>
      <c r="Y130" s="26"/>
    </row>
    <row r="131" spans="8:25" x14ac:dyDescent="0.2">
      <c r="H131" s="26"/>
      <c r="I131" s="26"/>
      <c r="J131" s="26"/>
      <c r="X131" s="26"/>
      <c r="Y131" s="26"/>
    </row>
    <row r="132" spans="8:25" x14ac:dyDescent="0.2">
      <c r="H132" s="26"/>
      <c r="I132" s="26"/>
      <c r="J132" s="26"/>
      <c r="X132" s="26"/>
      <c r="Y132" s="26"/>
    </row>
    <row r="133" spans="8:25" x14ac:dyDescent="0.2">
      <c r="H133" s="26"/>
      <c r="I133" s="26"/>
      <c r="J133" s="26"/>
      <c r="X133" s="26"/>
      <c r="Y133" s="26"/>
    </row>
    <row r="134" spans="8:25" x14ac:dyDescent="0.2">
      <c r="H134" s="26"/>
      <c r="I134" s="26"/>
      <c r="J134" s="26"/>
      <c r="X134" s="26"/>
      <c r="Y134" s="26"/>
    </row>
    <row r="135" spans="8:25" x14ac:dyDescent="0.2">
      <c r="H135" s="26"/>
      <c r="I135" s="26"/>
      <c r="J135" s="26"/>
      <c r="X135" s="26"/>
      <c r="Y135" s="26"/>
    </row>
    <row r="136" spans="8:25" x14ac:dyDescent="0.2">
      <c r="H136" s="26"/>
      <c r="I136" s="26"/>
      <c r="J136" s="26"/>
      <c r="X136" s="26"/>
      <c r="Y136" s="26"/>
    </row>
    <row r="137" spans="8:25" x14ac:dyDescent="0.2">
      <c r="H137" s="26"/>
      <c r="I137" s="26"/>
      <c r="J137" s="26"/>
      <c r="X137" s="26"/>
      <c r="Y137" s="26"/>
    </row>
    <row r="138" spans="8:25" x14ac:dyDescent="0.2">
      <c r="H138" s="26"/>
      <c r="I138" s="26"/>
      <c r="J138" s="26"/>
      <c r="X138" s="26"/>
      <c r="Y138" s="26"/>
    </row>
    <row r="139" spans="8:25" x14ac:dyDescent="0.2">
      <c r="H139" s="26"/>
      <c r="I139" s="26"/>
      <c r="J139" s="26"/>
      <c r="X139" s="26"/>
      <c r="Y139" s="26"/>
    </row>
    <row r="140" spans="8:25" x14ac:dyDescent="0.2">
      <c r="H140" s="26"/>
      <c r="I140" s="26"/>
      <c r="J140" s="26"/>
      <c r="X140" s="26"/>
      <c r="Y140" s="26"/>
    </row>
    <row r="141" spans="8:25" x14ac:dyDescent="0.2">
      <c r="H141" s="26"/>
      <c r="I141" s="26"/>
      <c r="J141" s="26"/>
      <c r="X141" s="26"/>
      <c r="Y141" s="26"/>
    </row>
    <row r="142" spans="8:25" x14ac:dyDescent="0.2">
      <c r="H142" s="26"/>
      <c r="I142" s="26"/>
      <c r="J142" s="26"/>
      <c r="X142" s="26"/>
      <c r="Y142" s="26"/>
    </row>
    <row r="143" spans="8:25" x14ac:dyDescent="0.2">
      <c r="H143" s="26"/>
      <c r="I143" s="26"/>
      <c r="J143" s="26"/>
      <c r="X143" s="26"/>
      <c r="Y143" s="26"/>
    </row>
    <row r="144" spans="8:25" x14ac:dyDescent="0.2">
      <c r="H144" s="26"/>
      <c r="I144" s="26"/>
      <c r="J144" s="26"/>
      <c r="X144" s="26"/>
      <c r="Y144" s="26"/>
    </row>
    <row r="145" spans="8:25" x14ac:dyDescent="0.2">
      <c r="H145" s="26"/>
      <c r="I145" s="26"/>
      <c r="J145" s="26"/>
      <c r="X145" s="26"/>
      <c r="Y145" s="26"/>
    </row>
    <row r="146" spans="8:25" x14ac:dyDescent="0.2">
      <c r="H146" s="26"/>
      <c r="I146" s="26"/>
      <c r="J146" s="26"/>
      <c r="X146" s="26"/>
      <c r="Y146" s="26"/>
    </row>
    <row r="147" spans="8:25" x14ac:dyDescent="0.2">
      <c r="H147" s="26"/>
      <c r="I147" s="26"/>
      <c r="J147" s="26"/>
      <c r="X147" s="26"/>
      <c r="Y147" s="26"/>
    </row>
    <row r="148" spans="8:25" x14ac:dyDescent="0.2">
      <c r="H148" s="26"/>
      <c r="I148" s="26"/>
      <c r="J148" s="26"/>
      <c r="X148" s="26"/>
      <c r="Y148" s="26"/>
    </row>
    <row r="149" spans="8:25" x14ac:dyDescent="0.2">
      <c r="H149" s="26"/>
      <c r="I149" s="26"/>
      <c r="J149" s="26"/>
      <c r="X149" s="26"/>
      <c r="Y149" s="26"/>
    </row>
    <row r="150" spans="8:25" x14ac:dyDescent="0.2">
      <c r="H150" s="26"/>
      <c r="I150" s="26"/>
      <c r="J150" s="26"/>
      <c r="X150" s="26"/>
      <c r="Y150" s="26"/>
    </row>
    <row r="151" spans="8:25" x14ac:dyDescent="0.2">
      <c r="H151" s="26"/>
      <c r="I151" s="26"/>
      <c r="J151" s="26"/>
      <c r="X151" s="26"/>
      <c r="Y151" s="26"/>
    </row>
    <row r="152" spans="8:25" x14ac:dyDescent="0.2">
      <c r="H152" s="26"/>
      <c r="I152" s="26"/>
      <c r="J152" s="26"/>
      <c r="X152" s="26"/>
      <c r="Y152" s="26"/>
    </row>
    <row r="153" spans="8:25" x14ac:dyDescent="0.2">
      <c r="H153" s="26"/>
      <c r="I153" s="26"/>
      <c r="J153" s="26"/>
      <c r="X153" s="26"/>
      <c r="Y153" s="26"/>
    </row>
    <row r="154" spans="8:25" x14ac:dyDescent="0.2">
      <c r="H154" s="26"/>
      <c r="I154" s="26"/>
      <c r="J154" s="26"/>
      <c r="X154" s="26"/>
      <c r="Y154" s="26"/>
    </row>
    <row r="155" spans="8:25" x14ac:dyDescent="0.2">
      <c r="H155" s="26"/>
      <c r="I155" s="26"/>
      <c r="J155" s="26"/>
      <c r="X155" s="26"/>
      <c r="Y155" s="26"/>
    </row>
    <row r="156" spans="8:25" x14ac:dyDescent="0.2">
      <c r="H156" s="26"/>
      <c r="I156" s="26"/>
      <c r="J156" s="26"/>
      <c r="X156" s="26"/>
      <c r="Y156" s="26"/>
    </row>
    <row r="157" spans="8:25" x14ac:dyDescent="0.2">
      <c r="H157" s="26"/>
      <c r="I157" s="26"/>
      <c r="J157" s="26"/>
      <c r="X157" s="26"/>
      <c r="Y157" s="26"/>
    </row>
    <row r="158" spans="8:25" x14ac:dyDescent="0.2">
      <c r="H158" s="26"/>
      <c r="I158" s="26"/>
      <c r="J158" s="26"/>
      <c r="X158" s="26"/>
      <c r="Y158" s="26"/>
    </row>
    <row r="159" spans="8:25" x14ac:dyDescent="0.2">
      <c r="H159" s="26"/>
      <c r="I159" s="26"/>
      <c r="J159" s="26"/>
      <c r="X159" s="26"/>
      <c r="Y159" s="26"/>
    </row>
    <row r="160" spans="8:25" x14ac:dyDescent="0.2">
      <c r="H160" s="26"/>
      <c r="I160" s="26"/>
      <c r="J160" s="26"/>
      <c r="X160" s="26"/>
      <c r="Y160" s="26"/>
    </row>
    <row r="161" spans="8:25" x14ac:dyDescent="0.2">
      <c r="H161" s="26"/>
      <c r="I161" s="26"/>
      <c r="J161" s="26"/>
      <c r="X161" s="26"/>
      <c r="Y161" s="26"/>
    </row>
    <row r="162" spans="8:25" x14ac:dyDescent="0.2">
      <c r="H162" s="26"/>
      <c r="I162" s="26"/>
      <c r="J162" s="26"/>
      <c r="X162" s="26"/>
      <c r="Y162" s="26"/>
    </row>
    <row r="163" spans="8:25" x14ac:dyDescent="0.2">
      <c r="H163" s="26"/>
      <c r="I163" s="26"/>
      <c r="J163" s="26"/>
      <c r="X163" s="26"/>
      <c r="Y163" s="26"/>
    </row>
    <row r="164" spans="8:25" x14ac:dyDescent="0.2">
      <c r="H164" s="26"/>
      <c r="I164" s="26"/>
      <c r="J164" s="26"/>
      <c r="X164" s="26"/>
      <c r="Y164" s="26"/>
    </row>
    <row r="165" spans="8:25" x14ac:dyDescent="0.2">
      <c r="H165" s="26"/>
      <c r="I165" s="26"/>
      <c r="J165" s="26"/>
      <c r="X165" s="26"/>
      <c r="Y165" s="26"/>
    </row>
    <row r="166" spans="8:25" x14ac:dyDescent="0.2">
      <c r="H166" s="26"/>
      <c r="I166" s="26"/>
      <c r="J166" s="26"/>
      <c r="X166" s="26"/>
      <c r="Y166" s="26"/>
    </row>
    <row r="167" spans="8:25" x14ac:dyDescent="0.2">
      <c r="H167" s="26"/>
      <c r="I167" s="26"/>
      <c r="J167" s="26"/>
      <c r="X167" s="26"/>
      <c r="Y167" s="26"/>
    </row>
    <row r="168" spans="8:25" x14ac:dyDescent="0.2">
      <c r="H168" s="26"/>
      <c r="I168" s="26"/>
      <c r="J168" s="26"/>
      <c r="X168" s="26"/>
      <c r="Y168" s="26"/>
    </row>
    <row r="169" spans="8:25" x14ac:dyDescent="0.2">
      <c r="H169" s="26"/>
      <c r="I169" s="26"/>
      <c r="J169" s="26"/>
      <c r="X169" s="26"/>
      <c r="Y169" s="26"/>
    </row>
    <row r="170" spans="8:25" x14ac:dyDescent="0.2">
      <c r="H170" s="26"/>
      <c r="I170" s="26"/>
      <c r="J170" s="26"/>
      <c r="X170" s="26"/>
      <c r="Y170" s="26"/>
    </row>
    <row r="171" spans="8:25" x14ac:dyDescent="0.2">
      <c r="H171" s="26"/>
      <c r="I171" s="26"/>
      <c r="J171" s="26"/>
      <c r="X171" s="26"/>
      <c r="Y171" s="26"/>
    </row>
    <row r="172" spans="8:25" x14ac:dyDescent="0.2">
      <c r="H172" s="26"/>
      <c r="I172" s="26"/>
      <c r="J172" s="26"/>
      <c r="X172" s="26"/>
      <c r="Y172" s="26"/>
    </row>
    <row r="173" spans="8:25" x14ac:dyDescent="0.2">
      <c r="H173" s="26"/>
      <c r="I173" s="26"/>
      <c r="J173" s="26"/>
      <c r="X173" s="26"/>
      <c r="Y173" s="26"/>
    </row>
    <row r="174" spans="8:25" x14ac:dyDescent="0.2">
      <c r="H174" s="26"/>
      <c r="I174" s="26"/>
      <c r="J174" s="26"/>
      <c r="X174" s="26"/>
      <c r="Y174" s="26"/>
    </row>
    <row r="175" spans="8:25" x14ac:dyDescent="0.2">
      <c r="H175" s="26"/>
      <c r="I175" s="26"/>
      <c r="J175" s="26"/>
      <c r="X175" s="26"/>
      <c r="Y175" s="26"/>
    </row>
    <row r="176" spans="8:25" x14ac:dyDescent="0.2">
      <c r="H176" s="26"/>
      <c r="I176" s="26"/>
      <c r="J176" s="26"/>
      <c r="X176" s="26"/>
      <c r="Y176" s="26"/>
    </row>
    <row r="177" spans="8:25" x14ac:dyDescent="0.2">
      <c r="H177" s="26"/>
      <c r="I177" s="26"/>
      <c r="J177" s="26"/>
      <c r="X177" s="26"/>
      <c r="Y177" s="26"/>
    </row>
    <row r="178" spans="8:25" x14ac:dyDescent="0.2">
      <c r="H178" s="26"/>
      <c r="I178" s="26"/>
      <c r="J178" s="26"/>
      <c r="X178" s="26"/>
      <c r="Y178" s="26"/>
    </row>
    <row r="179" spans="8:25" x14ac:dyDescent="0.2">
      <c r="H179" s="26"/>
      <c r="I179" s="26"/>
      <c r="J179" s="26"/>
      <c r="X179" s="26"/>
      <c r="Y179" s="26"/>
    </row>
    <row r="180" spans="8:25" x14ac:dyDescent="0.2">
      <c r="H180" s="26"/>
      <c r="I180" s="26"/>
      <c r="J180" s="26"/>
      <c r="X180" s="26"/>
      <c r="Y180" s="26"/>
    </row>
    <row r="181" spans="8:25" x14ac:dyDescent="0.2">
      <c r="H181" s="26"/>
      <c r="I181" s="26"/>
      <c r="J181" s="26"/>
      <c r="X181" s="26"/>
      <c r="Y181" s="26"/>
    </row>
    <row r="182" spans="8:25" x14ac:dyDescent="0.2">
      <c r="H182" s="26"/>
      <c r="I182" s="26"/>
      <c r="J182" s="26"/>
      <c r="X182" s="26"/>
      <c r="Y182" s="26"/>
    </row>
    <row r="183" spans="8:25" x14ac:dyDescent="0.2">
      <c r="H183" s="26"/>
      <c r="I183" s="26"/>
      <c r="J183" s="26"/>
      <c r="X183" s="26"/>
      <c r="Y183" s="26"/>
    </row>
    <row r="184" spans="8:25" x14ac:dyDescent="0.2">
      <c r="H184" s="26"/>
      <c r="I184" s="26"/>
      <c r="J184" s="26"/>
      <c r="X184" s="26"/>
      <c r="Y184" s="26"/>
    </row>
    <row r="185" spans="8:25" x14ac:dyDescent="0.2">
      <c r="H185" s="26"/>
      <c r="I185" s="26"/>
      <c r="J185" s="26"/>
      <c r="X185" s="26"/>
      <c r="Y185" s="26"/>
    </row>
    <row r="186" spans="8:25" x14ac:dyDescent="0.2">
      <c r="H186" s="26"/>
      <c r="I186" s="26"/>
      <c r="J186" s="26"/>
      <c r="X186" s="26"/>
      <c r="Y186" s="26"/>
    </row>
    <row r="187" spans="8:25" x14ac:dyDescent="0.2">
      <c r="H187" s="26"/>
      <c r="I187" s="26"/>
      <c r="J187" s="26"/>
      <c r="X187" s="26"/>
      <c r="Y187" s="26"/>
    </row>
    <row r="188" spans="8:25" x14ac:dyDescent="0.2">
      <c r="H188" s="26"/>
      <c r="I188" s="26"/>
      <c r="J188" s="26"/>
      <c r="X188" s="26"/>
      <c r="Y188" s="26"/>
    </row>
    <row r="189" spans="8:25" x14ac:dyDescent="0.2">
      <c r="H189" s="26"/>
      <c r="I189" s="26"/>
      <c r="J189" s="26"/>
      <c r="X189" s="26"/>
      <c r="Y189" s="26"/>
    </row>
    <row r="190" spans="8:25" x14ac:dyDescent="0.2">
      <c r="H190" s="26"/>
      <c r="I190" s="26"/>
      <c r="J190" s="26"/>
      <c r="X190" s="26"/>
      <c r="Y190" s="26"/>
    </row>
    <row r="191" spans="8:25" x14ac:dyDescent="0.2">
      <c r="H191" s="26"/>
      <c r="I191" s="26"/>
      <c r="J191" s="26"/>
      <c r="X191" s="26"/>
      <c r="Y191" s="26"/>
    </row>
    <row r="192" spans="8:25" x14ac:dyDescent="0.2">
      <c r="H192" s="26"/>
      <c r="I192" s="26"/>
      <c r="J192" s="26"/>
      <c r="X192" s="26"/>
      <c r="Y192" s="26"/>
    </row>
    <row r="193" spans="8:25" x14ac:dyDescent="0.2">
      <c r="H193" s="26"/>
      <c r="I193" s="26"/>
      <c r="J193" s="26"/>
      <c r="X193" s="26"/>
      <c r="Y193" s="26"/>
    </row>
    <row r="194" spans="8:25" x14ac:dyDescent="0.2">
      <c r="H194" s="26"/>
      <c r="I194" s="26"/>
      <c r="J194" s="26"/>
      <c r="X194" s="26"/>
      <c r="Y194" s="26"/>
    </row>
    <row r="195" spans="8:25" x14ac:dyDescent="0.2">
      <c r="H195" s="26"/>
      <c r="I195" s="26"/>
      <c r="J195" s="26"/>
      <c r="X195" s="26"/>
      <c r="Y195" s="26"/>
    </row>
    <row r="196" spans="8:25" x14ac:dyDescent="0.2">
      <c r="H196" s="26"/>
      <c r="I196" s="26"/>
      <c r="J196" s="26"/>
      <c r="X196" s="26"/>
      <c r="Y196" s="26"/>
    </row>
    <row r="197" spans="8:25" x14ac:dyDescent="0.2">
      <c r="H197" s="26"/>
      <c r="I197" s="26"/>
      <c r="J197" s="26"/>
      <c r="X197" s="26"/>
      <c r="Y197" s="26"/>
    </row>
    <row r="198" spans="8:25" x14ac:dyDescent="0.2">
      <c r="H198" s="26"/>
      <c r="I198" s="26"/>
      <c r="J198" s="26"/>
      <c r="X198" s="26"/>
      <c r="Y198" s="26"/>
    </row>
    <row r="199" spans="8:25" x14ac:dyDescent="0.2">
      <c r="H199" s="26"/>
      <c r="I199" s="26"/>
      <c r="J199" s="26"/>
      <c r="X199" s="26"/>
      <c r="Y199" s="26"/>
    </row>
    <row r="200" spans="8:25" x14ac:dyDescent="0.2">
      <c r="H200" s="26"/>
      <c r="I200" s="26"/>
      <c r="J200" s="26"/>
      <c r="X200" s="26"/>
      <c r="Y200" s="26"/>
    </row>
    <row r="201" spans="8:25" x14ac:dyDescent="0.2">
      <c r="H201" s="26"/>
      <c r="I201" s="26"/>
      <c r="J201" s="26"/>
      <c r="X201" s="26"/>
      <c r="Y201" s="26"/>
    </row>
    <row r="202" spans="8:25" x14ac:dyDescent="0.2">
      <c r="H202" s="26"/>
      <c r="I202" s="26"/>
      <c r="J202" s="26"/>
      <c r="X202" s="26"/>
      <c r="Y202" s="26"/>
    </row>
    <row r="203" spans="8:25" x14ac:dyDescent="0.2">
      <c r="H203" s="26"/>
      <c r="I203" s="26"/>
      <c r="J203" s="26"/>
      <c r="X203" s="26"/>
      <c r="Y203" s="26"/>
    </row>
    <row r="204" spans="8:25" x14ac:dyDescent="0.2">
      <c r="H204" s="26"/>
      <c r="I204" s="26"/>
      <c r="J204" s="26"/>
      <c r="X204" s="26"/>
      <c r="Y204" s="26"/>
    </row>
    <row r="205" spans="8:25" x14ac:dyDescent="0.2">
      <c r="H205" s="26"/>
      <c r="I205" s="26"/>
      <c r="J205" s="26"/>
      <c r="X205" s="26"/>
      <c r="Y205" s="26"/>
    </row>
    <row r="206" spans="8:25" x14ac:dyDescent="0.2">
      <c r="H206" s="26"/>
      <c r="I206" s="26"/>
      <c r="J206" s="26"/>
      <c r="X206" s="26"/>
      <c r="Y206" s="26"/>
    </row>
    <row r="207" spans="8:25" x14ac:dyDescent="0.2">
      <c r="H207" s="26"/>
      <c r="I207" s="26"/>
      <c r="J207" s="26"/>
      <c r="X207" s="26"/>
      <c r="Y207" s="26"/>
    </row>
    <row r="208" spans="8:25" x14ac:dyDescent="0.2">
      <c r="H208" s="26"/>
      <c r="I208" s="26"/>
      <c r="J208" s="26"/>
      <c r="X208" s="26"/>
      <c r="Y208" s="26"/>
    </row>
    <row r="209" spans="8:25" x14ac:dyDescent="0.2">
      <c r="H209" s="26"/>
      <c r="I209" s="26"/>
      <c r="J209" s="26"/>
      <c r="X209" s="26"/>
      <c r="Y209" s="26"/>
    </row>
    <row r="210" spans="8:25" x14ac:dyDescent="0.2">
      <c r="H210" s="26"/>
      <c r="I210" s="26"/>
      <c r="J210" s="26"/>
      <c r="X210" s="26"/>
      <c r="Y210" s="26"/>
    </row>
    <row r="211" spans="8:25" x14ac:dyDescent="0.2">
      <c r="H211" s="26"/>
      <c r="I211" s="26"/>
      <c r="J211" s="26"/>
      <c r="X211" s="26"/>
      <c r="Y211" s="26"/>
    </row>
    <row r="212" spans="8:25" x14ac:dyDescent="0.2">
      <c r="H212" s="26"/>
      <c r="I212" s="26"/>
      <c r="J212" s="26"/>
      <c r="X212" s="26"/>
      <c r="Y212" s="26"/>
    </row>
    <row r="213" spans="8:25" x14ac:dyDescent="0.2">
      <c r="H213" s="26"/>
      <c r="I213" s="26"/>
      <c r="J213" s="26"/>
      <c r="X213" s="26"/>
      <c r="Y213" s="26"/>
    </row>
    <row r="214" spans="8:25" x14ac:dyDescent="0.2">
      <c r="H214" s="26"/>
      <c r="I214" s="26"/>
      <c r="J214" s="26"/>
      <c r="X214" s="26"/>
      <c r="Y214" s="26"/>
    </row>
    <row r="215" spans="8:25" x14ac:dyDescent="0.2">
      <c r="H215" s="26"/>
      <c r="I215" s="26"/>
      <c r="J215" s="26"/>
      <c r="X215" s="26"/>
      <c r="Y215" s="26"/>
    </row>
    <row r="216" spans="8:25" x14ac:dyDescent="0.2">
      <c r="H216" s="26"/>
      <c r="I216" s="26"/>
      <c r="J216" s="26"/>
      <c r="X216" s="26"/>
      <c r="Y216" s="26"/>
    </row>
    <row r="217" spans="8:25" x14ac:dyDescent="0.2">
      <c r="H217" s="26"/>
      <c r="I217" s="26"/>
      <c r="J217" s="26"/>
      <c r="X217" s="26"/>
      <c r="Y217" s="26"/>
    </row>
    <row r="218" spans="8:25" x14ac:dyDescent="0.2">
      <c r="H218" s="26"/>
      <c r="I218" s="26"/>
      <c r="J218" s="26"/>
      <c r="X218" s="26"/>
      <c r="Y218" s="26"/>
    </row>
    <row r="219" spans="8:25" x14ac:dyDescent="0.2">
      <c r="H219" s="26"/>
      <c r="I219" s="26"/>
      <c r="J219" s="26"/>
      <c r="X219" s="26"/>
      <c r="Y219" s="26"/>
    </row>
    <row r="220" spans="8:25" x14ac:dyDescent="0.2">
      <c r="H220" s="26"/>
      <c r="I220" s="26"/>
      <c r="J220" s="26"/>
      <c r="X220" s="26"/>
      <c r="Y220" s="26"/>
    </row>
    <row r="221" spans="8:25" x14ac:dyDescent="0.2">
      <c r="H221" s="26"/>
      <c r="I221" s="26"/>
      <c r="J221" s="26"/>
      <c r="X221" s="26"/>
      <c r="Y221" s="26"/>
    </row>
    <row r="222" spans="8:25" x14ac:dyDescent="0.2">
      <c r="H222" s="26"/>
      <c r="I222" s="26"/>
      <c r="J222" s="26"/>
      <c r="X222" s="26"/>
      <c r="Y222" s="26"/>
    </row>
    <row r="223" spans="8:25" x14ac:dyDescent="0.2">
      <c r="H223" s="26"/>
      <c r="I223" s="26"/>
      <c r="J223" s="26"/>
      <c r="X223" s="26"/>
      <c r="Y223" s="26"/>
    </row>
    <row r="224" spans="8:25" x14ac:dyDescent="0.2">
      <c r="H224" s="26"/>
      <c r="I224" s="26"/>
      <c r="J224" s="26"/>
      <c r="X224" s="26"/>
      <c r="Y224" s="26"/>
    </row>
    <row r="225" spans="8:25" x14ac:dyDescent="0.2">
      <c r="H225" s="26"/>
      <c r="I225" s="26"/>
      <c r="J225" s="26"/>
      <c r="X225" s="26"/>
      <c r="Y225" s="26"/>
    </row>
    <row r="226" spans="8:25" x14ac:dyDescent="0.2">
      <c r="H226" s="26"/>
      <c r="I226" s="26"/>
      <c r="J226" s="26"/>
      <c r="X226" s="26"/>
      <c r="Y226" s="26"/>
    </row>
    <row r="227" spans="8:25" x14ac:dyDescent="0.2">
      <c r="H227" s="26"/>
      <c r="I227" s="26"/>
      <c r="J227" s="26"/>
      <c r="X227" s="26"/>
      <c r="Y227" s="26"/>
    </row>
    <row r="228" spans="8:25" x14ac:dyDescent="0.2">
      <c r="H228" s="26"/>
      <c r="I228" s="26"/>
      <c r="J228" s="26"/>
      <c r="X228" s="26"/>
      <c r="Y228" s="26"/>
    </row>
    <row r="229" spans="8:25" x14ac:dyDescent="0.2">
      <c r="H229" s="26"/>
      <c r="I229" s="26"/>
      <c r="J229" s="26"/>
      <c r="X229" s="26"/>
      <c r="Y229" s="26"/>
    </row>
    <row r="230" spans="8:25" x14ac:dyDescent="0.2">
      <c r="H230" s="26"/>
      <c r="I230" s="26"/>
      <c r="J230" s="26"/>
      <c r="X230" s="26"/>
      <c r="Y230" s="26"/>
    </row>
    <row r="231" spans="8:25" x14ac:dyDescent="0.2">
      <c r="H231" s="26"/>
      <c r="I231" s="26"/>
      <c r="J231" s="26"/>
      <c r="X231" s="26"/>
      <c r="Y231" s="26"/>
    </row>
    <row r="232" spans="8:25" x14ac:dyDescent="0.2">
      <c r="H232" s="26"/>
      <c r="I232" s="26"/>
      <c r="J232" s="26"/>
      <c r="X232" s="26"/>
      <c r="Y232" s="26"/>
    </row>
    <row r="233" spans="8:25" x14ac:dyDescent="0.2">
      <c r="H233" s="26"/>
      <c r="I233" s="26"/>
      <c r="J233" s="26"/>
      <c r="X233" s="26"/>
      <c r="Y233" s="26"/>
    </row>
    <row r="234" spans="8:25" x14ac:dyDescent="0.2">
      <c r="H234" s="26"/>
      <c r="I234" s="26"/>
      <c r="J234" s="26"/>
      <c r="X234" s="26"/>
      <c r="Y234" s="26"/>
    </row>
    <row r="235" spans="8:25" x14ac:dyDescent="0.2">
      <c r="H235" s="26"/>
      <c r="I235" s="26"/>
      <c r="J235" s="26"/>
      <c r="X235" s="26"/>
      <c r="Y235" s="26"/>
    </row>
    <row r="236" spans="8:25" x14ac:dyDescent="0.2">
      <c r="H236" s="26"/>
      <c r="I236" s="26"/>
      <c r="J236" s="26"/>
      <c r="X236" s="26"/>
      <c r="Y236" s="26"/>
    </row>
    <row r="237" spans="8:25" x14ac:dyDescent="0.2">
      <c r="H237" s="26"/>
      <c r="I237" s="26"/>
      <c r="J237" s="26"/>
      <c r="X237" s="26"/>
      <c r="Y237" s="26"/>
    </row>
    <row r="238" spans="8:25" x14ac:dyDescent="0.2">
      <c r="H238" s="26"/>
      <c r="I238" s="26"/>
      <c r="J238" s="26"/>
      <c r="X238" s="26"/>
      <c r="Y238" s="26"/>
    </row>
    <row r="239" spans="8:25" x14ac:dyDescent="0.2">
      <c r="H239" s="26"/>
      <c r="I239" s="26"/>
      <c r="J239" s="26"/>
      <c r="X239" s="26"/>
      <c r="Y239" s="26"/>
    </row>
    <row r="240" spans="8:25" x14ac:dyDescent="0.2">
      <c r="H240" s="26"/>
      <c r="I240" s="26"/>
      <c r="J240" s="26"/>
      <c r="X240" s="26"/>
      <c r="Y240" s="26"/>
    </row>
    <row r="241" spans="8:25" x14ac:dyDescent="0.2">
      <c r="H241" s="26"/>
      <c r="I241" s="26"/>
      <c r="J241" s="26"/>
      <c r="X241" s="26"/>
      <c r="Y241" s="26"/>
    </row>
    <row r="242" spans="8:25" x14ac:dyDescent="0.2">
      <c r="H242" s="26"/>
      <c r="I242" s="26"/>
      <c r="J242" s="26"/>
      <c r="X242" s="26"/>
      <c r="Y242" s="26"/>
    </row>
    <row r="243" spans="8:25" x14ac:dyDescent="0.2">
      <c r="H243" s="26"/>
      <c r="I243" s="26"/>
      <c r="J243" s="26"/>
      <c r="X243" s="26"/>
      <c r="Y243" s="26"/>
    </row>
    <row r="244" spans="8:25" x14ac:dyDescent="0.2">
      <c r="H244" s="26"/>
      <c r="I244" s="26"/>
      <c r="J244" s="26"/>
      <c r="X244" s="26"/>
      <c r="Y244" s="26"/>
    </row>
    <row r="245" spans="8:25" x14ac:dyDescent="0.2">
      <c r="H245" s="26"/>
      <c r="I245" s="26"/>
      <c r="J245" s="26"/>
      <c r="X245" s="26"/>
      <c r="Y245" s="26"/>
    </row>
    <row r="246" spans="8:25" x14ac:dyDescent="0.2">
      <c r="H246" s="26"/>
      <c r="I246" s="26"/>
      <c r="J246" s="26"/>
      <c r="X246" s="26"/>
      <c r="Y246" s="26"/>
    </row>
    <row r="247" spans="8:25" x14ac:dyDescent="0.2">
      <c r="H247" s="26"/>
      <c r="I247" s="26"/>
      <c r="J247" s="26"/>
      <c r="X247" s="26"/>
      <c r="Y247" s="26"/>
    </row>
    <row r="248" spans="8:25" x14ac:dyDescent="0.2">
      <c r="H248" s="26"/>
      <c r="I248" s="26"/>
      <c r="J248" s="26"/>
      <c r="X248" s="26"/>
      <c r="Y248" s="26"/>
    </row>
    <row r="249" spans="8:25" x14ac:dyDescent="0.2">
      <c r="H249" s="26"/>
      <c r="I249" s="26"/>
      <c r="J249" s="26"/>
      <c r="X249" s="26"/>
      <c r="Y249" s="26"/>
    </row>
    <row r="250" spans="8:25" x14ac:dyDescent="0.2">
      <c r="H250" s="26"/>
      <c r="I250" s="26"/>
      <c r="J250" s="26"/>
      <c r="X250" s="26"/>
      <c r="Y250" s="26"/>
    </row>
    <row r="251" spans="8:25" x14ac:dyDescent="0.2">
      <c r="H251" s="26"/>
      <c r="I251" s="26"/>
      <c r="J251" s="26"/>
      <c r="X251" s="26"/>
      <c r="Y251" s="26"/>
    </row>
    <row r="252" spans="8:25" x14ac:dyDescent="0.2">
      <c r="H252" s="26"/>
      <c r="I252" s="26"/>
      <c r="J252" s="26"/>
      <c r="X252" s="26"/>
      <c r="Y252" s="26"/>
    </row>
    <row r="253" spans="8:25" x14ac:dyDescent="0.2">
      <c r="H253" s="26"/>
      <c r="I253" s="26"/>
      <c r="J253" s="26"/>
      <c r="X253" s="26"/>
      <c r="Y253" s="26"/>
    </row>
    <row r="254" spans="8:25" x14ac:dyDescent="0.2">
      <c r="H254" s="26"/>
      <c r="I254" s="26"/>
      <c r="J254" s="26"/>
      <c r="X254" s="26"/>
      <c r="Y254" s="26"/>
    </row>
    <row r="255" spans="8:25" x14ac:dyDescent="0.2">
      <c r="H255" s="26"/>
      <c r="I255" s="26"/>
      <c r="J255" s="26"/>
      <c r="X255" s="26"/>
      <c r="Y255" s="26"/>
    </row>
    <row r="256" spans="8:25" x14ac:dyDescent="0.2">
      <c r="H256" s="26"/>
      <c r="I256" s="26"/>
      <c r="J256" s="26"/>
      <c r="X256" s="26"/>
      <c r="Y256" s="26"/>
    </row>
    <row r="257" spans="8:25" x14ac:dyDescent="0.2">
      <c r="H257" s="26"/>
      <c r="I257" s="26"/>
      <c r="J257" s="26"/>
      <c r="X257" s="26"/>
      <c r="Y257" s="26"/>
    </row>
    <row r="258" spans="8:25" x14ac:dyDescent="0.2">
      <c r="H258" s="26"/>
      <c r="I258" s="26"/>
      <c r="J258" s="26"/>
      <c r="X258" s="26"/>
      <c r="Y258" s="26"/>
    </row>
    <row r="259" spans="8:25" x14ac:dyDescent="0.2">
      <c r="H259" s="26"/>
      <c r="I259" s="26"/>
      <c r="J259" s="26"/>
      <c r="X259" s="26"/>
      <c r="Y259" s="26"/>
    </row>
    <row r="260" spans="8:25" x14ac:dyDescent="0.2">
      <c r="H260" s="26"/>
      <c r="I260" s="26"/>
      <c r="J260" s="26"/>
      <c r="X260" s="26"/>
      <c r="Y260" s="26"/>
    </row>
    <row r="261" spans="8:25" x14ac:dyDescent="0.2">
      <c r="H261" s="26"/>
      <c r="I261" s="26"/>
      <c r="J261" s="26"/>
      <c r="X261" s="26"/>
      <c r="Y261" s="26"/>
    </row>
    <row r="262" spans="8:25" x14ac:dyDescent="0.2">
      <c r="H262" s="26"/>
      <c r="I262" s="26"/>
      <c r="J262" s="26"/>
      <c r="X262" s="26"/>
      <c r="Y262" s="26"/>
    </row>
    <row r="263" spans="8:25" x14ac:dyDescent="0.2">
      <c r="H263" s="26"/>
      <c r="I263" s="26"/>
      <c r="J263" s="26"/>
      <c r="X263" s="26"/>
      <c r="Y263" s="26"/>
    </row>
    <row r="264" spans="8:25" x14ac:dyDescent="0.2">
      <c r="H264" s="26"/>
      <c r="I264" s="26"/>
      <c r="J264" s="26"/>
      <c r="X264" s="26"/>
      <c r="Y264" s="26"/>
    </row>
    <row r="265" spans="8:25" x14ac:dyDescent="0.2">
      <c r="H265" s="26"/>
      <c r="I265" s="26"/>
      <c r="J265" s="26"/>
      <c r="X265" s="26"/>
      <c r="Y265" s="26"/>
    </row>
    <row r="266" spans="8:25" x14ac:dyDescent="0.2">
      <c r="H266" s="26"/>
      <c r="I266" s="26"/>
      <c r="J266" s="26"/>
      <c r="X266" s="26"/>
      <c r="Y266" s="26"/>
    </row>
    <row r="267" spans="8:25" x14ac:dyDescent="0.2">
      <c r="H267" s="26"/>
      <c r="I267" s="26"/>
      <c r="J267" s="26"/>
      <c r="X267" s="26"/>
      <c r="Y267" s="26"/>
    </row>
    <row r="268" spans="8:25" x14ac:dyDescent="0.2">
      <c r="H268" s="26"/>
      <c r="I268" s="26"/>
      <c r="J268" s="26"/>
      <c r="X268" s="26"/>
      <c r="Y268" s="26"/>
    </row>
    <row r="269" spans="8:25" x14ac:dyDescent="0.2">
      <c r="H269" s="26"/>
      <c r="I269" s="26"/>
      <c r="J269" s="26"/>
      <c r="X269" s="26"/>
      <c r="Y269" s="26"/>
    </row>
    <row r="270" spans="8:25" x14ac:dyDescent="0.2">
      <c r="H270" s="26"/>
      <c r="I270" s="26"/>
      <c r="J270" s="26"/>
      <c r="X270" s="26"/>
      <c r="Y270" s="26"/>
    </row>
    <row r="271" spans="8:25" x14ac:dyDescent="0.2">
      <c r="H271" s="26"/>
      <c r="I271" s="26"/>
      <c r="J271" s="26"/>
      <c r="X271" s="26"/>
      <c r="Y271" s="26"/>
    </row>
    <row r="272" spans="8:25" x14ac:dyDescent="0.2">
      <c r="H272" s="26"/>
      <c r="I272" s="26"/>
      <c r="J272" s="26"/>
      <c r="X272" s="26"/>
      <c r="Y272" s="26"/>
    </row>
    <row r="273" spans="8:25" x14ac:dyDescent="0.2">
      <c r="H273" s="26"/>
      <c r="I273" s="26"/>
      <c r="J273" s="26"/>
      <c r="X273" s="26"/>
      <c r="Y273" s="26"/>
    </row>
    <row r="274" spans="8:25" x14ac:dyDescent="0.2">
      <c r="H274" s="26"/>
      <c r="I274" s="26"/>
      <c r="J274" s="26"/>
      <c r="X274" s="26"/>
      <c r="Y274" s="26"/>
    </row>
    <row r="275" spans="8:25" x14ac:dyDescent="0.2">
      <c r="H275" s="26"/>
      <c r="I275" s="26"/>
      <c r="J275" s="26"/>
      <c r="X275" s="26"/>
      <c r="Y275" s="26"/>
    </row>
    <row r="276" spans="8:25" x14ac:dyDescent="0.2">
      <c r="H276" s="26"/>
      <c r="I276" s="26"/>
      <c r="J276" s="26"/>
      <c r="X276" s="26"/>
      <c r="Y276" s="26"/>
    </row>
    <row r="277" spans="8:25" x14ac:dyDescent="0.2">
      <c r="H277" s="26"/>
      <c r="I277" s="26"/>
      <c r="J277" s="26"/>
      <c r="X277" s="26"/>
      <c r="Y277" s="26"/>
    </row>
    <row r="278" spans="8:25" x14ac:dyDescent="0.2">
      <c r="H278" s="26"/>
      <c r="I278" s="26"/>
      <c r="J278" s="26"/>
      <c r="X278" s="26"/>
      <c r="Y278" s="26"/>
    </row>
    <row r="279" spans="8:25" x14ac:dyDescent="0.2">
      <c r="H279" s="26"/>
      <c r="I279" s="26"/>
      <c r="J279" s="26"/>
      <c r="X279" s="26"/>
      <c r="Y279" s="26"/>
    </row>
    <row r="280" spans="8:25" x14ac:dyDescent="0.2">
      <c r="H280" s="26"/>
      <c r="I280" s="26"/>
      <c r="J280" s="26"/>
      <c r="X280" s="26"/>
      <c r="Y280" s="26"/>
    </row>
    <row r="281" spans="8:25" x14ac:dyDescent="0.2">
      <c r="H281" s="26"/>
      <c r="I281" s="26"/>
      <c r="J281" s="26"/>
      <c r="X281" s="26"/>
      <c r="Y281" s="26"/>
    </row>
    <row r="282" spans="8:25" x14ac:dyDescent="0.2">
      <c r="H282" s="26"/>
      <c r="I282" s="26"/>
      <c r="J282" s="26"/>
      <c r="X282" s="26"/>
      <c r="Y282" s="26"/>
    </row>
    <row r="283" spans="8:25" x14ac:dyDescent="0.2">
      <c r="H283" s="26"/>
      <c r="I283" s="26"/>
      <c r="J283" s="26"/>
      <c r="X283" s="26"/>
      <c r="Y283" s="26"/>
    </row>
    <row r="284" spans="8:25" x14ac:dyDescent="0.2">
      <c r="H284" s="26"/>
      <c r="I284" s="26"/>
      <c r="J284" s="26"/>
      <c r="X284" s="26"/>
      <c r="Y284" s="26"/>
    </row>
    <row r="285" spans="8:25" x14ac:dyDescent="0.2">
      <c r="H285" s="26"/>
      <c r="I285" s="26"/>
      <c r="J285" s="26"/>
      <c r="X285" s="26"/>
      <c r="Y285" s="26"/>
    </row>
    <row r="286" spans="8:25" x14ac:dyDescent="0.2">
      <c r="H286" s="26"/>
      <c r="I286" s="26"/>
      <c r="J286" s="26"/>
      <c r="X286" s="26"/>
      <c r="Y286" s="26"/>
    </row>
    <row r="287" spans="8:25" x14ac:dyDescent="0.2">
      <c r="H287" s="26"/>
      <c r="I287" s="26"/>
      <c r="J287" s="26"/>
      <c r="X287" s="26"/>
      <c r="Y287" s="26"/>
    </row>
    <row r="288" spans="8:25" x14ac:dyDescent="0.2">
      <c r="H288" s="26"/>
      <c r="I288" s="26"/>
      <c r="J288" s="26"/>
      <c r="X288" s="26"/>
      <c r="Y288" s="26"/>
    </row>
    <row r="289" spans="8:25" x14ac:dyDescent="0.2">
      <c r="H289" s="26"/>
      <c r="I289" s="26"/>
      <c r="J289" s="26"/>
      <c r="X289" s="26"/>
      <c r="Y289" s="26"/>
    </row>
    <row r="290" spans="8:25" x14ac:dyDescent="0.2">
      <c r="H290" s="26"/>
      <c r="I290" s="26"/>
      <c r="J290" s="26"/>
      <c r="X290" s="26"/>
      <c r="Y290" s="26"/>
    </row>
    <row r="291" spans="8:25" x14ac:dyDescent="0.2">
      <c r="H291" s="26"/>
      <c r="I291" s="26"/>
      <c r="J291" s="26"/>
      <c r="X291" s="26"/>
      <c r="Y291" s="26"/>
    </row>
    <row r="292" spans="8:25" x14ac:dyDescent="0.2">
      <c r="H292" s="26"/>
      <c r="I292" s="26"/>
      <c r="J292" s="26"/>
      <c r="X292" s="26"/>
      <c r="Y292" s="26"/>
    </row>
    <row r="293" spans="8:25" x14ac:dyDescent="0.2">
      <c r="H293" s="26"/>
      <c r="I293" s="26"/>
      <c r="J293" s="26"/>
      <c r="X293" s="26"/>
      <c r="Y293" s="26"/>
    </row>
    <row r="294" spans="8:25" x14ac:dyDescent="0.2">
      <c r="H294" s="26"/>
      <c r="I294" s="26"/>
      <c r="J294" s="26"/>
      <c r="X294" s="26"/>
      <c r="Y294" s="26"/>
    </row>
    <row r="295" spans="8:25" x14ac:dyDescent="0.2">
      <c r="H295" s="26"/>
      <c r="I295" s="26"/>
      <c r="J295" s="26"/>
      <c r="X295" s="26"/>
      <c r="Y295" s="26"/>
    </row>
    <row r="296" spans="8:25" x14ac:dyDescent="0.2">
      <c r="H296" s="26"/>
      <c r="I296" s="26"/>
      <c r="J296" s="26"/>
      <c r="X296" s="26"/>
      <c r="Y296" s="26"/>
    </row>
    <row r="297" spans="8:25" x14ac:dyDescent="0.2">
      <c r="H297" s="26"/>
      <c r="I297" s="26"/>
      <c r="J297" s="26"/>
      <c r="X297" s="26"/>
      <c r="Y297" s="26"/>
    </row>
    <row r="298" spans="8:25" x14ac:dyDescent="0.2">
      <c r="H298" s="26"/>
      <c r="I298" s="26"/>
      <c r="J298" s="26"/>
      <c r="X298" s="26"/>
      <c r="Y298" s="26"/>
    </row>
    <row r="299" spans="8:25" x14ac:dyDescent="0.2">
      <c r="H299" s="26"/>
      <c r="I299" s="26"/>
      <c r="J299" s="26"/>
      <c r="X299" s="26"/>
      <c r="Y299" s="26"/>
    </row>
    <row r="300" spans="8:25" x14ac:dyDescent="0.2">
      <c r="H300" s="26"/>
      <c r="I300" s="26"/>
      <c r="J300" s="26"/>
      <c r="X300" s="26"/>
      <c r="Y300" s="26"/>
    </row>
    <row r="301" spans="8:25" x14ac:dyDescent="0.2">
      <c r="H301" s="26"/>
      <c r="I301" s="26"/>
      <c r="J301" s="26"/>
      <c r="X301" s="26"/>
      <c r="Y301" s="26"/>
    </row>
    <row r="302" spans="8:25" x14ac:dyDescent="0.2">
      <c r="H302" s="26"/>
      <c r="I302" s="26"/>
      <c r="J302" s="26"/>
      <c r="X302" s="26"/>
      <c r="Y302" s="26"/>
    </row>
    <row r="303" spans="8:25" x14ac:dyDescent="0.2">
      <c r="H303" s="26"/>
      <c r="I303" s="26"/>
      <c r="J303" s="26"/>
      <c r="X303" s="26"/>
      <c r="Y303" s="26"/>
    </row>
    <row r="304" spans="8:25" x14ac:dyDescent="0.2">
      <c r="H304" s="26"/>
      <c r="I304" s="26"/>
      <c r="J304" s="26"/>
      <c r="X304" s="26"/>
      <c r="Y304" s="26"/>
    </row>
    <row r="305" spans="8:25" x14ac:dyDescent="0.2">
      <c r="H305" s="26"/>
      <c r="I305" s="26"/>
      <c r="J305" s="26"/>
      <c r="X305" s="26"/>
      <c r="Y305" s="26"/>
    </row>
    <row r="306" spans="8:25" x14ac:dyDescent="0.2">
      <c r="H306" s="26"/>
      <c r="I306" s="26"/>
      <c r="J306" s="26"/>
      <c r="X306" s="26"/>
      <c r="Y306" s="26"/>
    </row>
    <row r="307" spans="8:25" x14ac:dyDescent="0.2">
      <c r="H307" s="26"/>
      <c r="I307" s="26"/>
      <c r="J307" s="26"/>
      <c r="X307" s="26"/>
      <c r="Y307" s="26"/>
    </row>
    <row r="308" spans="8:25" x14ac:dyDescent="0.2">
      <c r="H308" s="26"/>
      <c r="I308" s="26"/>
      <c r="J308" s="26"/>
      <c r="X308" s="26"/>
      <c r="Y308" s="26"/>
    </row>
    <row r="309" spans="8:25" x14ac:dyDescent="0.2">
      <c r="H309" s="26"/>
      <c r="I309" s="26"/>
      <c r="J309" s="26"/>
      <c r="X309" s="26"/>
      <c r="Y309" s="26"/>
    </row>
    <row r="310" spans="8:25" x14ac:dyDescent="0.2">
      <c r="H310" s="26"/>
      <c r="I310" s="26"/>
      <c r="J310" s="26"/>
      <c r="X310" s="26"/>
      <c r="Y310" s="26"/>
    </row>
    <row r="311" spans="8:25" x14ac:dyDescent="0.2">
      <c r="H311" s="26"/>
      <c r="I311" s="26"/>
      <c r="J311" s="26"/>
      <c r="X311" s="26"/>
      <c r="Y311" s="26"/>
    </row>
    <row r="312" spans="8:25" x14ac:dyDescent="0.2">
      <c r="H312" s="26"/>
      <c r="I312" s="26"/>
      <c r="J312" s="26"/>
      <c r="X312" s="26"/>
      <c r="Y312" s="26"/>
    </row>
    <row r="313" spans="8:25" x14ac:dyDescent="0.2">
      <c r="H313" s="26"/>
      <c r="I313" s="26"/>
      <c r="J313" s="26"/>
      <c r="X313" s="26"/>
      <c r="Y313" s="26"/>
    </row>
    <row r="314" spans="8:25" x14ac:dyDescent="0.2">
      <c r="H314" s="26"/>
      <c r="I314" s="26"/>
      <c r="J314" s="26"/>
      <c r="X314" s="26"/>
      <c r="Y314" s="26"/>
    </row>
    <row r="315" spans="8:25" x14ac:dyDescent="0.2">
      <c r="H315" s="26"/>
      <c r="I315" s="26"/>
      <c r="J315" s="26"/>
      <c r="X315" s="26"/>
      <c r="Y315" s="26"/>
    </row>
    <row r="316" spans="8:25" x14ac:dyDescent="0.2">
      <c r="H316" s="26"/>
      <c r="I316" s="26"/>
      <c r="J316" s="26"/>
      <c r="X316" s="26"/>
      <c r="Y316" s="26"/>
    </row>
    <row r="317" spans="8:25" x14ac:dyDescent="0.2">
      <c r="H317" s="26"/>
      <c r="I317" s="26"/>
      <c r="J317" s="26"/>
      <c r="X317" s="26"/>
      <c r="Y317" s="26"/>
    </row>
    <row r="318" spans="8:25" x14ac:dyDescent="0.2">
      <c r="H318" s="26"/>
      <c r="I318" s="26"/>
      <c r="J318" s="26"/>
      <c r="X318" s="26"/>
      <c r="Y318" s="26"/>
    </row>
    <row r="319" spans="8:25" x14ac:dyDescent="0.2">
      <c r="H319" s="26"/>
      <c r="I319" s="26"/>
      <c r="J319" s="26"/>
      <c r="X319" s="26"/>
      <c r="Y319" s="26"/>
    </row>
    <row r="320" spans="8:25" x14ac:dyDescent="0.2">
      <c r="H320" s="26"/>
      <c r="I320" s="26"/>
      <c r="J320" s="26"/>
      <c r="X320" s="26"/>
      <c r="Y320" s="26"/>
    </row>
    <row r="321" spans="8:25" x14ac:dyDescent="0.2">
      <c r="H321" s="26"/>
      <c r="I321" s="26"/>
      <c r="J321" s="26"/>
      <c r="X321" s="26"/>
      <c r="Y321" s="26"/>
    </row>
    <row r="322" spans="8:25" x14ac:dyDescent="0.2">
      <c r="H322" s="26"/>
      <c r="I322" s="26"/>
      <c r="J322" s="26"/>
      <c r="X322" s="26"/>
      <c r="Y322" s="26"/>
    </row>
    <row r="323" spans="8:25" x14ac:dyDescent="0.2">
      <c r="H323" s="26"/>
      <c r="I323" s="26"/>
      <c r="J323" s="26"/>
      <c r="X323" s="26"/>
      <c r="Y323" s="26"/>
    </row>
    <row r="324" spans="8:25" x14ac:dyDescent="0.2">
      <c r="H324" s="26"/>
      <c r="I324" s="26"/>
      <c r="J324" s="26"/>
      <c r="X324" s="26"/>
      <c r="Y324" s="26"/>
    </row>
    <row r="325" spans="8:25" x14ac:dyDescent="0.2">
      <c r="H325" s="26"/>
      <c r="I325" s="26"/>
      <c r="J325" s="26"/>
      <c r="X325" s="26"/>
      <c r="Y325" s="26"/>
    </row>
    <row r="326" spans="8:25" x14ac:dyDescent="0.2">
      <c r="H326" s="26"/>
      <c r="I326" s="26"/>
      <c r="J326" s="26"/>
      <c r="X326" s="26"/>
      <c r="Y326" s="26"/>
    </row>
    <row r="327" spans="8:25" x14ac:dyDescent="0.2">
      <c r="H327" s="26"/>
      <c r="I327" s="26"/>
      <c r="J327" s="26"/>
      <c r="X327" s="26"/>
      <c r="Y327" s="26"/>
    </row>
    <row r="328" spans="8:25" x14ac:dyDescent="0.2">
      <c r="H328" s="26"/>
      <c r="I328" s="26"/>
      <c r="J328" s="26"/>
      <c r="X328" s="26"/>
      <c r="Y328" s="26"/>
    </row>
    <row r="329" spans="8:25" x14ac:dyDescent="0.2">
      <c r="H329" s="26"/>
      <c r="I329" s="26"/>
      <c r="J329" s="26"/>
      <c r="X329" s="26"/>
      <c r="Y329" s="26"/>
    </row>
    <row r="330" spans="8:25" x14ac:dyDescent="0.2">
      <c r="H330" s="26"/>
      <c r="I330" s="26"/>
      <c r="J330" s="26"/>
      <c r="X330" s="26"/>
      <c r="Y330" s="26"/>
    </row>
    <row r="331" spans="8:25" x14ac:dyDescent="0.2">
      <c r="H331" s="26"/>
      <c r="I331" s="26"/>
      <c r="J331" s="26"/>
      <c r="X331" s="26"/>
      <c r="Y331" s="26"/>
    </row>
    <row r="332" spans="8:25" x14ac:dyDescent="0.2">
      <c r="H332" s="26"/>
      <c r="I332" s="26"/>
      <c r="J332" s="26"/>
      <c r="X332" s="26"/>
      <c r="Y332" s="26"/>
    </row>
    <row r="333" spans="8:25" x14ac:dyDescent="0.2">
      <c r="H333" s="26"/>
      <c r="I333" s="26"/>
      <c r="J333" s="26"/>
      <c r="X333" s="26"/>
      <c r="Y333" s="26"/>
    </row>
    <row r="334" spans="8:25" x14ac:dyDescent="0.2">
      <c r="H334" s="26"/>
      <c r="I334" s="26"/>
      <c r="J334" s="26"/>
      <c r="X334" s="26"/>
      <c r="Y334" s="26"/>
    </row>
    <row r="335" spans="8:25" x14ac:dyDescent="0.2">
      <c r="H335" s="26"/>
      <c r="I335" s="26"/>
      <c r="J335" s="26"/>
      <c r="X335" s="26"/>
      <c r="Y335" s="26"/>
    </row>
    <row r="336" spans="8:25" x14ac:dyDescent="0.2">
      <c r="H336" s="26"/>
      <c r="I336" s="26"/>
      <c r="J336" s="26"/>
      <c r="X336" s="26"/>
      <c r="Y336" s="26"/>
    </row>
    <row r="337" spans="8:25" x14ac:dyDescent="0.2">
      <c r="H337" s="26"/>
      <c r="I337" s="26"/>
      <c r="J337" s="26"/>
      <c r="X337" s="26"/>
      <c r="Y337" s="26"/>
    </row>
    <row r="338" spans="8:25" x14ac:dyDescent="0.2">
      <c r="H338" s="26"/>
      <c r="I338" s="26"/>
      <c r="J338" s="26"/>
      <c r="X338" s="26"/>
      <c r="Y338" s="26"/>
    </row>
    <row r="339" spans="8:25" x14ac:dyDescent="0.2">
      <c r="H339" s="26"/>
      <c r="I339" s="26"/>
      <c r="J339" s="26"/>
      <c r="X339" s="26"/>
      <c r="Y339" s="26"/>
    </row>
    <row r="340" spans="8:25" x14ac:dyDescent="0.2">
      <c r="H340" s="26"/>
      <c r="I340" s="26"/>
      <c r="J340" s="26"/>
      <c r="X340" s="26"/>
      <c r="Y340" s="26"/>
    </row>
    <row r="341" spans="8:25" x14ac:dyDescent="0.2">
      <c r="H341" s="26"/>
      <c r="I341" s="26"/>
      <c r="J341" s="26"/>
      <c r="X341" s="26"/>
      <c r="Y341" s="26"/>
    </row>
    <row r="342" spans="8:25" x14ac:dyDescent="0.2">
      <c r="H342" s="26"/>
      <c r="I342" s="26"/>
      <c r="J342" s="26"/>
      <c r="X342" s="26"/>
      <c r="Y342" s="26"/>
    </row>
    <row r="343" spans="8:25" x14ac:dyDescent="0.2">
      <c r="H343" s="26"/>
      <c r="I343" s="26"/>
      <c r="J343" s="26"/>
      <c r="X343" s="26"/>
      <c r="Y343" s="26"/>
    </row>
    <row r="344" spans="8:25" x14ac:dyDescent="0.2">
      <c r="H344" s="26"/>
      <c r="I344" s="26"/>
      <c r="J344" s="26"/>
      <c r="X344" s="26"/>
      <c r="Y344" s="26"/>
    </row>
    <row r="345" spans="8:25" x14ac:dyDescent="0.2">
      <c r="H345" s="26"/>
      <c r="I345" s="26"/>
      <c r="J345" s="26"/>
      <c r="X345" s="26"/>
      <c r="Y345" s="26"/>
    </row>
    <row r="346" spans="8:25" x14ac:dyDescent="0.2">
      <c r="H346" s="26"/>
      <c r="I346" s="26"/>
      <c r="J346" s="26"/>
      <c r="X346" s="26"/>
      <c r="Y346" s="26"/>
    </row>
    <row r="347" spans="8:25" x14ac:dyDescent="0.2">
      <c r="H347" s="26"/>
      <c r="I347" s="26"/>
      <c r="J347" s="26"/>
      <c r="X347" s="26"/>
      <c r="Y347" s="26"/>
    </row>
    <row r="348" spans="8:25" x14ac:dyDescent="0.2">
      <c r="H348" s="26"/>
      <c r="I348" s="26"/>
      <c r="J348" s="26"/>
      <c r="X348" s="26"/>
      <c r="Y348" s="26"/>
    </row>
    <row r="349" spans="8:25" x14ac:dyDescent="0.2">
      <c r="H349" s="26"/>
      <c r="I349" s="26"/>
      <c r="J349" s="26"/>
      <c r="X349" s="26"/>
      <c r="Y349" s="26"/>
    </row>
    <row r="350" spans="8:25" x14ac:dyDescent="0.2">
      <c r="H350" s="26"/>
      <c r="I350" s="26"/>
      <c r="J350" s="26"/>
      <c r="X350" s="26"/>
      <c r="Y350" s="26"/>
    </row>
    <row r="351" spans="8:25" x14ac:dyDescent="0.2">
      <c r="H351" s="26"/>
      <c r="I351" s="26"/>
      <c r="J351" s="26"/>
      <c r="X351" s="26"/>
      <c r="Y351" s="26"/>
    </row>
    <row r="352" spans="8:25" x14ac:dyDescent="0.2">
      <c r="H352" s="26"/>
      <c r="I352" s="26"/>
      <c r="J352" s="26"/>
      <c r="X352" s="26"/>
      <c r="Y352" s="26"/>
    </row>
    <row r="353" spans="8:25" x14ac:dyDescent="0.2">
      <c r="H353" s="26"/>
      <c r="I353" s="26"/>
      <c r="J353" s="26"/>
      <c r="X353" s="26"/>
      <c r="Y353" s="26"/>
    </row>
    <row r="354" spans="8:25" x14ac:dyDescent="0.2">
      <c r="H354" s="26"/>
      <c r="I354" s="26"/>
      <c r="J354" s="26"/>
      <c r="X354" s="26"/>
      <c r="Y354" s="26"/>
    </row>
    <row r="355" spans="8:25" x14ac:dyDescent="0.2">
      <c r="H355" s="26"/>
      <c r="I355" s="26"/>
      <c r="J355" s="26"/>
      <c r="X355" s="26"/>
      <c r="Y355" s="26"/>
    </row>
    <row r="356" spans="8:25" x14ac:dyDescent="0.2">
      <c r="H356" s="26"/>
      <c r="I356" s="26"/>
      <c r="J356" s="26"/>
      <c r="X356" s="26"/>
      <c r="Y356" s="26"/>
    </row>
    <row r="357" spans="8:25" x14ac:dyDescent="0.2">
      <c r="H357" s="26"/>
      <c r="I357" s="26"/>
      <c r="J357" s="26"/>
      <c r="X357" s="26"/>
      <c r="Y357" s="26"/>
    </row>
    <row r="358" spans="8:25" x14ac:dyDescent="0.2">
      <c r="H358" s="26"/>
      <c r="I358" s="26"/>
      <c r="J358" s="26"/>
      <c r="X358" s="26"/>
      <c r="Y358" s="26"/>
    </row>
    <row r="359" spans="8:25" x14ac:dyDescent="0.2">
      <c r="H359" s="26"/>
      <c r="I359" s="26"/>
      <c r="J359" s="26"/>
      <c r="X359" s="26"/>
      <c r="Y359" s="26"/>
    </row>
    <row r="360" spans="8:25" x14ac:dyDescent="0.2">
      <c r="H360" s="26"/>
      <c r="I360" s="26"/>
      <c r="J360" s="26"/>
      <c r="X360" s="26"/>
      <c r="Y360" s="26"/>
    </row>
    <row r="361" spans="8:25" x14ac:dyDescent="0.2">
      <c r="H361" s="26"/>
      <c r="I361" s="26"/>
      <c r="J361" s="26"/>
      <c r="X361" s="26"/>
      <c r="Y361" s="26"/>
    </row>
    <row r="362" spans="8:25" x14ac:dyDescent="0.2">
      <c r="H362" s="26"/>
      <c r="I362" s="26"/>
      <c r="J362" s="26"/>
      <c r="X362" s="26"/>
      <c r="Y362" s="26"/>
    </row>
    <row r="363" spans="8:25" x14ac:dyDescent="0.2">
      <c r="H363" s="26"/>
      <c r="I363" s="26"/>
      <c r="J363" s="26"/>
      <c r="X363" s="26"/>
      <c r="Y363" s="26"/>
    </row>
    <row r="364" spans="8:25" x14ac:dyDescent="0.2">
      <c r="H364" s="26"/>
      <c r="I364" s="26"/>
      <c r="J364" s="26"/>
      <c r="X364" s="26"/>
      <c r="Y364" s="26"/>
    </row>
    <row r="365" spans="8:25" x14ac:dyDescent="0.2">
      <c r="H365" s="26"/>
      <c r="I365" s="26"/>
      <c r="J365" s="26"/>
      <c r="X365" s="26"/>
      <c r="Y365" s="26"/>
    </row>
    <row r="366" spans="8:25" x14ac:dyDescent="0.2">
      <c r="H366" s="26"/>
      <c r="I366" s="26"/>
      <c r="J366" s="26"/>
      <c r="X366" s="26"/>
      <c r="Y366" s="26"/>
    </row>
    <row r="367" spans="8:25" x14ac:dyDescent="0.2">
      <c r="H367" s="26"/>
      <c r="I367" s="26"/>
      <c r="J367" s="26"/>
      <c r="X367" s="26"/>
      <c r="Y367" s="26"/>
    </row>
    <row r="368" spans="8:25" x14ac:dyDescent="0.2">
      <c r="H368" s="26"/>
      <c r="I368" s="26"/>
      <c r="J368" s="26"/>
      <c r="X368" s="26"/>
      <c r="Y368" s="26"/>
    </row>
    <row r="369" spans="8:25" x14ac:dyDescent="0.2">
      <c r="H369" s="26"/>
      <c r="I369" s="26"/>
      <c r="J369" s="26"/>
      <c r="X369" s="26"/>
      <c r="Y369" s="26"/>
    </row>
    <row r="370" spans="8:25" x14ac:dyDescent="0.2">
      <c r="H370" s="26"/>
      <c r="I370" s="26"/>
      <c r="J370" s="26"/>
      <c r="X370" s="26"/>
      <c r="Y370" s="26"/>
    </row>
    <row r="371" spans="8:25" x14ac:dyDescent="0.2">
      <c r="H371" s="26"/>
      <c r="I371" s="26"/>
      <c r="J371" s="26"/>
      <c r="X371" s="26"/>
      <c r="Y371" s="26"/>
    </row>
    <row r="372" spans="8:25" x14ac:dyDescent="0.2">
      <c r="H372" s="26"/>
      <c r="I372" s="26"/>
      <c r="J372" s="26"/>
      <c r="X372" s="26"/>
      <c r="Y372" s="26"/>
    </row>
    <row r="373" spans="8:25" x14ac:dyDescent="0.2">
      <c r="H373" s="26"/>
      <c r="I373" s="26"/>
      <c r="J373" s="26"/>
      <c r="X373" s="26"/>
      <c r="Y373" s="26"/>
    </row>
    <row r="374" spans="8:25" x14ac:dyDescent="0.2">
      <c r="H374" s="26"/>
      <c r="I374" s="26"/>
      <c r="J374" s="26"/>
      <c r="X374" s="26"/>
      <c r="Y374" s="26"/>
    </row>
    <row r="375" spans="8:25" x14ac:dyDescent="0.2">
      <c r="H375" s="26"/>
      <c r="I375" s="26"/>
      <c r="J375" s="26"/>
      <c r="X375" s="26"/>
      <c r="Y375" s="26"/>
    </row>
    <row r="376" spans="8:25" x14ac:dyDescent="0.2">
      <c r="H376" s="26"/>
      <c r="I376" s="26"/>
      <c r="J376" s="26"/>
      <c r="X376" s="26"/>
      <c r="Y376" s="26"/>
    </row>
    <row r="377" spans="8:25" x14ac:dyDescent="0.2">
      <c r="H377" s="26"/>
      <c r="I377" s="26"/>
      <c r="J377" s="26"/>
      <c r="X377" s="26"/>
      <c r="Y377" s="26"/>
    </row>
    <row r="378" spans="8:25" x14ac:dyDescent="0.2">
      <c r="H378" s="26"/>
      <c r="I378" s="26"/>
      <c r="J378" s="26"/>
      <c r="X378" s="26"/>
      <c r="Y378" s="26"/>
    </row>
    <row r="379" spans="8:25" x14ac:dyDescent="0.2">
      <c r="H379" s="26"/>
      <c r="I379" s="26"/>
      <c r="J379" s="26"/>
      <c r="X379" s="26"/>
      <c r="Y379" s="26"/>
    </row>
    <row r="380" spans="8:25" x14ac:dyDescent="0.2">
      <c r="H380" s="26"/>
      <c r="I380" s="26"/>
      <c r="J380" s="26"/>
      <c r="X380" s="26"/>
      <c r="Y380" s="26"/>
    </row>
    <row r="381" spans="8:25" x14ac:dyDescent="0.2">
      <c r="H381" s="26"/>
      <c r="I381" s="26"/>
      <c r="J381" s="26"/>
      <c r="X381" s="26"/>
      <c r="Y381" s="26"/>
    </row>
    <row r="382" spans="8:25" x14ac:dyDescent="0.2">
      <c r="H382" s="26"/>
      <c r="I382" s="26"/>
      <c r="J382" s="26"/>
      <c r="X382" s="26"/>
      <c r="Y382" s="26"/>
    </row>
    <row r="383" spans="8:25" x14ac:dyDescent="0.2">
      <c r="H383" s="26"/>
      <c r="I383" s="26"/>
      <c r="J383" s="26"/>
      <c r="X383" s="26"/>
      <c r="Y383" s="26"/>
    </row>
    <row r="384" spans="8:25" x14ac:dyDescent="0.2">
      <c r="H384" s="26"/>
      <c r="I384" s="26"/>
      <c r="J384" s="26"/>
      <c r="X384" s="26"/>
      <c r="Y384" s="26"/>
    </row>
    <row r="385" spans="8:25" x14ac:dyDescent="0.2">
      <c r="H385" s="26"/>
      <c r="I385" s="26"/>
      <c r="J385" s="26"/>
      <c r="X385" s="26"/>
      <c r="Y385" s="26"/>
    </row>
    <row r="386" spans="8:25" x14ac:dyDescent="0.2">
      <c r="H386" s="26"/>
      <c r="I386" s="26"/>
      <c r="J386" s="26"/>
      <c r="X386" s="26"/>
      <c r="Y386" s="26"/>
    </row>
    <row r="387" spans="8:25" x14ac:dyDescent="0.2">
      <c r="H387" s="26"/>
      <c r="I387" s="26"/>
      <c r="J387" s="26"/>
      <c r="X387" s="26"/>
      <c r="Y387" s="26"/>
    </row>
    <row r="388" spans="8:25" x14ac:dyDescent="0.2">
      <c r="H388" s="26"/>
      <c r="I388" s="26"/>
      <c r="J388" s="26"/>
      <c r="X388" s="26"/>
      <c r="Y388" s="26"/>
    </row>
    <row r="389" spans="8:25" x14ac:dyDescent="0.2">
      <c r="H389" s="26"/>
      <c r="I389" s="26"/>
      <c r="J389" s="26"/>
      <c r="X389" s="26"/>
      <c r="Y389" s="26"/>
    </row>
    <row r="390" spans="8:25" x14ac:dyDescent="0.2">
      <c r="H390" s="26"/>
      <c r="I390" s="26"/>
      <c r="J390" s="26"/>
      <c r="X390" s="26"/>
      <c r="Y390" s="26"/>
    </row>
    <row r="391" spans="8:25" x14ac:dyDescent="0.2">
      <c r="H391" s="26"/>
      <c r="I391" s="26"/>
      <c r="J391" s="26"/>
      <c r="X391" s="26"/>
      <c r="Y391" s="26"/>
    </row>
    <row r="392" spans="8:25" x14ac:dyDescent="0.2">
      <c r="H392" s="26"/>
      <c r="I392" s="26"/>
      <c r="J392" s="26"/>
      <c r="X392" s="26"/>
      <c r="Y392" s="26"/>
    </row>
    <row r="393" spans="8:25" x14ac:dyDescent="0.2">
      <c r="H393" s="26"/>
      <c r="I393" s="26"/>
      <c r="J393" s="26"/>
      <c r="X393" s="26"/>
      <c r="Y393" s="26"/>
    </row>
    <row r="394" spans="8:25" x14ac:dyDescent="0.2">
      <c r="H394" s="26"/>
      <c r="I394" s="26"/>
      <c r="J394" s="26"/>
      <c r="X394" s="26"/>
      <c r="Y394" s="26"/>
    </row>
    <row r="395" spans="8:25" x14ac:dyDescent="0.2">
      <c r="H395" s="26"/>
      <c r="I395" s="26"/>
      <c r="J395" s="26"/>
      <c r="X395" s="26"/>
      <c r="Y395" s="26"/>
    </row>
    <row r="396" spans="8:25" x14ac:dyDescent="0.2">
      <c r="H396" s="26"/>
      <c r="I396" s="26"/>
      <c r="J396" s="26"/>
      <c r="X396" s="26"/>
      <c r="Y396" s="26"/>
    </row>
    <row r="397" spans="8:25" x14ac:dyDescent="0.2">
      <c r="H397" s="26"/>
      <c r="I397" s="26"/>
      <c r="J397" s="26"/>
      <c r="X397" s="26"/>
      <c r="Y397" s="26"/>
    </row>
    <row r="398" spans="8:25" x14ac:dyDescent="0.2">
      <c r="H398" s="26"/>
      <c r="I398" s="26"/>
      <c r="J398" s="26"/>
      <c r="X398" s="26"/>
      <c r="Y398" s="26"/>
    </row>
    <row r="399" spans="8:25" x14ac:dyDescent="0.2">
      <c r="H399" s="26"/>
      <c r="I399" s="26"/>
      <c r="J399" s="26"/>
      <c r="X399" s="26"/>
      <c r="Y399" s="26"/>
    </row>
    <row r="400" spans="8:25" x14ac:dyDescent="0.2">
      <c r="H400" s="26"/>
      <c r="I400" s="26"/>
      <c r="J400" s="26"/>
      <c r="X400" s="26"/>
      <c r="Y400" s="26"/>
    </row>
    <row r="401" spans="8:25" x14ac:dyDescent="0.2">
      <c r="H401" s="26"/>
      <c r="I401" s="26"/>
      <c r="J401" s="26"/>
      <c r="X401" s="26"/>
      <c r="Y401" s="26"/>
    </row>
    <row r="402" spans="8:25" x14ac:dyDescent="0.2">
      <c r="H402" s="26"/>
      <c r="I402" s="26"/>
      <c r="J402" s="26"/>
      <c r="X402" s="26"/>
      <c r="Y402" s="26"/>
    </row>
    <row r="403" spans="8:25" x14ac:dyDescent="0.2">
      <c r="H403" s="26"/>
      <c r="I403" s="26"/>
      <c r="J403" s="26"/>
      <c r="X403" s="26"/>
      <c r="Y403" s="26"/>
    </row>
    <row r="404" spans="8:25" x14ac:dyDescent="0.2">
      <c r="H404" s="26"/>
      <c r="I404" s="26"/>
      <c r="J404" s="26"/>
      <c r="X404" s="26"/>
      <c r="Y404" s="26"/>
    </row>
    <row r="405" spans="8:25" x14ac:dyDescent="0.2">
      <c r="H405" s="26"/>
      <c r="I405" s="26"/>
      <c r="J405" s="26"/>
      <c r="X405" s="26"/>
      <c r="Y405" s="26"/>
    </row>
    <row r="406" spans="8:25" x14ac:dyDescent="0.2">
      <c r="H406" s="26"/>
      <c r="I406" s="26"/>
      <c r="J406" s="26"/>
      <c r="X406" s="26"/>
      <c r="Y406" s="26"/>
    </row>
    <row r="407" spans="8:25" x14ac:dyDescent="0.2">
      <c r="H407" s="26"/>
      <c r="I407" s="26"/>
      <c r="J407" s="26"/>
      <c r="X407" s="26"/>
      <c r="Y407" s="26"/>
    </row>
    <row r="408" spans="8:25" x14ac:dyDescent="0.2">
      <c r="H408" s="26"/>
      <c r="I408" s="26"/>
      <c r="J408" s="26"/>
      <c r="X408" s="26"/>
      <c r="Y408" s="26"/>
    </row>
    <row r="409" spans="8:25" x14ac:dyDescent="0.2">
      <c r="H409" s="26"/>
      <c r="I409" s="26"/>
      <c r="J409" s="26"/>
      <c r="X409" s="26"/>
      <c r="Y409" s="26"/>
    </row>
    <row r="410" spans="8:25" x14ac:dyDescent="0.2">
      <c r="H410" s="26"/>
      <c r="I410" s="26"/>
      <c r="J410" s="26"/>
      <c r="X410" s="26"/>
      <c r="Y410" s="26"/>
    </row>
    <row r="411" spans="8:25" x14ac:dyDescent="0.2">
      <c r="H411" s="26"/>
      <c r="I411" s="26"/>
      <c r="J411" s="26"/>
      <c r="X411" s="26"/>
      <c r="Y411" s="26"/>
    </row>
    <row r="412" spans="8:25" x14ac:dyDescent="0.2">
      <c r="H412" s="26"/>
      <c r="I412" s="26"/>
      <c r="J412" s="26"/>
      <c r="X412" s="26"/>
      <c r="Y412" s="26"/>
    </row>
    <row r="413" spans="8:25" x14ac:dyDescent="0.2">
      <c r="H413" s="26"/>
      <c r="I413" s="26"/>
      <c r="J413" s="26"/>
      <c r="X413" s="26"/>
      <c r="Y413" s="26"/>
    </row>
    <row r="414" spans="8:25" x14ac:dyDescent="0.2">
      <c r="H414" s="26"/>
      <c r="I414" s="26"/>
      <c r="J414" s="26"/>
      <c r="X414" s="26"/>
      <c r="Y414" s="26"/>
    </row>
    <row r="415" spans="8:25" x14ac:dyDescent="0.2">
      <c r="H415" s="26"/>
      <c r="I415" s="26"/>
      <c r="J415" s="26"/>
      <c r="X415" s="26"/>
      <c r="Y415" s="26"/>
    </row>
    <row r="416" spans="8:25" x14ac:dyDescent="0.2">
      <c r="H416" s="26"/>
      <c r="I416" s="26"/>
      <c r="J416" s="26"/>
      <c r="X416" s="26"/>
      <c r="Y416" s="26"/>
    </row>
    <row r="417" spans="8:25" x14ac:dyDescent="0.2">
      <c r="H417" s="26"/>
      <c r="I417" s="26"/>
      <c r="J417" s="26"/>
      <c r="X417" s="26"/>
      <c r="Y417" s="26"/>
    </row>
    <row r="418" spans="8:25" x14ac:dyDescent="0.2">
      <c r="H418" s="26"/>
      <c r="I418" s="26"/>
      <c r="J418" s="26"/>
      <c r="X418" s="26"/>
      <c r="Y418" s="26"/>
    </row>
    <row r="419" spans="8:25" x14ac:dyDescent="0.2">
      <c r="H419" s="26"/>
      <c r="I419" s="26"/>
      <c r="J419" s="26"/>
      <c r="X419" s="26"/>
      <c r="Y419" s="26"/>
    </row>
    <row r="420" spans="8:25" x14ac:dyDescent="0.2">
      <c r="H420" s="26"/>
      <c r="I420" s="26"/>
      <c r="J420" s="26"/>
      <c r="X420" s="26"/>
      <c r="Y420" s="26"/>
    </row>
    <row r="421" spans="8:25" x14ac:dyDescent="0.2">
      <c r="H421" s="26"/>
      <c r="I421" s="26"/>
      <c r="J421" s="26"/>
      <c r="X421" s="26"/>
      <c r="Y421" s="26"/>
    </row>
    <row r="422" spans="8:25" x14ac:dyDescent="0.2">
      <c r="H422" s="26"/>
      <c r="I422" s="26"/>
      <c r="J422" s="26"/>
      <c r="X422" s="26"/>
      <c r="Y422" s="26"/>
    </row>
    <row r="423" spans="8:25" x14ac:dyDescent="0.2">
      <c r="H423" s="26"/>
      <c r="I423" s="26"/>
      <c r="J423" s="26"/>
      <c r="X423" s="26"/>
      <c r="Y423" s="26"/>
    </row>
    <row r="424" spans="8:25" x14ac:dyDescent="0.2">
      <c r="H424" s="26"/>
      <c r="I424" s="26"/>
      <c r="J424" s="26"/>
      <c r="X424" s="26"/>
      <c r="Y424" s="26"/>
    </row>
    <row r="425" spans="8:25" x14ac:dyDescent="0.2">
      <c r="H425" s="26"/>
      <c r="I425" s="26"/>
      <c r="J425" s="26"/>
      <c r="X425" s="26"/>
      <c r="Y425" s="26"/>
    </row>
    <row r="426" spans="8:25" x14ac:dyDescent="0.2">
      <c r="H426" s="26"/>
      <c r="I426" s="26"/>
      <c r="J426" s="26"/>
      <c r="X426" s="26"/>
      <c r="Y426" s="26"/>
    </row>
    <row r="427" spans="8:25" x14ac:dyDescent="0.2">
      <c r="H427" s="26"/>
      <c r="I427" s="26"/>
      <c r="J427" s="26"/>
      <c r="X427" s="26"/>
      <c r="Y427" s="26"/>
    </row>
    <row r="428" spans="8:25" x14ac:dyDescent="0.2">
      <c r="H428" s="26"/>
      <c r="I428" s="26"/>
      <c r="J428" s="26"/>
      <c r="X428" s="26"/>
      <c r="Y428" s="26"/>
    </row>
    <row r="429" spans="8:25" x14ac:dyDescent="0.2">
      <c r="H429" s="26"/>
      <c r="I429" s="26"/>
      <c r="J429" s="26"/>
      <c r="X429" s="26"/>
      <c r="Y429" s="26"/>
    </row>
    <row r="430" spans="8:25" x14ac:dyDescent="0.2">
      <c r="H430" s="26"/>
      <c r="I430" s="26"/>
      <c r="J430" s="26"/>
      <c r="X430" s="26"/>
      <c r="Y430" s="26"/>
    </row>
    <row r="431" spans="8:25" x14ac:dyDescent="0.2">
      <c r="H431" s="26"/>
      <c r="I431" s="26"/>
      <c r="J431" s="26"/>
      <c r="X431" s="26"/>
      <c r="Y431" s="26"/>
    </row>
    <row r="432" spans="8:25" x14ac:dyDescent="0.2">
      <c r="H432" s="26"/>
      <c r="I432" s="26"/>
      <c r="J432" s="26"/>
      <c r="X432" s="26"/>
      <c r="Y432" s="26"/>
    </row>
    <row r="433" spans="8:25" x14ac:dyDescent="0.2">
      <c r="H433" s="26"/>
      <c r="I433" s="26"/>
      <c r="J433" s="26"/>
      <c r="X433" s="26"/>
      <c r="Y433" s="26"/>
    </row>
    <row r="434" spans="8:25" x14ac:dyDescent="0.2">
      <c r="H434" s="26"/>
      <c r="I434" s="26"/>
      <c r="J434" s="26"/>
      <c r="X434" s="26"/>
      <c r="Y434" s="26"/>
    </row>
    <row r="435" spans="8:25" x14ac:dyDescent="0.2">
      <c r="H435" s="26"/>
      <c r="I435" s="26"/>
      <c r="J435" s="26"/>
      <c r="X435" s="26"/>
      <c r="Y435" s="26"/>
    </row>
    <row r="436" spans="8:25" x14ac:dyDescent="0.2">
      <c r="H436" s="26"/>
      <c r="I436" s="26"/>
      <c r="J436" s="26"/>
      <c r="X436" s="26"/>
      <c r="Y436" s="26"/>
    </row>
    <row r="437" spans="8:25" x14ac:dyDescent="0.2">
      <c r="H437" s="26"/>
      <c r="I437" s="26"/>
      <c r="J437" s="26"/>
      <c r="X437" s="26"/>
      <c r="Y437" s="26"/>
    </row>
    <row r="438" spans="8:25" x14ac:dyDescent="0.2">
      <c r="H438" s="26"/>
      <c r="I438" s="26"/>
      <c r="J438" s="26"/>
      <c r="X438" s="26"/>
      <c r="Y438" s="26"/>
    </row>
    <row r="439" spans="8:25" x14ac:dyDescent="0.2">
      <c r="H439" s="26"/>
      <c r="I439" s="26"/>
      <c r="J439" s="26"/>
      <c r="X439" s="26"/>
      <c r="Y439" s="26"/>
    </row>
    <row r="440" spans="8:25" x14ac:dyDescent="0.2">
      <c r="H440" s="26"/>
      <c r="I440" s="26"/>
      <c r="J440" s="26"/>
      <c r="X440" s="26"/>
      <c r="Y440" s="26"/>
    </row>
    <row r="441" spans="8:25" x14ac:dyDescent="0.2">
      <c r="H441" s="26"/>
      <c r="I441" s="26"/>
      <c r="J441" s="26"/>
      <c r="X441" s="26"/>
      <c r="Y441" s="26"/>
    </row>
    <row r="442" spans="8:25" x14ac:dyDescent="0.2">
      <c r="H442" s="26"/>
      <c r="I442" s="26"/>
      <c r="J442" s="26"/>
      <c r="X442" s="26"/>
      <c r="Y442" s="26"/>
    </row>
    <row r="443" spans="8:25" x14ac:dyDescent="0.2">
      <c r="H443" s="26"/>
      <c r="I443" s="26"/>
      <c r="J443" s="26"/>
      <c r="X443" s="26"/>
      <c r="Y443" s="26"/>
    </row>
    <row r="444" spans="8:25" x14ac:dyDescent="0.2">
      <c r="H444" s="26"/>
      <c r="I444" s="26"/>
      <c r="J444" s="26"/>
      <c r="X444" s="26"/>
      <c r="Y444" s="26"/>
    </row>
    <row r="445" spans="8:25" x14ac:dyDescent="0.2">
      <c r="H445" s="26"/>
      <c r="I445" s="26"/>
      <c r="J445" s="26"/>
      <c r="X445" s="26"/>
      <c r="Y445" s="26"/>
    </row>
    <row r="446" spans="8:25" x14ac:dyDescent="0.2">
      <c r="H446" s="26"/>
      <c r="I446" s="26"/>
      <c r="J446" s="26"/>
      <c r="X446" s="26"/>
      <c r="Y446" s="26"/>
    </row>
    <row r="447" spans="8:25" x14ac:dyDescent="0.2">
      <c r="H447" s="26"/>
      <c r="I447" s="26"/>
      <c r="J447" s="26"/>
      <c r="X447" s="26"/>
      <c r="Y447" s="26"/>
    </row>
    <row r="448" spans="8:25" x14ac:dyDescent="0.2">
      <c r="H448" s="26"/>
      <c r="I448" s="26"/>
      <c r="J448" s="26"/>
      <c r="X448" s="26"/>
      <c r="Y448" s="26"/>
    </row>
    <row r="449" spans="8:25" x14ac:dyDescent="0.2">
      <c r="H449" s="26"/>
      <c r="I449" s="26"/>
      <c r="J449" s="26"/>
      <c r="X449" s="26"/>
      <c r="Y449" s="26"/>
    </row>
    <row r="450" spans="8:25" x14ac:dyDescent="0.2">
      <c r="H450" s="26"/>
      <c r="I450" s="26"/>
      <c r="J450" s="26"/>
      <c r="X450" s="26"/>
      <c r="Y450" s="26"/>
    </row>
    <row r="451" spans="8:25" x14ac:dyDescent="0.2">
      <c r="H451" s="26"/>
      <c r="I451" s="26"/>
      <c r="J451" s="26"/>
      <c r="X451" s="26"/>
      <c r="Y451" s="26"/>
    </row>
    <row r="452" spans="8:25" x14ac:dyDescent="0.2">
      <c r="H452" s="26"/>
      <c r="I452" s="26"/>
      <c r="J452" s="26"/>
      <c r="X452" s="26"/>
      <c r="Y452" s="26"/>
    </row>
    <row r="453" spans="8:25" x14ac:dyDescent="0.2">
      <c r="H453" s="26"/>
      <c r="I453" s="26"/>
      <c r="J453" s="26"/>
      <c r="X453" s="26"/>
      <c r="Y453" s="26"/>
    </row>
    <row r="454" spans="8:25" x14ac:dyDescent="0.2">
      <c r="H454" s="26"/>
      <c r="I454" s="26"/>
      <c r="J454" s="26"/>
      <c r="X454" s="26"/>
      <c r="Y454" s="26"/>
    </row>
    <row r="455" spans="8:25" x14ac:dyDescent="0.2">
      <c r="H455" s="26"/>
      <c r="I455" s="26"/>
      <c r="J455" s="26"/>
      <c r="X455" s="26"/>
      <c r="Y455" s="26"/>
    </row>
    <row r="456" spans="8:25" x14ac:dyDescent="0.2">
      <c r="H456" s="26"/>
      <c r="I456" s="26"/>
      <c r="J456" s="26"/>
      <c r="X456" s="26"/>
      <c r="Y456" s="26"/>
    </row>
    <row r="457" spans="8:25" x14ac:dyDescent="0.2">
      <c r="H457" s="26"/>
      <c r="I457" s="26"/>
      <c r="J457" s="26"/>
      <c r="X457" s="26"/>
      <c r="Y457" s="26"/>
    </row>
    <row r="458" spans="8:25" x14ac:dyDescent="0.2">
      <c r="H458" s="26"/>
      <c r="I458" s="26"/>
      <c r="J458" s="26"/>
      <c r="X458" s="26"/>
      <c r="Y458" s="26"/>
    </row>
    <row r="459" spans="8:25" x14ac:dyDescent="0.2">
      <c r="H459" s="26"/>
      <c r="I459" s="26"/>
      <c r="J459" s="26"/>
      <c r="X459" s="26"/>
      <c r="Y459" s="26"/>
    </row>
    <row r="460" spans="8:25" x14ac:dyDescent="0.2">
      <c r="H460" s="26"/>
      <c r="I460" s="26"/>
      <c r="J460" s="26"/>
      <c r="X460" s="26"/>
      <c r="Y460" s="26"/>
    </row>
    <row r="461" spans="8:25" x14ac:dyDescent="0.2">
      <c r="H461" s="26"/>
      <c r="I461" s="26"/>
      <c r="J461" s="26"/>
      <c r="X461" s="26"/>
      <c r="Y461" s="26"/>
    </row>
    <row r="462" spans="8:25" x14ac:dyDescent="0.2">
      <c r="H462" s="26"/>
      <c r="I462" s="26"/>
      <c r="J462" s="26"/>
      <c r="X462" s="26"/>
      <c r="Y462" s="26"/>
    </row>
    <row r="463" spans="8:25" x14ac:dyDescent="0.2">
      <c r="H463" s="26"/>
      <c r="I463" s="26"/>
      <c r="J463" s="26"/>
      <c r="X463" s="26"/>
      <c r="Y463" s="26"/>
    </row>
    <row r="464" spans="8:25" x14ac:dyDescent="0.2">
      <c r="H464" s="26"/>
      <c r="I464" s="26"/>
      <c r="J464" s="26"/>
      <c r="X464" s="26"/>
      <c r="Y464" s="26"/>
    </row>
    <row r="465" spans="8:25" x14ac:dyDescent="0.2">
      <c r="H465" s="26"/>
      <c r="I465" s="26"/>
      <c r="J465" s="26"/>
      <c r="X465" s="26"/>
      <c r="Y465" s="26"/>
    </row>
    <row r="466" spans="8:25" x14ac:dyDescent="0.2">
      <c r="H466" s="26"/>
      <c r="I466" s="26"/>
      <c r="J466" s="26"/>
      <c r="X466" s="26"/>
      <c r="Y466" s="26"/>
    </row>
    <row r="467" spans="8:25" x14ac:dyDescent="0.2">
      <c r="H467" s="26"/>
      <c r="I467" s="26"/>
      <c r="J467" s="26"/>
      <c r="X467" s="26"/>
      <c r="Y467" s="26"/>
    </row>
    <row r="468" spans="8:25" x14ac:dyDescent="0.2">
      <c r="H468" s="26"/>
      <c r="I468" s="26"/>
      <c r="J468" s="26"/>
      <c r="X468" s="26"/>
      <c r="Y468" s="26"/>
    </row>
    <row r="469" spans="8:25" x14ac:dyDescent="0.2">
      <c r="H469" s="26"/>
      <c r="I469" s="26"/>
      <c r="J469" s="26"/>
      <c r="X469" s="26"/>
      <c r="Y469" s="26"/>
    </row>
    <row r="470" spans="8:25" x14ac:dyDescent="0.2">
      <c r="H470" s="26"/>
      <c r="I470" s="26"/>
      <c r="J470" s="26"/>
      <c r="X470" s="26"/>
      <c r="Y470" s="26"/>
    </row>
    <row r="471" spans="8:25" x14ac:dyDescent="0.2">
      <c r="H471" s="26"/>
      <c r="I471" s="26"/>
      <c r="J471" s="26"/>
      <c r="X471" s="26"/>
      <c r="Y471" s="26"/>
    </row>
    <row r="472" spans="8:25" x14ac:dyDescent="0.2">
      <c r="H472" s="26"/>
      <c r="I472" s="26"/>
      <c r="J472" s="26"/>
      <c r="X472" s="26"/>
      <c r="Y472" s="26"/>
    </row>
    <row r="473" spans="8:25" x14ac:dyDescent="0.2">
      <c r="H473" s="26"/>
      <c r="I473" s="26"/>
      <c r="J473" s="26"/>
      <c r="X473" s="26"/>
      <c r="Y473" s="26"/>
    </row>
    <row r="474" spans="8:25" x14ac:dyDescent="0.2">
      <c r="H474" s="26"/>
      <c r="I474" s="26"/>
      <c r="J474" s="26"/>
      <c r="X474" s="26"/>
      <c r="Y474" s="26"/>
    </row>
    <row r="475" spans="8:25" x14ac:dyDescent="0.2">
      <c r="H475" s="26"/>
      <c r="I475" s="26"/>
      <c r="J475" s="26"/>
      <c r="X475" s="26"/>
      <c r="Y475" s="26"/>
    </row>
    <row r="476" spans="8:25" x14ac:dyDescent="0.2">
      <c r="H476" s="26"/>
      <c r="I476" s="26"/>
      <c r="J476" s="26"/>
      <c r="X476" s="26"/>
      <c r="Y476" s="26"/>
    </row>
    <row r="477" spans="8:25" x14ac:dyDescent="0.2">
      <c r="H477" s="26"/>
      <c r="I477" s="26"/>
      <c r="J477" s="26"/>
      <c r="X477" s="26"/>
      <c r="Y477" s="26"/>
    </row>
    <row r="478" spans="8:25" x14ac:dyDescent="0.2">
      <c r="H478" s="26"/>
      <c r="I478" s="26"/>
      <c r="J478" s="26"/>
      <c r="X478" s="26"/>
      <c r="Y478" s="26"/>
    </row>
    <row r="479" spans="8:25" x14ac:dyDescent="0.2">
      <c r="H479" s="26"/>
      <c r="I479" s="26"/>
      <c r="J479" s="26"/>
      <c r="X479" s="26"/>
      <c r="Y479" s="26"/>
    </row>
    <row r="480" spans="8:25" x14ac:dyDescent="0.2">
      <c r="H480" s="26"/>
      <c r="I480" s="26"/>
      <c r="J480" s="26"/>
      <c r="X480" s="26"/>
      <c r="Y480" s="26"/>
    </row>
    <row r="481" spans="8:25" x14ac:dyDescent="0.2">
      <c r="H481" s="26"/>
      <c r="I481" s="26"/>
      <c r="J481" s="26"/>
      <c r="X481" s="26"/>
      <c r="Y481" s="26"/>
    </row>
    <row r="482" spans="8:25" x14ac:dyDescent="0.2">
      <c r="H482" s="26"/>
      <c r="I482" s="26"/>
      <c r="J482" s="26"/>
      <c r="X482" s="26"/>
      <c r="Y482" s="26"/>
    </row>
    <row r="483" spans="8:25" x14ac:dyDescent="0.2">
      <c r="H483" s="26"/>
      <c r="I483" s="26"/>
      <c r="J483" s="26"/>
      <c r="X483" s="26"/>
      <c r="Y483" s="26"/>
    </row>
    <row r="484" spans="8:25" x14ac:dyDescent="0.2">
      <c r="H484" s="26"/>
      <c r="I484" s="26"/>
      <c r="J484" s="26"/>
      <c r="X484" s="26"/>
      <c r="Y484" s="26"/>
    </row>
    <row r="485" spans="8:25" x14ac:dyDescent="0.2">
      <c r="H485" s="26"/>
      <c r="I485" s="26"/>
      <c r="J485" s="26"/>
      <c r="X485" s="26"/>
      <c r="Y485" s="26"/>
    </row>
    <row r="486" spans="8:25" x14ac:dyDescent="0.2">
      <c r="H486" s="26"/>
      <c r="I486" s="26"/>
      <c r="J486" s="26"/>
      <c r="X486" s="26"/>
      <c r="Y486" s="26"/>
    </row>
    <row r="487" spans="8:25" x14ac:dyDescent="0.2">
      <c r="H487" s="26"/>
      <c r="I487" s="26"/>
      <c r="J487" s="26"/>
      <c r="X487" s="26"/>
      <c r="Y487" s="26"/>
    </row>
    <row r="488" spans="8:25" x14ac:dyDescent="0.2">
      <c r="H488" s="26"/>
      <c r="I488" s="26"/>
      <c r="J488" s="26"/>
      <c r="X488" s="26"/>
      <c r="Y488" s="26"/>
    </row>
    <row r="489" spans="8:25" x14ac:dyDescent="0.2">
      <c r="H489" s="26"/>
      <c r="I489" s="26"/>
      <c r="J489" s="26"/>
      <c r="X489" s="26"/>
      <c r="Y489" s="26"/>
    </row>
    <row r="490" spans="8:25" x14ac:dyDescent="0.2">
      <c r="H490" s="26"/>
      <c r="I490" s="26"/>
      <c r="J490" s="26"/>
      <c r="X490" s="26"/>
      <c r="Y490" s="26"/>
    </row>
    <row r="491" spans="8:25" x14ac:dyDescent="0.2">
      <c r="H491" s="26"/>
      <c r="I491" s="26"/>
      <c r="J491" s="26"/>
      <c r="X491" s="26"/>
      <c r="Y491" s="26"/>
    </row>
    <row r="492" spans="8:25" x14ac:dyDescent="0.2">
      <c r="H492" s="26"/>
      <c r="I492" s="26"/>
      <c r="J492" s="26"/>
      <c r="X492" s="26"/>
      <c r="Y492" s="26"/>
    </row>
    <row r="493" spans="8:25" x14ac:dyDescent="0.2">
      <c r="H493" s="26"/>
      <c r="I493" s="26"/>
      <c r="J493" s="26"/>
      <c r="X493" s="26"/>
      <c r="Y493" s="26"/>
    </row>
    <row r="494" spans="8:25" x14ac:dyDescent="0.2">
      <c r="H494" s="26"/>
      <c r="I494" s="26"/>
      <c r="J494" s="26"/>
      <c r="X494" s="26"/>
      <c r="Y494" s="26"/>
    </row>
    <row r="495" spans="8:25" x14ac:dyDescent="0.2">
      <c r="H495" s="26"/>
      <c r="I495" s="26"/>
      <c r="J495" s="26"/>
      <c r="X495" s="26"/>
      <c r="Y495" s="26"/>
    </row>
    <row r="496" spans="8:25" x14ac:dyDescent="0.2">
      <c r="H496" s="26"/>
      <c r="I496" s="26"/>
      <c r="J496" s="26"/>
      <c r="X496" s="26"/>
      <c r="Y496" s="26"/>
    </row>
    <row r="497" spans="8:25" x14ac:dyDescent="0.2">
      <c r="H497" s="26"/>
      <c r="I497" s="26"/>
      <c r="J497" s="26"/>
      <c r="X497" s="26"/>
      <c r="Y497" s="26"/>
    </row>
    <row r="498" spans="8:25" x14ac:dyDescent="0.2">
      <c r="H498" s="26"/>
      <c r="I498" s="26"/>
      <c r="J498" s="26"/>
      <c r="X498" s="26"/>
      <c r="Y498" s="26"/>
    </row>
    <row r="499" spans="8:25" x14ac:dyDescent="0.2">
      <c r="H499" s="26"/>
      <c r="I499" s="26"/>
      <c r="J499" s="26"/>
      <c r="X499" s="26"/>
      <c r="Y499" s="26"/>
    </row>
    <row r="500" spans="8:25" x14ac:dyDescent="0.2">
      <c r="H500" s="26"/>
      <c r="I500" s="26"/>
      <c r="J500" s="26"/>
      <c r="X500" s="26"/>
      <c r="Y500" s="26"/>
    </row>
    <row r="501" spans="8:25" x14ac:dyDescent="0.2">
      <c r="H501" s="26"/>
      <c r="I501" s="26"/>
      <c r="J501" s="26"/>
      <c r="X501" s="26"/>
      <c r="Y501" s="26"/>
    </row>
    <row r="502" spans="8:25" x14ac:dyDescent="0.2">
      <c r="H502" s="26"/>
      <c r="I502" s="26"/>
      <c r="J502" s="26"/>
      <c r="X502" s="26"/>
      <c r="Y502" s="26"/>
    </row>
    <row r="503" spans="8:25" x14ac:dyDescent="0.2">
      <c r="H503" s="26"/>
      <c r="I503" s="26"/>
      <c r="J503" s="26"/>
      <c r="X503" s="26"/>
      <c r="Y503" s="26"/>
    </row>
    <row r="504" spans="8:25" x14ac:dyDescent="0.2">
      <c r="H504" s="26"/>
      <c r="I504" s="26"/>
      <c r="J504" s="26"/>
      <c r="X504" s="26"/>
      <c r="Y504" s="26"/>
    </row>
    <row r="505" spans="8:25" x14ac:dyDescent="0.2">
      <c r="H505" s="26"/>
      <c r="I505" s="26"/>
      <c r="J505" s="26"/>
      <c r="X505" s="26"/>
      <c r="Y505" s="26"/>
    </row>
    <row r="506" spans="8:25" x14ac:dyDescent="0.2">
      <c r="H506" s="26"/>
      <c r="I506" s="26"/>
      <c r="J506" s="26"/>
      <c r="X506" s="26"/>
      <c r="Y506" s="26"/>
    </row>
    <row r="507" spans="8:25" x14ac:dyDescent="0.2">
      <c r="H507" s="26"/>
      <c r="I507" s="26"/>
      <c r="J507" s="26"/>
      <c r="X507" s="26"/>
      <c r="Y507" s="26"/>
    </row>
    <row r="508" spans="8:25" x14ac:dyDescent="0.2">
      <c r="H508" s="26"/>
      <c r="I508" s="26"/>
      <c r="J508" s="26"/>
      <c r="X508" s="26"/>
      <c r="Y508" s="26"/>
    </row>
    <row r="509" spans="8:25" x14ac:dyDescent="0.2">
      <c r="H509" s="26"/>
      <c r="I509" s="26"/>
      <c r="J509" s="26"/>
      <c r="X509" s="26"/>
      <c r="Y509" s="26"/>
    </row>
    <row r="510" spans="8:25" x14ac:dyDescent="0.2">
      <c r="H510" s="26"/>
      <c r="I510" s="26"/>
      <c r="J510" s="26"/>
      <c r="X510" s="26"/>
      <c r="Y510" s="26"/>
    </row>
    <row r="511" spans="8:25" x14ac:dyDescent="0.2">
      <c r="H511" s="26"/>
      <c r="I511" s="26"/>
      <c r="J511" s="26"/>
      <c r="X511" s="26"/>
      <c r="Y511" s="26"/>
    </row>
    <row r="512" spans="8:25" x14ac:dyDescent="0.2">
      <c r="H512" s="26"/>
      <c r="I512" s="26"/>
      <c r="J512" s="26"/>
      <c r="X512" s="26"/>
      <c r="Y512" s="26"/>
    </row>
    <row r="513" spans="8:25" x14ac:dyDescent="0.2">
      <c r="H513" s="26"/>
      <c r="I513" s="26"/>
      <c r="J513" s="26"/>
      <c r="X513" s="26"/>
      <c r="Y513" s="26"/>
    </row>
    <row r="514" spans="8:25" x14ac:dyDescent="0.2">
      <c r="H514" s="26"/>
      <c r="I514" s="26"/>
      <c r="J514" s="26"/>
      <c r="X514" s="26"/>
      <c r="Y514" s="26"/>
    </row>
    <row r="515" spans="8:25" x14ac:dyDescent="0.2">
      <c r="H515" s="26"/>
      <c r="I515" s="26"/>
      <c r="J515" s="26"/>
      <c r="X515" s="26"/>
      <c r="Y515" s="26"/>
    </row>
    <row r="516" spans="8:25" x14ac:dyDescent="0.2">
      <c r="H516" s="26"/>
      <c r="I516" s="26"/>
      <c r="J516" s="26"/>
      <c r="X516" s="26"/>
      <c r="Y516" s="26"/>
    </row>
    <row r="517" spans="8:25" x14ac:dyDescent="0.2">
      <c r="H517" s="26"/>
      <c r="I517" s="26"/>
      <c r="J517" s="26"/>
      <c r="X517" s="26"/>
      <c r="Y517" s="26"/>
    </row>
    <row r="518" spans="8:25" x14ac:dyDescent="0.2">
      <c r="H518" s="26"/>
      <c r="I518" s="26"/>
      <c r="J518" s="26"/>
      <c r="X518" s="26"/>
      <c r="Y518" s="26"/>
    </row>
    <row r="519" spans="8:25" x14ac:dyDescent="0.2">
      <c r="H519" s="26"/>
      <c r="I519" s="26"/>
      <c r="J519" s="26"/>
      <c r="X519" s="26"/>
      <c r="Y519" s="26"/>
    </row>
    <row r="520" spans="8:25" x14ac:dyDescent="0.2">
      <c r="H520" s="26"/>
      <c r="I520" s="26"/>
      <c r="J520" s="26"/>
      <c r="X520" s="26"/>
      <c r="Y520" s="26"/>
    </row>
    <row r="521" spans="8:25" x14ac:dyDescent="0.2">
      <c r="H521" s="26"/>
      <c r="I521" s="26"/>
      <c r="J521" s="26"/>
      <c r="X521" s="26"/>
      <c r="Y521" s="26"/>
    </row>
    <row r="522" spans="8:25" x14ac:dyDescent="0.2">
      <c r="H522" s="26"/>
      <c r="I522" s="26"/>
      <c r="J522" s="26"/>
      <c r="X522" s="26"/>
      <c r="Y522" s="26"/>
    </row>
    <row r="523" spans="8:25" x14ac:dyDescent="0.2">
      <c r="H523" s="26"/>
      <c r="I523" s="26"/>
      <c r="J523" s="26"/>
      <c r="X523" s="26"/>
      <c r="Y523" s="26"/>
    </row>
    <row r="524" spans="8:25" x14ac:dyDescent="0.2">
      <c r="H524" s="26"/>
      <c r="I524" s="26"/>
      <c r="J524" s="26"/>
      <c r="X524" s="26"/>
      <c r="Y524" s="26"/>
    </row>
    <row r="525" spans="8:25" x14ac:dyDescent="0.2">
      <c r="H525" s="26"/>
      <c r="I525" s="26"/>
      <c r="J525" s="26"/>
      <c r="X525" s="26"/>
      <c r="Y525" s="26"/>
    </row>
    <row r="526" spans="8:25" x14ac:dyDescent="0.2">
      <c r="H526" s="26"/>
      <c r="I526" s="26"/>
      <c r="J526" s="26"/>
      <c r="X526" s="26"/>
      <c r="Y526" s="26"/>
    </row>
    <row r="527" spans="8:25" x14ac:dyDescent="0.2">
      <c r="H527" s="26"/>
      <c r="I527" s="26"/>
      <c r="J527" s="26"/>
      <c r="X527" s="26"/>
      <c r="Y527" s="26"/>
    </row>
    <row r="528" spans="8:25" x14ac:dyDescent="0.2">
      <c r="H528" s="26"/>
      <c r="I528" s="26"/>
      <c r="J528" s="26"/>
      <c r="X528" s="26"/>
      <c r="Y528" s="26"/>
    </row>
    <row r="529" spans="8:25" x14ac:dyDescent="0.2">
      <c r="H529" s="26"/>
      <c r="I529" s="26"/>
      <c r="J529" s="26"/>
      <c r="X529" s="26"/>
      <c r="Y529" s="26"/>
    </row>
    <row r="530" spans="8:25" x14ac:dyDescent="0.2">
      <c r="H530" s="26"/>
      <c r="I530" s="26"/>
      <c r="J530" s="26"/>
      <c r="X530" s="26"/>
      <c r="Y530" s="26"/>
    </row>
    <row r="531" spans="8:25" x14ac:dyDescent="0.2">
      <c r="H531" s="26"/>
      <c r="I531" s="26"/>
      <c r="J531" s="26"/>
      <c r="X531" s="26"/>
      <c r="Y531" s="26"/>
    </row>
    <row r="532" spans="8:25" x14ac:dyDescent="0.2">
      <c r="H532" s="26"/>
      <c r="I532" s="26"/>
      <c r="J532" s="26"/>
      <c r="X532" s="26"/>
      <c r="Y532" s="26"/>
    </row>
    <row r="533" spans="8:25" x14ac:dyDescent="0.2">
      <c r="H533" s="26"/>
      <c r="I533" s="26"/>
      <c r="J533" s="26"/>
      <c r="X533" s="26"/>
      <c r="Y533" s="26"/>
    </row>
    <row r="534" spans="8:25" x14ac:dyDescent="0.2">
      <c r="H534" s="26"/>
      <c r="I534" s="26"/>
      <c r="J534" s="26"/>
      <c r="X534" s="26"/>
      <c r="Y534" s="26"/>
    </row>
    <row r="535" spans="8:25" x14ac:dyDescent="0.2">
      <c r="H535" s="26"/>
      <c r="I535" s="26"/>
      <c r="J535" s="26"/>
      <c r="X535" s="26"/>
      <c r="Y535" s="26"/>
    </row>
    <row r="536" spans="8:25" x14ac:dyDescent="0.2">
      <c r="H536" s="26"/>
      <c r="I536" s="26"/>
      <c r="J536" s="26"/>
      <c r="X536" s="26"/>
      <c r="Y536" s="26"/>
    </row>
    <row r="537" spans="8:25" x14ac:dyDescent="0.2">
      <c r="H537" s="26"/>
      <c r="I537" s="26"/>
      <c r="J537" s="26"/>
      <c r="X537" s="26"/>
      <c r="Y537" s="26"/>
    </row>
    <row r="538" spans="8:25" x14ac:dyDescent="0.2">
      <c r="H538" s="26"/>
      <c r="I538" s="26"/>
      <c r="J538" s="26"/>
      <c r="X538" s="26"/>
      <c r="Y538" s="26"/>
    </row>
    <row r="539" spans="8:25" x14ac:dyDescent="0.2">
      <c r="H539" s="26"/>
      <c r="I539" s="26"/>
      <c r="J539" s="26"/>
      <c r="X539" s="26"/>
      <c r="Y539" s="26"/>
    </row>
    <row r="540" spans="8:25" x14ac:dyDescent="0.2">
      <c r="H540" s="26"/>
      <c r="I540" s="26"/>
      <c r="J540" s="26"/>
      <c r="X540" s="26"/>
      <c r="Y540" s="26"/>
    </row>
    <row r="541" spans="8:25" x14ac:dyDescent="0.2">
      <c r="H541" s="26"/>
      <c r="I541" s="26"/>
      <c r="J541" s="26"/>
      <c r="X541" s="26"/>
      <c r="Y541" s="26"/>
    </row>
    <row r="542" spans="8:25" x14ac:dyDescent="0.2">
      <c r="H542" s="26"/>
      <c r="I542" s="26"/>
      <c r="J542" s="26"/>
      <c r="X542" s="26"/>
      <c r="Y542" s="26"/>
    </row>
    <row r="543" spans="8:25" x14ac:dyDescent="0.2">
      <c r="H543" s="26"/>
      <c r="I543" s="26"/>
      <c r="J543" s="26"/>
      <c r="X543" s="26"/>
      <c r="Y543" s="26"/>
    </row>
    <row r="544" spans="8:25" x14ac:dyDescent="0.2">
      <c r="H544" s="26"/>
      <c r="I544" s="26"/>
      <c r="J544" s="26"/>
      <c r="X544" s="26"/>
      <c r="Y544" s="26"/>
    </row>
    <row r="545" spans="8:25" x14ac:dyDescent="0.2">
      <c r="H545" s="26"/>
      <c r="I545" s="26"/>
      <c r="J545" s="26"/>
      <c r="X545" s="26"/>
      <c r="Y545" s="26"/>
    </row>
    <row r="546" spans="8:25" x14ac:dyDescent="0.2">
      <c r="H546" s="26"/>
      <c r="I546" s="26"/>
      <c r="J546" s="26"/>
      <c r="X546" s="26"/>
      <c r="Y546" s="26"/>
    </row>
    <row r="547" spans="8:25" x14ac:dyDescent="0.2">
      <c r="H547" s="26"/>
      <c r="I547" s="26"/>
      <c r="J547" s="26"/>
      <c r="X547" s="26"/>
      <c r="Y547" s="26"/>
    </row>
    <row r="548" spans="8:25" x14ac:dyDescent="0.2">
      <c r="H548" s="26"/>
      <c r="I548" s="26"/>
      <c r="J548" s="26"/>
      <c r="X548" s="26"/>
      <c r="Y548" s="26"/>
    </row>
    <row r="549" spans="8:25" x14ac:dyDescent="0.2">
      <c r="H549" s="26"/>
      <c r="I549" s="26"/>
      <c r="J549" s="26"/>
      <c r="X549" s="26"/>
      <c r="Y549" s="26"/>
    </row>
    <row r="550" spans="8:25" x14ac:dyDescent="0.2">
      <c r="H550" s="26"/>
      <c r="I550" s="26"/>
      <c r="J550" s="26"/>
      <c r="X550" s="26"/>
      <c r="Y550" s="26"/>
    </row>
    <row r="551" spans="8:25" x14ac:dyDescent="0.2">
      <c r="H551" s="26"/>
      <c r="I551" s="26"/>
      <c r="J551" s="26"/>
      <c r="X551" s="26"/>
      <c r="Y551" s="26"/>
    </row>
    <row r="552" spans="8:25" x14ac:dyDescent="0.2">
      <c r="H552" s="26"/>
      <c r="I552" s="26"/>
      <c r="J552" s="26"/>
      <c r="X552" s="26"/>
      <c r="Y552" s="26"/>
    </row>
    <row r="553" spans="8:25" x14ac:dyDescent="0.2">
      <c r="H553" s="26"/>
      <c r="I553" s="26"/>
      <c r="J553" s="26"/>
      <c r="X553" s="26"/>
      <c r="Y553" s="26"/>
    </row>
    <row r="554" spans="8:25" x14ac:dyDescent="0.2">
      <c r="H554" s="26"/>
      <c r="I554" s="26"/>
      <c r="J554" s="26"/>
      <c r="X554" s="26"/>
      <c r="Y554" s="26"/>
    </row>
    <row r="555" spans="8:25" x14ac:dyDescent="0.2">
      <c r="H555" s="26"/>
      <c r="I555" s="26"/>
      <c r="J555" s="26"/>
      <c r="X555" s="26"/>
      <c r="Y555" s="26"/>
    </row>
    <row r="556" spans="8:25" x14ac:dyDescent="0.2">
      <c r="H556" s="26"/>
      <c r="I556" s="26"/>
      <c r="J556" s="26"/>
      <c r="X556" s="26"/>
      <c r="Y556" s="26"/>
    </row>
    <row r="557" spans="8:25" x14ac:dyDescent="0.2">
      <c r="H557" s="26"/>
      <c r="I557" s="26"/>
      <c r="J557" s="26"/>
      <c r="X557" s="26"/>
      <c r="Y557" s="26"/>
    </row>
    <row r="558" spans="8:25" x14ac:dyDescent="0.2">
      <c r="H558" s="26"/>
      <c r="I558" s="26"/>
      <c r="J558" s="26"/>
      <c r="X558" s="26"/>
      <c r="Y558" s="26"/>
    </row>
    <row r="559" spans="8:25" x14ac:dyDescent="0.2">
      <c r="H559" s="26"/>
      <c r="I559" s="26"/>
      <c r="J559" s="26"/>
      <c r="X559" s="26"/>
      <c r="Y559" s="26"/>
    </row>
    <row r="560" spans="8:25" x14ac:dyDescent="0.2">
      <c r="H560" s="26"/>
      <c r="I560" s="26"/>
      <c r="J560" s="26"/>
      <c r="X560" s="26"/>
      <c r="Y560" s="26"/>
    </row>
    <row r="561" spans="8:25" x14ac:dyDescent="0.2">
      <c r="H561" s="26"/>
      <c r="I561" s="26"/>
      <c r="J561" s="26"/>
      <c r="X561" s="26"/>
      <c r="Y561" s="26"/>
    </row>
    <row r="562" spans="8:25" x14ac:dyDescent="0.2">
      <c r="H562" s="26"/>
      <c r="I562" s="26"/>
      <c r="J562" s="26"/>
      <c r="X562" s="26"/>
      <c r="Y562" s="26"/>
    </row>
    <row r="563" spans="8:25" x14ac:dyDescent="0.2">
      <c r="H563" s="26"/>
      <c r="I563" s="26"/>
      <c r="J563" s="26"/>
      <c r="X563" s="26"/>
      <c r="Y563" s="26"/>
    </row>
    <row r="564" spans="8:25" x14ac:dyDescent="0.2">
      <c r="H564" s="26"/>
      <c r="I564" s="26"/>
      <c r="J564" s="26"/>
      <c r="X564" s="26"/>
      <c r="Y564" s="26"/>
    </row>
    <row r="565" spans="8:25" x14ac:dyDescent="0.2">
      <c r="H565" s="26"/>
      <c r="I565" s="26"/>
      <c r="J565" s="26"/>
      <c r="X565" s="26"/>
      <c r="Y565" s="26"/>
    </row>
    <row r="566" spans="8:25" x14ac:dyDescent="0.2">
      <c r="H566" s="26"/>
      <c r="I566" s="26"/>
      <c r="J566" s="26"/>
      <c r="X566" s="26"/>
      <c r="Y566" s="26"/>
    </row>
    <row r="567" spans="8:25" x14ac:dyDescent="0.2">
      <c r="H567" s="26"/>
      <c r="I567" s="26"/>
      <c r="J567" s="26"/>
      <c r="X567" s="26"/>
      <c r="Y567" s="26"/>
    </row>
    <row r="568" spans="8:25" x14ac:dyDescent="0.2">
      <c r="H568" s="26"/>
      <c r="I568" s="26"/>
      <c r="J568" s="26"/>
      <c r="X568" s="26"/>
      <c r="Y568" s="26"/>
    </row>
    <row r="569" spans="8:25" x14ac:dyDescent="0.2">
      <c r="H569" s="26"/>
      <c r="I569" s="26"/>
      <c r="J569" s="26"/>
      <c r="X569" s="26"/>
      <c r="Y569" s="26"/>
    </row>
    <row r="570" spans="8:25" x14ac:dyDescent="0.2">
      <c r="H570" s="26"/>
      <c r="I570" s="26"/>
      <c r="J570" s="26"/>
      <c r="X570" s="26"/>
      <c r="Y570" s="26"/>
    </row>
    <row r="571" spans="8:25" x14ac:dyDescent="0.2">
      <c r="H571" s="26"/>
      <c r="I571" s="26"/>
      <c r="J571" s="26"/>
      <c r="X571" s="26"/>
      <c r="Y571" s="26"/>
    </row>
    <row r="572" spans="8:25" x14ac:dyDescent="0.2">
      <c r="H572" s="26"/>
      <c r="I572" s="26"/>
      <c r="J572" s="26"/>
      <c r="X572" s="26"/>
      <c r="Y572" s="26"/>
    </row>
    <row r="573" spans="8:25" x14ac:dyDescent="0.2">
      <c r="H573" s="26"/>
      <c r="I573" s="26"/>
      <c r="J573" s="26"/>
      <c r="X573" s="26"/>
      <c r="Y573" s="26"/>
    </row>
    <row r="574" spans="8:25" x14ac:dyDescent="0.2">
      <c r="H574" s="26"/>
      <c r="I574" s="26"/>
      <c r="J574" s="26"/>
      <c r="X574" s="26"/>
      <c r="Y574" s="26"/>
    </row>
    <row r="575" spans="8:25" x14ac:dyDescent="0.2">
      <c r="H575" s="26"/>
      <c r="I575" s="26"/>
      <c r="J575" s="26"/>
      <c r="X575" s="26"/>
      <c r="Y575" s="26"/>
    </row>
    <row r="576" spans="8:25" x14ac:dyDescent="0.2">
      <c r="H576" s="26"/>
      <c r="I576" s="26"/>
      <c r="J576" s="26"/>
      <c r="X576" s="26"/>
      <c r="Y576" s="26"/>
    </row>
    <row r="577" spans="8:25" x14ac:dyDescent="0.2">
      <c r="H577" s="26"/>
      <c r="I577" s="26"/>
      <c r="J577" s="26"/>
      <c r="X577" s="26"/>
      <c r="Y577" s="26"/>
    </row>
    <row r="578" spans="8:25" x14ac:dyDescent="0.2">
      <c r="H578" s="26"/>
      <c r="I578" s="26"/>
      <c r="J578" s="26"/>
      <c r="X578" s="26"/>
      <c r="Y578" s="26"/>
    </row>
    <row r="579" spans="8:25" x14ac:dyDescent="0.2">
      <c r="H579" s="26"/>
      <c r="I579" s="26"/>
      <c r="J579" s="26"/>
      <c r="X579" s="26"/>
      <c r="Y579" s="26"/>
    </row>
    <row r="580" spans="8:25" x14ac:dyDescent="0.2">
      <c r="H580" s="26"/>
      <c r="I580" s="26"/>
      <c r="J580" s="26"/>
      <c r="X580" s="26"/>
      <c r="Y580" s="26"/>
    </row>
    <row r="581" spans="8:25" x14ac:dyDescent="0.2">
      <c r="H581" s="26"/>
      <c r="I581" s="26"/>
      <c r="J581" s="26"/>
      <c r="X581" s="26"/>
      <c r="Y581" s="26"/>
    </row>
    <row r="582" spans="8:25" x14ac:dyDescent="0.2">
      <c r="H582" s="26"/>
      <c r="I582" s="26"/>
      <c r="J582" s="26"/>
      <c r="X582" s="26"/>
      <c r="Y582" s="26"/>
    </row>
    <row r="583" spans="8:25" x14ac:dyDescent="0.2">
      <c r="H583" s="26"/>
      <c r="I583" s="26"/>
      <c r="J583" s="26"/>
      <c r="X583" s="26"/>
      <c r="Y583" s="26"/>
    </row>
    <row r="584" spans="8:25" x14ac:dyDescent="0.2">
      <c r="H584" s="26"/>
      <c r="I584" s="26"/>
      <c r="J584" s="26"/>
      <c r="X584" s="26"/>
      <c r="Y584" s="26"/>
    </row>
    <row r="585" spans="8:25" x14ac:dyDescent="0.2">
      <c r="H585" s="26"/>
      <c r="I585" s="26"/>
      <c r="J585" s="26"/>
      <c r="X585" s="26"/>
      <c r="Y585" s="26"/>
    </row>
    <row r="586" spans="8:25" x14ac:dyDescent="0.2">
      <c r="H586" s="26"/>
      <c r="I586" s="26"/>
      <c r="J586" s="26"/>
      <c r="X586" s="26"/>
      <c r="Y586" s="26"/>
    </row>
    <row r="587" spans="8:25" x14ac:dyDescent="0.2">
      <c r="H587" s="26"/>
      <c r="I587" s="26"/>
      <c r="J587" s="26"/>
      <c r="X587" s="26"/>
      <c r="Y587" s="26"/>
    </row>
    <row r="588" spans="8:25" x14ac:dyDescent="0.2">
      <c r="H588" s="26"/>
      <c r="I588" s="26"/>
      <c r="J588" s="26"/>
      <c r="X588" s="26"/>
      <c r="Y588" s="26"/>
    </row>
    <row r="589" spans="8:25" x14ac:dyDescent="0.2">
      <c r="H589" s="26"/>
      <c r="I589" s="26"/>
      <c r="J589" s="26"/>
      <c r="X589" s="26"/>
      <c r="Y589" s="26"/>
    </row>
    <row r="590" spans="8:25" x14ac:dyDescent="0.2">
      <c r="H590" s="26"/>
      <c r="I590" s="26"/>
      <c r="J590" s="26"/>
      <c r="X590" s="26"/>
      <c r="Y590" s="26"/>
    </row>
    <row r="591" spans="8:25" x14ac:dyDescent="0.2">
      <c r="H591" s="26"/>
      <c r="I591" s="26"/>
      <c r="J591" s="26"/>
      <c r="X591" s="26"/>
      <c r="Y591" s="26"/>
    </row>
    <row r="592" spans="8:25" x14ac:dyDescent="0.2">
      <c r="H592" s="26"/>
      <c r="I592" s="26"/>
      <c r="J592" s="26"/>
      <c r="X592" s="26"/>
      <c r="Y592" s="26"/>
    </row>
    <row r="593" spans="8:25" x14ac:dyDescent="0.2">
      <c r="H593" s="26"/>
      <c r="I593" s="26"/>
      <c r="J593" s="26"/>
      <c r="X593" s="26"/>
      <c r="Y593" s="26"/>
    </row>
    <row r="594" spans="8:25" x14ac:dyDescent="0.2">
      <c r="H594" s="26"/>
      <c r="I594" s="26"/>
      <c r="J594" s="26"/>
      <c r="X594" s="26"/>
      <c r="Y594" s="26"/>
    </row>
    <row r="595" spans="8:25" x14ac:dyDescent="0.2">
      <c r="H595" s="26"/>
      <c r="I595" s="26"/>
      <c r="J595" s="26"/>
      <c r="X595" s="26"/>
      <c r="Y595" s="26"/>
    </row>
    <row r="596" spans="8:25" x14ac:dyDescent="0.2">
      <c r="H596" s="26"/>
      <c r="I596" s="26"/>
      <c r="J596" s="26"/>
      <c r="X596" s="26"/>
      <c r="Y596" s="26"/>
    </row>
    <row r="597" spans="8:25" x14ac:dyDescent="0.2">
      <c r="H597" s="26"/>
      <c r="I597" s="26"/>
      <c r="J597" s="26"/>
      <c r="X597" s="26"/>
      <c r="Y597" s="26"/>
    </row>
    <row r="598" spans="8:25" x14ac:dyDescent="0.2">
      <c r="H598" s="26"/>
      <c r="I598" s="26"/>
      <c r="J598" s="26"/>
      <c r="X598" s="26"/>
      <c r="Y598" s="26"/>
    </row>
    <row r="599" spans="8:25" x14ac:dyDescent="0.2">
      <c r="H599" s="26"/>
      <c r="I599" s="26"/>
      <c r="J599" s="26"/>
      <c r="X599" s="26"/>
      <c r="Y599" s="26"/>
    </row>
    <row r="600" spans="8:25" x14ac:dyDescent="0.2">
      <c r="H600" s="26"/>
      <c r="I600" s="26"/>
      <c r="J600" s="26"/>
      <c r="X600" s="26"/>
      <c r="Y600" s="26"/>
    </row>
    <row r="601" spans="8:25" x14ac:dyDescent="0.2">
      <c r="H601" s="26"/>
      <c r="I601" s="26"/>
      <c r="J601" s="26"/>
      <c r="X601" s="26"/>
      <c r="Y601" s="26"/>
    </row>
    <row r="602" spans="8:25" x14ac:dyDescent="0.2">
      <c r="H602" s="26"/>
      <c r="I602" s="26"/>
      <c r="J602" s="26"/>
      <c r="X602" s="26"/>
      <c r="Y602" s="26"/>
    </row>
    <row r="603" spans="8:25" x14ac:dyDescent="0.2">
      <c r="H603" s="26"/>
      <c r="I603" s="26"/>
      <c r="J603" s="26"/>
      <c r="X603" s="26"/>
      <c r="Y603" s="26"/>
    </row>
    <row r="604" spans="8:25" x14ac:dyDescent="0.2">
      <c r="H604" s="26"/>
      <c r="I604" s="26"/>
      <c r="J604" s="26"/>
      <c r="X604" s="26"/>
      <c r="Y604" s="26"/>
    </row>
    <row r="605" spans="8:25" x14ac:dyDescent="0.2">
      <c r="H605" s="26"/>
      <c r="I605" s="26"/>
      <c r="J605" s="26"/>
      <c r="X605" s="26"/>
      <c r="Y605" s="26"/>
    </row>
    <row r="606" spans="8:25" x14ac:dyDescent="0.2">
      <c r="H606" s="26"/>
      <c r="I606" s="26"/>
      <c r="J606" s="26"/>
      <c r="X606" s="26"/>
      <c r="Y606" s="26"/>
    </row>
    <row r="607" spans="8:25" x14ac:dyDescent="0.2">
      <c r="H607" s="26"/>
      <c r="I607" s="26"/>
      <c r="J607" s="26"/>
      <c r="X607" s="26"/>
      <c r="Y607" s="26"/>
    </row>
    <row r="608" spans="8:25" x14ac:dyDescent="0.2">
      <c r="H608" s="26"/>
      <c r="I608" s="26"/>
      <c r="J608" s="26"/>
      <c r="X608" s="26"/>
      <c r="Y608" s="26"/>
    </row>
    <row r="609" spans="8:25" x14ac:dyDescent="0.2">
      <c r="H609" s="26"/>
      <c r="I609" s="26"/>
      <c r="J609" s="26"/>
      <c r="X609" s="26"/>
      <c r="Y609" s="26"/>
    </row>
    <row r="610" spans="8:25" x14ac:dyDescent="0.2">
      <c r="H610" s="26"/>
      <c r="I610" s="26"/>
      <c r="J610" s="26"/>
      <c r="X610" s="26"/>
      <c r="Y610" s="26"/>
    </row>
    <row r="611" spans="8:25" x14ac:dyDescent="0.2">
      <c r="H611" s="26"/>
      <c r="I611" s="26"/>
      <c r="J611" s="26"/>
      <c r="X611" s="26"/>
      <c r="Y611" s="26"/>
    </row>
    <row r="612" spans="8:25" x14ac:dyDescent="0.2">
      <c r="H612" s="26"/>
      <c r="I612" s="26"/>
      <c r="J612" s="26"/>
      <c r="X612" s="26"/>
      <c r="Y612" s="26"/>
    </row>
    <row r="613" spans="8:25" x14ac:dyDescent="0.2">
      <c r="H613" s="26"/>
      <c r="I613" s="26"/>
      <c r="J613" s="26"/>
      <c r="X613" s="26"/>
      <c r="Y613" s="26"/>
    </row>
    <row r="614" spans="8:25" x14ac:dyDescent="0.2">
      <c r="H614" s="26"/>
      <c r="I614" s="26"/>
      <c r="J614" s="26"/>
      <c r="X614" s="26"/>
      <c r="Y614" s="26"/>
    </row>
    <row r="615" spans="8:25" x14ac:dyDescent="0.2">
      <c r="H615" s="26"/>
      <c r="I615" s="26"/>
      <c r="J615" s="26"/>
      <c r="X615" s="26"/>
      <c r="Y615" s="26"/>
    </row>
    <row r="616" spans="8:25" x14ac:dyDescent="0.2">
      <c r="H616" s="26"/>
      <c r="I616" s="26"/>
      <c r="J616" s="26"/>
      <c r="X616" s="26"/>
      <c r="Y616" s="26"/>
    </row>
    <row r="617" spans="8:25" x14ac:dyDescent="0.2">
      <c r="H617" s="26"/>
      <c r="I617" s="26"/>
      <c r="J617" s="26"/>
      <c r="X617" s="26"/>
      <c r="Y617" s="26"/>
    </row>
    <row r="618" spans="8:25" x14ac:dyDescent="0.2">
      <c r="H618" s="26"/>
      <c r="I618" s="26"/>
      <c r="J618" s="26"/>
      <c r="X618" s="26"/>
      <c r="Y618" s="26"/>
    </row>
    <row r="619" spans="8:25" x14ac:dyDescent="0.2">
      <c r="H619" s="26"/>
      <c r="I619" s="26"/>
      <c r="J619" s="26"/>
      <c r="X619" s="26"/>
      <c r="Y619" s="26"/>
    </row>
    <row r="620" spans="8:25" x14ac:dyDescent="0.2">
      <c r="H620" s="26"/>
      <c r="I620" s="26"/>
      <c r="J620" s="26"/>
      <c r="X620" s="26"/>
      <c r="Y620" s="26"/>
    </row>
    <row r="621" spans="8:25" x14ac:dyDescent="0.2">
      <c r="H621" s="26"/>
      <c r="I621" s="26"/>
      <c r="J621" s="26"/>
      <c r="X621" s="26"/>
      <c r="Y621" s="26"/>
    </row>
    <row r="622" spans="8:25" x14ac:dyDescent="0.2">
      <c r="H622" s="26"/>
      <c r="I622" s="26"/>
      <c r="J622" s="26"/>
      <c r="X622" s="26"/>
      <c r="Y622" s="26"/>
    </row>
    <row r="623" spans="8:25" x14ac:dyDescent="0.2">
      <c r="H623" s="26"/>
      <c r="I623" s="26"/>
      <c r="J623" s="26"/>
      <c r="X623" s="26"/>
      <c r="Y623" s="26"/>
    </row>
    <row r="624" spans="8:25" x14ac:dyDescent="0.2">
      <c r="H624" s="26"/>
      <c r="I624" s="26"/>
      <c r="J624" s="26"/>
      <c r="X624" s="26"/>
      <c r="Y624" s="26"/>
    </row>
    <row r="625" spans="8:25" x14ac:dyDescent="0.2">
      <c r="H625" s="26"/>
      <c r="I625" s="26"/>
      <c r="J625" s="26"/>
      <c r="X625" s="26"/>
      <c r="Y625" s="26"/>
    </row>
    <row r="626" spans="8:25" x14ac:dyDescent="0.2">
      <c r="H626" s="26"/>
      <c r="I626" s="26"/>
      <c r="J626" s="26"/>
      <c r="X626" s="26"/>
      <c r="Y626" s="26"/>
    </row>
    <row r="627" spans="8:25" x14ac:dyDescent="0.2">
      <c r="H627" s="26"/>
      <c r="I627" s="26"/>
      <c r="J627" s="26"/>
      <c r="X627" s="26"/>
      <c r="Y627" s="26"/>
    </row>
    <row r="628" spans="8:25" x14ac:dyDescent="0.2">
      <c r="H628" s="26"/>
      <c r="I628" s="26"/>
      <c r="J628" s="26"/>
      <c r="X628" s="26"/>
      <c r="Y628" s="26"/>
    </row>
    <row r="629" spans="8:25" x14ac:dyDescent="0.2">
      <c r="H629" s="26"/>
      <c r="I629" s="26"/>
      <c r="J629" s="26"/>
      <c r="X629" s="26"/>
      <c r="Y629" s="26"/>
    </row>
    <row r="630" spans="8:25" x14ac:dyDescent="0.2">
      <c r="H630" s="26"/>
      <c r="I630" s="26"/>
      <c r="J630" s="26"/>
      <c r="X630" s="26"/>
      <c r="Y630" s="26"/>
    </row>
    <row r="631" spans="8:25" x14ac:dyDescent="0.2">
      <c r="H631" s="26"/>
      <c r="I631" s="26"/>
      <c r="J631" s="26"/>
      <c r="X631" s="26"/>
      <c r="Y631" s="26"/>
    </row>
    <row r="632" spans="8:25" x14ac:dyDescent="0.2">
      <c r="H632" s="26"/>
      <c r="I632" s="26"/>
      <c r="J632" s="26"/>
      <c r="X632" s="26"/>
      <c r="Y632" s="26"/>
    </row>
    <row r="633" spans="8:25" x14ac:dyDescent="0.2">
      <c r="H633" s="26"/>
      <c r="I633" s="26"/>
      <c r="J633" s="26"/>
      <c r="X633" s="26"/>
      <c r="Y633" s="26"/>
    </row>
    <row r="634" spans="8:25" x14ac:dyDescent="0.2">
      <c r="H634" s="26"/>
      <c r="I634" s="26"/>
      <c r="J634" s="26"/>
      <c r="X634" s="26"/>
      <c r="Y634" s="26"/>
    </row>
    <row r="635" spans="8:25" x14ac:dyDescent="0.2">
      <c r="H635" s="26"/>
      <c r="I635" s="26"/>
      <c r="J635" s="26"/>
      <c r="X635" s="26"/>
      <c r="Y635" s="26"/>
    </row>
    <row r="636" spans="8:25" x14ac:dyDescent="0.2">
      <c r="H636" s="26"/>
      <c r="I636" s="26"/>
      <c r="J636" s="26"/>
      <c r="X636" s="26"/>
      <c r="Y636" s="26"/>
    </row>
    <row r="637" spans="8:25" x14ac:dyDescent="0.2">
      <c r="H637" s="26"/>
      <c r="I637" s="26"/>
      <c r="J637" s="26"/>
      <c r="X637" s="26"/>
      <c r="Y637" s="26"/>
    </row>
    <row r="638" spans="8:25" x14ac:dyDescent="0.2">
      <c r="H638" s="26"/>
      <c r="I638" s="26"/>
      <c r="J638" s="26"/>
      <c r="X638" s="26"/>
      <c r="Y638" s="26"/>
    </row>
    <row r="639" spans="8:25" x14ac:dyDescent="0.2">
      <c r="H639" s="26"/>
      <c r="I639" s="26"/>
      <c r="J639" s="26"/>
      <c r="X639" s="26"/>
      <c r="Y639" s="26"/>
    </row>
    <row r="640" spans="8:25" x14ac:dyDescent="0.2">
      <c r="H640" s="26"/>
      <c r="I640" s="26"/>
      <c r="J640" s="26"/>
      <c r="X640" s="26"/>
      <c r="Y640" s="26"/>
    </row>
    <row r="641" spans="8:25" x14ac:dyDescent="0.2">
      <c r="H641" s="26"/>
      <c r="I641" s="26"/>
      <c r="J641" s="26"/>
      <c r="X641" s="26"/>
      <c r="Y641" s="26"/>
    </row>
    <row r="642" spans="8:25" x14ac:dyDescent="0.2">
      <c r="H642" s="26"/>
      <c r="I642" s="26"/>
      <c r="J642" s="26"/>
      <c r="X642" s="26"/>
      <c r="Y642" s="26"/>
    </row>
    <row r="643" spans="8:25" x14ac:dyDescent="0.2">
      <c r="H643" s="26"/>
      <c r="I643" s="26"/>
      <c r="J643" s="26"/>
      <c r="X643" s="26"/>
      <c r="Y643" s="26"/>
    </row>
    <row r="644" spans="8:25" x14ac:dyDescent="0.2">
      <c r="H644" s="26"/>
      <c r="I644" s="26"/>
      <c r="J644" s="26"/>
      <c r="X644" s="26"/>
      <c r="Y644" s="26"/>
    </row>
    <row r="645" spans="8:25" x14ac:dyDescent="0.2">
      <c r="H645" s="26"/>
      <c r="I645" s="26"/>
      <c r="J645" s="26"/>
      <c r="X645" s="26"/>
      <c r="Y645" s="26"/>
    </row>
    <row r="646" spans="8:25" x14ac:dyDescent="0.2">
      <c r="H646" s="26"/>
      <c r="I646" s="26"/>
      <c r="J646" s="26"/>
      <c r="X646" s="26"/>
      <c r="Y646" s="26"/>
    </row>
    <row r="647" spans="8:25" x14ac:dyDescent="0.2">
      <c r="H647" s="26"/>
      <c r="I647" s="26"/>
      <c r="J647" s="26"/>
      <c r="X647" s="26"/>
      <c r="Y647" s="26"/>
    </row>
    <row r="648" spans="8:25" x14ac:dyDescent="0.2">
      <c r="H648" s="26"/>
      <c r="I648" s="26"/>
      <c r="J648" s="26"/>
      <c r="X648" s="26"/>
      <c r="Y648" s="26"/>
    </row>
    <row r="649" spans="8:25" x14ac:dyDescent="0.2">
      <c r="H649" s="26"/>
      <c r="I649" s="26"/>
      <c r="J649" s="26"/>
      <c r="X649" s="26"/>
      <c r="Y649" s="26"/>
    </row>
    <row r="650" spans="8:25" x14ac:dyDescent="0.2">
      <c r="H650" s="26"/>
      <c r="I650" s="26"/>
      <c r="J650" s="26"/>
      <c r="X650" s="26"/>
      <c r="Y650" s="26"/>
    </row>
    <row r="651" spans="8:25" x14ac:dyDescent="0.2">
      <c r="H651" s="26"/>
      <c r="I651" s="26"/>
      <c r="J651" s="26"/>
      <c r="X651" s="26"/>
      <c r="Y651" s="26"/>
    </row>
    <row r="652" spans="8:25" x14ac:dyDescent="0.2">
      <c r="H652" s="26"/>
      <c r="I652" s="26"/>
      <c r="J652" s="26"/>
      <c r="X652" s="26"/>
      <c r="Y652" s="26"/>
    </row>
    <row r="653" spans="8:25" x14ac:dyDescent="0.2">
      <c r="H653" s="26"/>
      <c r="I653" s="26"/>
      <c r="J653" s="26"/>
      <c r="X653" s="26"/>
      <c r="Y653" s="26"/>
    </row>
    <row r="654" spans="8:25" x14ac:dyDescent="0.2">
      <c r="H654" s="26"/>
      <c r="I654" s="26"/>
      <c r="J654" s="26"/>
      <c r="X654" s="26"/>
      <c r="Y654" s="26"/>
    </row>
    <row r="655" spans="8:25" x14ac:dyDescent="0.2">
      <c r="H655" s="26"/>
      <c r="I655" s="26"/>
      <c r="J655" s="26"/>
      <c r="X655" s="26"/>
      <c r="Y655" s="26"/>
    </row>
    <row r="656" spans="8:25" x14ac:dyDescent="0.2">
      <c r="H656" s="26"/>
      <c r="I656" s="26"/>
      <c r="J656" s="26"/>
      <c r="X656" s="26"/>
      <c r="Y656" s="26"/>
    </row>
    <row r="657" spans="8:25" x14ac:dyDescent="0.2">
      <c r="H657" s="26"/>
      <c r="I657" s="26"/>
      <c r="J657" s="26"/>
      <c r="X657" s="26"/>
      <c r="Y657" s="26"/>
    </row>
    <row r="658" spans="8:25" x14ac:dyDescent="0.2">
      <c r="H658" s="26"/>
      <c r="I658" s="26"/>
      <c r="J658" s="26"/>
      <c r="X658" s="26"/>
      <c r="Y658" s="26"/>
    </row>
    <row r="659" spans="8:25" x14ac:dyDescent="0.2">
      <c r="H659" s="26"/>
      <c r="I659" s="26"/>
      <c r="J659" s="26"/>
      <c r="X659" s="26"/>
      <c r="Y659" s="26"/>
    </row>
    <row r="660" spans="8:25" x14ac:dyDescent="0.2">
      <c r="H660" s="26"/>
      <c r="I660" s="26"/>
      <c r="J660" s="26"/>
      <c r="X660" s="26"/>
      <c r="Y660" s="26"/>
    </row>
    <row r="661" spans="8:25" x14ac:dyDescent="0.2">
      <c r="H661" s="26"/>
      <c r="I661" s="26"/>
      <c r="J661" s="26"/>
      <c r="X661" s="26"/>
      <c r="Y661" s="26"/>
    </row>
    <row r="662" spans="8:25" x14ac:dyDescent="0.2">
      <c r="H662" s="26"/>
      <c r="I662" s="26"/>
      <c r="J662" s="26"/>
      <c r="X662" s="26"/>
      <c r="Y662" s="26"/>
    </row>
    <row r="663" spans="8:25" x14ac:dyDescent="0.2">
      <c r="H663" s="26"/>
      <c r="I663" s="26"/>
      <c r="J663" s="26"/>
      <c r="X663" s="26"/>
      <c r="Y663" s="26"/>
    </row>
    <row r="664" spans="8:25" x14ac:dyDescent="0.2">
      <c r="H664" s="26"/>
      <c r="I664" s="26"/>
      <c r="J664" s="26"/>
      <c r="X664" s="26"/>
      <c r="Y664" s="26"/>
    </row>
    <row r="665" spans="8:25" x14ac:dyDescent="0.2">
      <c r="H665" s="26"/>
      <c r="I665" s="26"/>
      <c r="J665" s="26"/>
      <c r="X665" s="26"/>
      <c r="Y665" s="26"/>
    </row>
    <row r="666" spans="8:25" x14ac:dyDescent="0.2">
      <c r="H666" s="26"/>
      <c r="I666" s="26"/>
      <c r="J666" s="26"/>
      <c r="X666" s="26"/>
      <c r="Y666" s="26"/>
    </row>
    <row r="667" spans="8:25" x14ac:dyDescent="0.2">
      <c r="H667" s="26"/>
      <c r="I667" s="26"/>
      <c r="J667" s="26"/>
      <c r="X667" s="26"/>
      <c r="Y667" s="26"/>
    </row>
    <row r="668" spans="8:25" x14ac:dyDescent="0.2">
      <c r="H668" s="26"/>
      <c r="I668" s="26"/>
      <c r="J668" s="26"/>
      <c r="X668" s="26"/>
      <c r="Y668" s="26"/>
    </row>
    <row r="669" spans="8:25" x14ac:dyDescent="0.2">
      <c r="H669" s="26"/>
      <c r="I669" s="26"/>
      <c r="J669" s="26"/>
      <c r="X669" s="26"/>
      <c r="Y669" s="26"/>
    </row>
    <row r="670" spans="8:25" x14ac:dyDescent="0.2">
      <c r="H670" s="26"/>
      <c r="I670" s="26"/>
      <c r="J670" s="26"/>
      <c r="X670" s="26"/>
      <c r="Y670" s="26"/>
    </row>
    <row r="671" spans="8:25" x14ac:dyDescent="0.2">
      <c r="H671" s="26"/>
      <c r="I671" s="26"/>
      <c r="J671" s="26"/>
      <c r="X671" s="26"/>
      <c r="Y671" s="26"/>
    </row>
    <row r="672" spans="8:25" x14ac:dyDescent="0.2">
      <c r="H672" s="26"/>
      <c r="I672" s="26"/>
      <c r="J672" s="26"/>
      <c r="X672" s="26"/>
      <c r="Y672" s="26"/>
    </row>
    <row r="673" spans="8:25" x14ac:dyDescent="0.2">
      <c r="H673" s="26"/>
      <c r="I673" s="26"/>
      <c r="J673" s="26"/>
      <c r="X673" s="26"/>
      <c r="Y673" s="26"/>
    </row>
    <row r="674" spans="8:25" x14ac:dyDescent="0.2">
      <c r="H674" s="26"/>
      <c r="I674" s="26"/>
      <c r="J674" s="26"/>
      <c r="X674" s="26"/>
      <c r="Y674" s="26"/>
    </row>
    <row r="675" spans="8:25" x14ac:dyDescent="0.2">
      <c r="H675" s="26"/>
      <c r="I675" s="26"/>
      <c r="J675" s="26"/>
      <c r="X675" s="26"/>
      <c r="Y675" s="26"/>
    </row>
    <row r="676" spans="8:25" x14ac:dyDescent="0.2">
      <c r="H676" s="26"/>
      <c r="I676" s="26"/>
      <c r="J676" s="26"/>
      <c r="X676" s="26"/>
      <c r="Y676" s="26"/>
    </row>
    <row r="677" spans="8:25" x14ac:dyDescent="0.2">
      <c r="H677" s="26"/>
      <c r="I677" s="26"/>
      <c r="J677" s="26"/>
      <c r="X677" s="26"/>
      <c r="Y677" s="26"/>
    </row>
    <row r="678" spans="8:25" x14ac:dyDescent="0.2">
      <c r="H678" s="26"/>
      <c r="I678" s="26"/>
      <c r="J678" s="26"/>
      <c r="X678" s="26"/>
      <c r="Y678" s="26"/>
    </row>
    <row r="679" spans="8:25" x14ac:dyDescent="0.2">
      <c r="H679" s="26"/>
      <c r="I679" s="26"/>
      <c r="J679" s="26"/>
      <c r="X679" s="26"/>
      <c r="Y679" s="26"/>
    </row>
    <row r="680" spans="8:25" x14ac:dyDescent="0.2">
      <c r="H680" s="26"/>
      <c r="I680" s="26"/>
      <c r="J680" s="26"/>
      <c r="X680" s="26"/>
      <c r="Y680" s="26"/>
    </row>
    <row r="681" spans="8:25" x14ac:dyDescent="0.2">
      <c r="H681" s="26"/>
      <c r="I681" s="26"/>
      <c r="J681" s="26"/>
      <c r="X681" s="26"/>
      <c r="Y681" s="26"/>
    </row>
    <row r="682" spans="8:25" x14ac:dyDescent="0.2">
      <c r="H682" s="26"/>
      <c r="I682" s="26"/>
      <c r="J682" s="26"/>
      <c r="X682" s="26"/>
      <c r="Y682" s="26"/>
    </row>
    <row r="683" spans="8:25" x14ac:dyDescent="0.2">
      <c r="H683" s="26"/>
      <c r="I683" s="26"/>
      <c r="J683" s="26"/>
      <c r="X683" s="26"/>
      <c r="Y683" s="26"/>
    </row>
    <row r="684" spans="8:25" x14ac:dyDescent="0.2">
      <c r="H684" s="26"/>
      <c r="I684" s="26"/>
      <c r="J684" s="26"/>
      <c r="X684" s="26"/>
      <c r="Y684" s="26"/>
    </row>
    <row r="685" spans="8:25" x14ac:dyDescent="0.2">
      <c r="H685" s="26"/>
      <c r="I685" s="26"/>
      <c r="J685" s="26"/>
      <c r="X685" s="26"/>
      <c r="Y685" s="26"/>
    </row>
    <row r="686" spans="8:25" x14ac:dyDescent="0.2">
      <c r="H686" s="26"/>
      <c r="I686" s="26"/>
      <c r="J686" s="26"/>
      <c r="X686" s="26"/>
      <c r="Y686" s="26"/>
    </row>
    <row r="687" spans="8:25" x14ac:dyDescent="0.2">
      <c r="H687" s="26"/>
      <c r="I687" s="26"/>
      <c r="J687" s="26"/>
      <c r="X687" s="26"/>
      <c r="Y687" s="26"/>
    </row>
    <row r="688" spans="8:25" x14ac:dyDescent="0.2">
      <c r="H688" s="26"/>
      <c r="I688" s="26"/>
      <c r="J688" s="26"/>
      <c r="X688" s="26"/>
      <c r="Y688" s="26"/>
    </row>
    <row r="689" spans="8:25" x14ac:dyDescent="0.2">
      <c r="H689" s="26"/>
      <c r="I689" s="26"/>
      <c r="J689" s="26"/>
      <c r="X689" s="26"/>
      <c r="Y689" s="26"/>
    </row>
    <row r="690" spans="8:25" x14ac:dyDescent="0.2">
      <c r="H690" s="26"/>
      <c r="I690" s="26"/>
      <c r="J690" s="26"/>
      <c r="X690" s="26"/>
      <c r="Y690" s="26"/>
    </row>
    <row r="691" spans="8:25" x14ac:dyDescent="0.2">
      <c r="H691" s="26"/>
      <c r="I691" s="26"/>
      <c r="J691" s="26"/>
      <c r="X691" s="26"/>
      <c r="Y691" s="26"/>
    </row>
    <row r="692" spans="8:25" x14ac:dyDescent="0.2">
      <c r="H692" s="26"/>
      <c r="I692" s="26"/>
      <c r="J692" s="26"/>
      <c r="X692" s="26"/>
      <c r="Y692" s="26"/>
    </row>
    <row r="693" spans="8:25" x14ac:dyDescent="0.2">
      <c r="H693" s="26"/>
      <c r="I693" s="26"/>
      <c r="J693" s="26"/>
      <c r="X693" s="26"/>
      <c r="Y693" s="26"/>
    </row>
    <row r="694" spans="8:25" x14ac:dyDescent="0.2">
      <c r="H694" s="26"/>
      <c r="I694" s="26"/>
      <c r="J694" s="26"/>
      <c r="X694" s="26"/>
      <c r="Y694" s="26"/>
    </row>
    <row r="695" spans="8:25" x14ac:dyDescent="0.2">
      <c r="H695" s="26"/>
      <c r="I695" s="26"/>
      <c r="J695" s="26"/>
      <c r="X695" s="26"/>
      <c r="Y695" s="26"/>
    </row>
    <row r="696" spans="8:25" x14ac:dyDescent="0.2">
      <c r="H696" s="26"/>
      <c r="I696" s="26"/>
      <c r="J696" s="26"/>
      <c r="X696" s="26"/>
      <c r="Y696" s="26"/>
    </row>
    <row r="697" spans="8:25" x14ac:dyDescent="0.2">
      <c r="H697" s="26"/>
      <c r="I697" s="26"/>
      <c r="J697" s="26"/>
      <c r="X697" s="26"/>
      <c r="Y697" s="26"/>
    </row>
    <row r="698" spans="8:25" x14ac:dyDescent="0.2">
      <c r="H698" s="26"/>
      <c r="I698" s="26"/>
      <c r="J698" s="26"/>
      <c r="X698" s="26"/>
      <c r="Y698" s="26"/>
    </row>
    <row r="699" spans="8:25" x14ac:dyDescent="0.2">
      <c r="H699" s="26"/>
      <c r="I699" s="26"/>
      <c r="J699" s="26"/>
      <c r="X699" s="26"/>
      <c r="Y699" s="26"/>
    </row>
    <row r="700" spans="8:25" x14ac:dyDescent="0.2">
      <c r="H700" s="26"/>
      <c r="I700" s="26"/>
      <c r="J700" s="26"/>
      <c r="X700" s="26"/>
      <c r="Y700" s="26"/>
    </row>
    <row r="701" spans="8:25" x14ac:dyDescent="0.2">
      <c r="H701" s="26"/>
      <c r="I701" s="26"/>
      <c r="J701" s="26"/>
      <c r="X701" s="26"/>
      <c r="Y701" s="26"/>
    </row>
    <row r="702" spans="8:25" x14ac:dyDescent="0.2">
      <c r="H702" s="26"/>
      <c r="I702" s="26"/>
      <c r="J702" s="26"/>
      <c r="X702" s="26"/>
      <c r="Y702" s="26"/>
    </row>
    <row r="703" spans="8:25" x14ac:dyDescent="0.2">
      <c r="H703" s="26"/>
      <c r="I703" s="26"/>
      <c r="J703" s="26"/>
      <c r="X703" s="26"/>
      <c r="Y703" s="26"/>
    </row>
    <row r="704" spans="8:25" x14ac:dyDescent="0.2">
      <c r="H704" s="26"/>
      <c r="I704" s="26"/>
      <c r="J704" s="26"/>
      <c r="X704" s="26"/>
      <c r="Y704" s="26"/>
    </row>
    <row r="705" spans="8:25" x14ac:dyDescent="0.2">
      <c r="H705" s="26"/>
      <c r="I705" s="26"/>
      <c r="J705" s="26"/>
      <c r="X705" s="26"/>
      <c r="Y705" s="26"/>
    </row>
    <row r="706" spans="8:25" x14ac:dyDescent="0.2">
      <c r="H706" s="26"/>
      <c r="I706" s="26"/>
      <c r="J706" s="26"/>
      <c r="X706" s="26"/>
      <c r="Y706" s="26"/>
    </row>
    <row r="707" spans="8:25" x14ac:dyDescent="0.2">
      <c r="H707" s="26"/>
      <c r="I707" s="26"/>
      <c r="J707" s="26"/>
      <c r="X707" s="26"/>
      <c r="Y707" s="26"/>
    </row>
    <row r="708" spans="8:25" x14ac:dyDescent="0.2">
      <c r="H708" s="26"/>
      <c r="I708" s="26"/>
      <c r="J708" s="26"/>
      <c r="X708" s="26"/>
      <c r="Y708" s="26"/>
    </row>
    <row r="709" spans="8:25" x14ac:dyDescent="0.2">
      <c r="H709" s="26"/>
      <c r="I709" s="26"/>
      <c r="J709" s="26"/>
      <c r="X709" s="26"/>
      <c r="Y709" s="26"/>
    </row>
    <row r="710" spans="8:25" x14ac:dyDescent="0.2">
      <c r="H710" s="26"/>
      <c r="I710" s="26"/>
      <c r="J710" s="26"/>
      <c r="X710" s="26"/>
      <c r="Y710" s="26"/>
    </row>
    <row r="711" spans="8:25" x14ac:dyDescent="0.2">
      <c r="H711" s="26"/>
      <c r="I711" s="26"/>
      <c r="J711" s="26"/>
      <c r="X711" s="26"/>
      <c r="Y711" s="26"/>
    </row>
    <row r="712" spans="8:25" x14ac:dyDescent="0.2">
      <c r="H712" s="26"/>
      <c r="I712" s="26"/>
      <c r="J712" s="26"/>
      <c r="X712" s="26"/>
      <c r="Y712" s="26"/>
    </row>
    <row r="713" spans="8:25" x14ac:dyDescent="0.2">
      <c r="H713" s="26"/>
      <c r="I713" s="26"/>
      <c r="J713" s="26"/>
      <c r="X713" s="26"/>
      <c r="Y713" s="26"/>
    </row>
    <row r="714" spans="8:25" x14ac:dyDescent="0.2">
      <c r="H714" s="26"/>
      <c r="I714" s="26"/>
      <c r="J714" s="26"/>
      <c r="X714" s="26"/>
      <c r="Y714" s="26"/>
    </row>
    <row r="715" spans="8:25" x14ac:dyDescent="0.2">
      <c r="H715" s="26"/>
      <c r="I715" s="26"/>
      <c r="J715" s="26"/>
      <c r="X715" s="26"/>
      <c r="Y715" s="26"/>
    </row>
    <row r="716" spans="8:25" x14ac:dyDescent="0.2">
      <c r="H716" s="26"/>
      <c r="I716" s="26"/>
      <c r="J716" s="26"/>
      <c r="X716" s="26"/>
      <c r="Y716" s="26"/>
    </row>
    <row r="717" spans="8:25" x14ac:dyDescent="0.2">
      <c r="H717" s="26"/>
      <c r="I717" s="26"/>
      <c r="J717" s="26"/>
      <c r="X717" s="26"/>
      <c r="Y717" s="26"/>
    </row>
    <row r="718" spans="8:25" x14ac:dyDescent="0.2">
      <c r="H718" s="26"/>
      <c r="I718" s="26"/>
      <c r="J718" s="26"/>
      <c r="X718" s="26"/>
      <c r="Y718" s="26"/>
    </row>
    <row r="719" spans="8:25" x14ac:dyDescent="0.2">
      <c r="H719" s="26"/>
      <c r="I719" s="26"/>
      <c r="J719" s="26"/>
      <c r="X719" s="26"/>
      <c r="Y719" s="26"/>
    </row>
    <row r="720" spans="8:25" x14ac:dyDescent="0.2">
      <c r="H720" s="26"/>
      <c r="I720" s="26"/>
      <c r="J720" s="26"/>
      <c r="X720" s="26"/>
      <c r="Y720" s="26"/>
    </row>
    <row r="721" spans="8:25" x14ac:dyDescent="0.2">
      <c r="H721" s="26"/>
      <c r="I721" s="26"/>
      <c r="J721" s="26"/>
      <c r="X721" s="26"/>
      <c r="Y721" s="26"/>
    </row>
    <row r="722" spans="8:25" x14ac:dyDescent="0.2">
      <c r="H722" s="26"/>
      <c r="I722" s="26"/>
      <c r="J722" s="26"/>
      <c r="X722" s="26"/>
      <c r="Y722" s="26"/>
    </row>
    <row r="723" spans="8:25" x14ac:dyDescent="0.2">
      <c r="H723" s="26"/>
      <c r="I723" s="26"/>
      <c r="J723" s="26"/>
      <c r="X723" s="26"/>
      <c r="Y723" s="26"/>
    </row>
    <row r="724" spans="8:25" x14ac:dyDescent="0.2">
      <c r="H724" s="26"/>
      <c r="I724" s="26"/>
      <c r="J724" s="26"/>
      <c r="X724" s="26"/>
      <c r="Y724" s="26"/>
    </row>
    <row r="725" spans="8:25" x14ac:dyDescent="0.2">
      <c r="H725" s="26"/>
      <c r="I725" s="26"/>
      <c r="J725" s="26"/>
      <c r="X725" s="26"/>
      <c r="Y725" s="26"/>
    </row>
    <row r="726" spans="8:25" x14ac:dyDescent="0.2">
      <c r="H726" s="26"/>
      <c r="I726" s="26"/>
      <c r="J726" s="26"/>
      <c r="X726" s="26"/>
      <c r="Y726" s="26"/>
    </row>
    <row r="727" spans="8:25" x14ac:dyDescent="0.2">
      <c r="H727" s="26"/>
      <c r="I727" s="26"/>
      <c r="J727" s="26"/>
      <c r="X727" s="26"/>
      <c r="Y727" s="26"/>
    </row>
    <row r="728" spans="8:25" x14ac:dyDescent="0.2">
      <c r="H728" s="26"/>
      <c r="I728" s="26"/>
      <c r="J728" s="26"/>
      <c r="X728" s="26"/>
      <c r="Y728" s="26"/>
    </row>
    <row r="729" spans="8:25" x14ac:dyDescent="0.2">
      <c r="H729" s="26"/>
      <c r="I729" s="26"/>
      <c r="J729" s="26"/>
      <c r="X729" s="26"/>
      <c r="Y729" s="26"/>
    </row>
    <row r="730" spans="8:25" x14ac:dyDescent="0.2">
      <c r="H730" s="26"/>
      <c r="I730" s="26"/>
      <c r="J730" s="26"/>
      <c r="X730" s="26"/>
      <c r="Y730" s="26"/>
    </row>
    <row r="731" spans="8:25" x14ac:dyDescent="0.2">
      <c r="H731" s="26"/>
      <c r="I731" s="26"/>
      <c r="J731" s="26"/>
      <c r="X731" s="26"/>
      <c r="Y731" s="26"/>
    </row>
    <row r="732" spans="8:25" x14ac:dyDescent="0.2">
      <c r="H732" s="26"/>
      <c r="I732" s="26"/>
      <c r="J732" s="26"/>
      <c r="X732" s="26"/>
      <c r="Y732" s="26"/>
    </row>
    <row r="733" spans="8:25" x14ac:dyDescent="0.2">
      <c r="H733" s="26"/>
      <c r="I733" s="26"/>
      <c r="J733" s="26"/>
      <c r="X733" s="26"/>
      <c r="Y733" s="26"/>
    </row>
    <row r="734" spans="8:25" x14ac:dyDescent="0.2">
      <c r="H734" s="26"/>
      <c r="I734" s="26"/>
      <c r="J734" s="26"/>
      <c r="X734" s="26"/>
      <c r="Y734" s="26"/>
    </row>
    <row r="735" spans="8:25" x14ac:dyDescent="0.2">
      <c r="H735" s="26"/>
      <c r="I735" s="26"/>
      <c r="J735" s="26"/>
      <c r="X735" s="26"/>
      <c r="Y735" s="26"/>
    </row>
    <row r="736" spans="8:25" x14ac:dyDescent="0.2">
      <c r="H736" s="26"/>
      <c r="I736" s="26"/>
      <c r="J736" s="26"/>
      <c r="X736" s="26"/>
      <c r="Y736" s="26"/>
    </row>
    <row r="737" spans="8:25" x14ac:dyDescent="0.2">
      <c r="H737" s="26"/>
      <c r="I737" s="26"/>
      <c r="J737" s="26"/>
      <c r="X737" s="26"/>
      <c r="Y737" s="26"/>
    </row>
    <row r="738" spans="8:25" x14ac:dyDescent="0.2">
      <c r="H738" s="26"/>
      <c r="I738" s="26"/>
      <c r="J738" s="26"/>
      <c r="X738" s="26"/>
      <c r="Y738" s="26"/>
    </row>
    <row r="739" spans="8:25" x14ac:dyDescent="0.2">
      <c r="H739" s="26"/>
      <c r="I739" s="26"/>
      <c r="J739" s="26"/>
      <c r="X739" s="26"/>
      <c r="Y739" s="26"/>
    </row>
    <row r="740" spans="8:25" x14ac:dyDescent="0.2">
      <c r="H740" s="26"/>
      <c r="I740" s="26"/>
      <c r="J740" s="26"/>
      <c r="X740" s="26"/>
      <c r="Y740" s="26"/>
    </row>
    <row r="741" spans="8:25" x14ac:dyDescent="0.2">
      <c r="H741" s="26"/>
      <c r="I741" s="26"/>
      <c r="J741" s="26"/>
      <c r="X741" s="26"/>
      <c r="Y741" s="26"/>
    </row>
    <row r="742" spans="8:25" x14ac:dyDescent="0.2">
      <c r="H742" s="26"/>
      <c r="I742" s="26"/>
      <c r="J742" s="26"/>
      <c r="X742" s="26"/>
      <c r="Y742" s="26"/>
    </row>
    <row r="743" spans="8:25" x14ac:dyDescent="0.2">
      <c r="H743" s="26"/>
      <c r="I743" s="26"/>
      <c r="J743" s="26"/>
      <c r="X743" s="26"/>
      <c r="Y743" s="26"/>
    </row>
    <row r="744" spans="8:25" x14ac:dyDescent="0.2">
      <c r="H744" s="26"/>
      <c r="I744" s="26"/>
      <c r="J744" s="26"/>
      <c r="X744" s="26"/>
      <c r="Y744" s="26"/>
    </row>
    <row r="745" spans="8:25" x14ac:dyDescent="0.2">
      <c r="H745" s="26"/>
      <c r="I745" s="26"/>
      <c r="J745" s="26"/>
      <c r="X745" s="26"/>
      <c r="Y745" s="26"/>
    </row>
    <row r="746" spans="8:25" x14ac:dyDescent="0.2">
      <c r="H746" s="26"/>
      <c r="I746" s="26"/>
      <c r="J746" s="26"/>
      <c r="X746" s="26"/>
      <c r="Y746" s="26"/>
    </row>
    <row r="747" spans="8:25" x14ac:dyDescent="0.2">
      <c r="H747" s="26"/>
      <c r="I747" s="26"/>
      <c r="J747" s="26"/>
      <c r="X747" s="26"/>
      <c r="Y747" s="26"/>
    </row>
    <row r="748" spans="8:25" x14ac:dyDescent="0.2">
      <c r="H748" s="26"/>
      <c r="I748" s="26"/>
      <c r="J748" s="26"/>
      <c r="X748" s="26"/>
      <c r="Y748" s="26"/>
    </row>
    <row r="749" spans="8:25" x14ac:dyDescent="0.2">
      <c r="H749" s="26"/>
      <c r="I749" s="26"/>
      <c r="J749" s="26"/>
      <c r="X749" s="26"/>
      <c r="Y749" s="26"/>
    </row>
    <row r="750" spans="8:25" x14ac:dyDescent="0.2">
      <c r="H750" s="26"/>
      <c r="I750" s="26"/>
      <c r="J750" s="26"/>
      <c r="X750" s="26"/>
      <c r="Y750" s="26"/>
    </row>
    <row r="751" spans="8:25" x14ac:dyDescent="0.2">
      <c r="H751" s="26"/>
      <c r="I751" s="26"/>
      <c r="J751" s="26"/>
      <c r="X751" s="26"/>
      <c r="Y751" s="26"/>
    </row>
    <row r="752" spans="8:25" x14ac:dyDescent="0.2">
      <c r="H752" s="26"/>
      <c r="I752" s="26"/>
      <c r="J752" s="26"/>
      <c r="X752" s="26"/>
      <c r="Y752" s="26"/>
    </row>
    <row r="753" spans="8:25" x14ac:dyDescent="0.2">
      <c r="H753" s="26"/>
      <c r="I753" s="26"/>
      <c r="J753" s="26"/>
      <c r="X753" s="26"/>
      <c r="Y753" s="26"/>
    </row>
    <row r="754" spans="8:25" x14ac:dyDescent="0.2">
      <c r="H754" s="26"/>
      <c r="I754" s="26"/>
      <c r="J754" s="26"/>
      <c r="X754" s="26"/>
      <c r="Y754" s="26"/>
    </row>
    <row r="755" spans="8:25" x14ac:dyDescent="0.2">
      <c r="H755" s="26"/>
      <c r="I755" s="26"/>
      <c r="J755" s="26"/>
      <c r="X755" s="26"/>
      <c r="Y755" s="26"/>
    </row>
    <row r="756" spans="8:25" x14ac:dyDescent="0.2">
      <c r="H756" s="26"/>
      <c r="I756" s="26"/>
      <c r="J756" s="26"/>
      <c r="X756" s="26"/>
      <c r="Y756" s="26"/>
    </row>
    <row r="757" spans="8:25" x14ac:dyDescent="0.2">
      <c r="H757" s="26"/>
      <c r="I757" s="26"/>
      <c r="J757" s="26"/>
      <c r="X757" s="26"/>
      <c r="Y757" s="26"/>
    </row>
    <row r="758" spans="8:25" x14ac:dyDescent="0.2">
      <c r="H758" s="26"/>
      <c r="I758" s="26"/>
      <c r="J758" s="26"/>
      <c r="X758" s="26"/>
      <c r="Y758" s="26"/>
    </row>
    <row r="759" spans="8:25" x14ac:dyDescent="0.2">
      <c r="H759" s="26"/>
      <c r="I759" s="26"/>
      <c r="J759" s="26"/>
      <c r="X759" s="26"/>
      <c r="Y759" s="26"/>
    </row>
    <row r="760" spans="8:25" x14ac:dyDescent="0.2">
      <c r="H760" s="26"/>
      <c r="I760" s="26"/>
      <c r="J760" s="26"/>
      <c r="X760" s="26"/>
      <c r="Y760" s="26"/>
    </row>
    <row r="761" spans="8:25" x14ac:dyDescent="0.2">
      <c r="H761" s="26"/>
      <c r="I761" s="26"/>
      <c r="J761" s="26"/>
      <c r="X761" s="26"/>
      <c r="Y761" s="26"/>
    </row>
    <row r="762" spans="8:25" x14ac:dyDescent="0.2">
      <c r="H762" s="26"/>
      <c r="I762" s="26"/>
      <c r="J762" s="26"/>
      <c r="X762" s="26"/>
      <c r="Y762" s="26"/>
    </row>
    <row r="763" spans="8:25" x14ac:dyDescent="0.2">
      <c r="H763" s="26"/>
      <c r="I763" s="26"/>
      <c r="J763" s="26"/>
      <c r="X763" s="26"/>
      <c r="Y763" s="26"/>
    </row>
    <row r="764" spans="8:25" x14ac:dyDescent="0.2">
      <c r="H764" s="26"/>
      <c r="I764" s="26"/>
      <c r="J764" s="26"/>
      <c r="X764" s="26"/>
      <c r="Y764" s="26"/>
    </row>
    <row r="765" spans="8:25" x14ac:dyDescent="0.2">
      <c r="H765" s="26"/>
      <c r="I765" s="26"/>
      <c r="J765" s="26"/>
      <c r="X765" s="26"/>
      <c r="Y765" s="26"/>
    </row>
    <row r="766" spans="8:25" x14ac:dyDescent="0.2">
      <c r="H766" s="26"/>
      <c r="I766" s="26"/>
      <c r="J766" s="26"/>
      <c r="X766" s="26"/>
      <c r="Y766" s="26"/>
    </row>
    <row r="767" spans="8:25" x14ac:dyDescent="0.2">
      <c r="H767" s="26"/>
      <c r="I767" s="26"/>
      <c r="J767" s="26"/>
      <c r="X767" s="26"/>
      <c r="Y767" s="26"/>
    </row>
    <row r="768" spans="8:25" x14ac:dyDescent="0.2">
      <c r="H768" s="26"/>
      <c r="I768" s="26"/>
      <c r="J768" s="26"/>
      <c r="X768" s="26"/>
      <c r="Y768" s="26"/>
    </row>
    <row r="769" spans="8:25" x14ac:dyDescent="0.2">
      <c r="H769" s="26"/>
      <c r="I769" s="26"/>
      <c r="J769" s="26"/>
      <c r="X769" s="26"/>
      <c r="Y769" s="26"/>
    </row>
    <row r="770" spans="8:25" x14ac:dyDescent="0.2">
      <c r="H770" s="26"/>
      <c r="I770" s="26"/>
      <c r="J770" s="26"/>
      <c r="X770" s="26"/>
      <c r="Y770" s="26"/>
    </row>
    <row r="771" spans="8:25" x14ac:dyDescent="0.2">
      <c r="H771" s="26"/>
      <c r="I771" s="26"/>
      <c r="J771" s="26"/>
      <c r="X771" s="26"/>
      <c r="Y771" s="26"/>
    </row>
    <row r="772" spans="8:25" x14ac:dyDescent="0.2">
      <c r="H772" s="26"/>
      <c r="I772" s="26"/>
      <c r="J772" s="26"/>
      <c r="X772" s="26"/>
      <c r="Y772" s="26"/>
    </row>
    <row r="773" spans="8:25" x14ac:dyDescent="0.2">
      <c r="H773" s="26"/>
      <c r="I773" s="26"/>
      <c r="J773" s="26"/>
      <c r="X773" s="26"/>
      <c r="Y773" s="26"/>
    </row>
    <row r="774" spans="8:25" x14ac:dyDescent="0.2">
      <c r="H774" s="26"/>
      <c r="I774" s="26"/>
      <c r="J774" s="26"/>
      <c r="X774" s="26"/>
      <c r="Y774" s="26"/>
    </row>
    <row r="775" spans="8:25" x14ac:dyDescent="0.2">
      <c r="H775" s="26"/>
      <c r="I775" s="26"/>
      <c r="J775" s="26"/>
      <c r="X775" s="26"/>
      <c r="Y775" s="26"/>
    </row>
    <row r="776" spans="8:25" x14ac:dyDescent="0.2">
      <c r="H776" s="26"/>
      <c r="I776" s="26"/>
      <c r="J776" s="26"/>
      <c r="X776" s="26"/>
      <c r="Y776" s="26"/>
    </row>
    <row r="777" spans="8:25" x14ac:dyDescent="0.2">
      <c r="H777" s="26"/>
      <c r="I777" s="26"/>
      <c r="J777" s="26"/>
      <c r="X777" s="26"/>
      <c r="Y777" s="26"/>
    </row>
    <row r="778" spans="8:25" x14ac:dyDescent="0.2">
      <c r="H778" s="26"/>
      <c r="I778" s="26"/>
      <c r="J778" s="26"/>
      <c r="X778" s="26"/>
      <c r="Y778" s="26"/>
    </row>
    <row r="779" spans="8:25" x14ac:dyDescent="0.2">
      <c r="H779" s="26"/>
      <c r="I779" s="26"/>
      <c r="J779" s="26"/>
      <c r="X779" s="26"/>
      <c r="Y779" s="26"/>
    </row>
    <row r="780" spans="8:25" x14ac:dyDescent="0.2">
      <c r="H780" s="26"/>
      <c r="I780" s="26"/>
      <c r="J780" s="26"/>
      <c r="X780" s="26"/>
      <c r="Y780" s="26"/>
    </row>
    <row r="781" spans="8:25" x14ac:dyDescent="0.2">
      <c r="H781" s="26"/>
      <c r="I781" s="26"/>
      <c r="J781" s="26"/>
      <c r="X781" s="26"/>
      <c r="Y781" s="26"/>
    </row>
    <row r="782" spans="8:25" x14ac:dyDescent="0.2">
      <c r="H782" s="26"/>
      <c r="I782" s="26"/>
      <c r="J782" s="26"/>
      <c r="X782" s="26"/>
      <c r="Y782" s="26"/>
    </row>
    <row r="783" spans="8:25" x14ac:dyDescent="0.2">
      <c r="H783" s="26"/>
      <c r="I783" s="26"/>
      <c r="J783" s="26"/>
      <c r="X783" s="26"/>
      <c r="Y783" s="26"/>
    </row>
    <row r="784" spans="8:25" x14ac:dyDescent="0.2">
      <c r="H784" s="26"/>
      <c r="I784" s="26"/>
      <c r="J784" s="26"/>
      <c r="X784" s="26"/>
      <c r="Y784" s="26"/>
    </row>
    <row r="785" spans="8:25" x14ac:dyDescent="0.2">
      <c r="H785" s="26"/>
      <c r="I785" s="26"/>
      <c r="J785" s="26"/>
      <c r="X785" s="26"/>
      <c r="Y785" s="26"/>
    </row>
    <row r="786" spans="8:25" x14ac:dyDescent="0.2">
      <c r="H786" s="26"/>
      <c r="I786" s="26"/>
      <c r="J786" s="26"/>
      <c r="X786" s="26"/>
      <c r="Y786" s="26"/>
    </row>
    <row r="787" spans="8:25" x14ac:dyDescent="0.2">
      <c r="H787" s="26"/>
      <c r="I787" s="26"/>
      <c r="J787" s="26"/>
      <c r="X787" s="26"/>
      <c r="Y787" s="26"/>
    </row>
    <row r="788" spans="8:25" x14ac:dyDescent="0.2">
      <c r="H788" s="26"/>
      <c r="I788" s="26"/>
      <c r="J788" s="26"/>
      <c r="X788" s="26"/>
      <c r="Y788" s="26"/>
    </row>
    <row r="789" spans="8:25" x14ac:dyDescent="0.2">
      <c r="H789" s="26"/>
      <c r="I789" s="26"/>
      <c r="J789" s="26"/>
      <c r="X789" s="26"/>
      <c r="Y789" s="26"/>
    </row>
    <row r="790" spans="8:25" x14ac:dyDescent="0.2">
      <c r="H790" s="26"/>
      <c r="I790" s="26"/>
      <c r="J790" s="26"/>
      <c r="X790" s="26"/>
      <c r="Y790" s="26"/>
    </row>
    <row r="791" spans="8:25" x14ac:dyDescent="0.2">
      <c r="H791" s="26"/>
      <c r="I791" s="26"/>
      <c r="J791" s="26"/>
      <c r="X791" s="26"/>
      <c r="Y791" s="26"/>
    </row>
    <row r="792" spans="8:25" x14ac:dyDescent="0.2">
      <c r="H792" s="26"/>
      <c r="I792" s="26"/>
      <c r="J792" s="26"/>
      <c r="X792" s="26"/>
      <c r="Y792" s="26"/>
    </row>
    <row r="793" spans="8:25" x14ac:dyDescent="0.2">
      <c r="H793" s="26"/>
      <c r="I793" s="26"/>
      <c r="J793" s="26"/>
      <c r="X793" s="26"/>
      <c r="Y793" s="26"/>
    </row>
    <row r="794" spans="8:25" x14ac:dyDescent="0.2">
      <c r="H794" s="26"/>
      <c r="I794" s="26"/>
      <c r="J794" s="26"/>
      <c r="X794" s="26"/>
      <c r="Y794" s="26"/>
    </row>
    <row r="795" spans="8:25" x14ac:dyDescent="0.2">
      <c r="H795" s="26"/>
      <c r="I795" s="26"/>
      <c r="J795" s="26"/>
      <c r="X795" s="26"/>
      <c r="Y795" s="26"/>
    </row>
    <row r="796" spans="8:25" x14ac:dyDescent="0.2">
      <c r="H796" s="26"/>
      <c r="I796" s="26"/>
      <c r="J796" s="26"/>
      <c r="X796" s="26"/>
      <c r="Y796" s="26"/>
    </row>
    <row r="797" spans="8:25" x14ac:dyDescent="0.2">
      <c r="H797" s="26"/>
      <c r="I797" s="26"/>
      <c r="J797" s="26"/>
      <c r="X797" s="26"/>
      <c r="Y797" s="26"/>
    </row>
    <row r="798" spans="8:25" x14ac:dyDescent="0.2">
      <c r="H798" s="26"/>
      <c r="I798" s="26"/>
      <c r="J798" s="26"/>
      <c r="X798" s="26"/>
      <c r="Y798" s="26"/>
    </row>
    <row r="799" spans="8:25" x14ac:dyDescent="0.2">
      <c r="H799" s="26"/>
      <c r="I799" s="26"/>
      <c r="J799" s="26"/>
      <c r="X799" s="26"/>
      <c r="Y799" s="26"/>
    </row>
    <row r="800" spans="8:25" x14ac:dyDescent="0.2">
      <c r="H800" s="26"/>
      <c r="I800" s="26"/>
      <c r="J800" s="26"/>
      <c r="X800" s="26"/>
      <c r="Y800" s="26"/>
    </row>
    <row r="801" spans="8:25" x14ac:dyDescent="0.2">
      <c r="H801" s="26"/>
      <c r="I801" s="26"/>
      <c r="J801" s="26"/>
      <c r="X801" s="26"/>
      <c r="Y801" s="26"/>
    </row>
    <row r="802" spans="8:25" x14ac:dyDescent="0.2">
      <c r="H802" s="26"/>
      <c r="I802" s="26"/>
      <c r="J802" s="26"/>
      <c r="X802" s="26"/>
      <c r="Y802" s="26"/>
    </row>
    <row r="803" spans="8:25" x14ac:dyDescent="0.2">
      <c r="H803" s="26"/>
      <c r="I803" s="26"/>
      <c r="J803" s="26"/>
      <c r="X803" s="26"/>
      <c r="Y803" s="26"/>
    </row>
    <row r="804" spans="8:25" x14ac:dyDescent="0.2">
      <c r="H804" s="26"/>
      <c r="I804" s="26"/>
      <c r="J804" s="26"/>
      <c r="X804" s="26"/>
      <c r="Y804" s="26"/>
    </row>
    <row r="805" spans="8:25" x14ac:dyDescent="0.2">
      <c r="H805" s="26"/>
      <c r="I805" s="26"/>
      <c r="J805" s="26"/>
      <c r="X805" s="26"/>
      <c r="Y805" s="26"/>
    </row>
    <row r="806" spans="8:25" x14ac:dyDescent="0.2">
      <c r="H806" s="26"/>
      <c r="I806" s="26"/>
      <c r="J806" s="26"/>
      <c r="X806" s="26"/>
      <c r="Y806" s="26"/>
    </row>
    <row r="807" spans="8:25" x14ac:dyDescent="0.2">
      <c r="H807" s="26"/>
      <c r="I807" s="26"/>
      <c r="J807" s="26"/>
      <c r="X807" s="26"/>
      <c r="Y807" s="26"/>
    </row>
    <row r="808" spans="8:25" x14ac:dyDescent="0.2">
      <c r="H808" s="26"/>
      <c r="I808" s="26"/>
      <c r="J808" s="26"/>
      <c r="X808" s="26"/>
      <c r="Y808" s="26"/>
    </row>
    <row r="809" spans="8:25" x14ac:dyDescent="0.2">
      <c r="H809" s="26"/>
      <c r="I809" s="26"/>
      <c r="J809" s="26"/>
      <c r="X809" s="26"/>
      <c r="Y809" s="26"/>
    </row>
    <row r="810" spans="8:25" x14ac:dyDescent="0.2">
      <c r="H810" s="26"/>
      <c r="I810" s="26"/>
      <c r="J810" s="26"/>
      <c r="X810" s="26"/>
      <c r="Y810" s="26"/>
    </row>
    <row r="811" spans="8:25" x14ac:dyDescent="0.2">
      <c r="H811" s="26"/>
      <c r="I811" s="26"/>
      <c r="J811" s="26"/>
      <c r="X811" s="26"/>
      <c r="Y811" s="26"/>
    </row>
    <row r="812" spans="8:25" x14ac:dyDescent="0.2">
      <c r="H812" s="26"/>
      <c r="I812" s="26"/>
      <c r="J812" s="26"/>
      <c r="X812" s="26"/>
      <c r="Y812" s="26"/>
    </row>
    <row r="813" spans="8:25" x14ac:dyDescent="0.2">
      <c r="H813" s="26"/>
      <c r="I813" s="26"/>
      <c r="J813" s="26"/>
      <c r="X813" s="26"/>
      <c r="Y813" s="26"/>
    </row>
    <row r="814" spans="8:25" x14ac:dyDescent="0.2">
      <c r="H814" s="26"/>
      <c r="I814" s="26"/>
      <c r="J814" s="26"/>
      <c r="X814" s="26"/>
      <c r="Y814" s="26"/>
    </row>
    <row r="815" spans="8:25" x14ac:dyDescent="0.2">
      <c r="H815" s="26"/>
      <c r="I815" s="26"/>
      <c r="J815" s="26"/>
      <c r="X815" s="26"/>
      <c r="Y815" s="26"/>
    </row>
    <row r="816" spans="8:25" x14ac:dyDescent="0.2">
      <c r="H816" s="26"/>
      <c r="I816" s="26"/>
      <c r="J816" s="26"/>
      <c r="X816" s="26"/>
      <c r="Y816" s="26"/>
    </row>
    <row r="817" spans="8:25" x14ac:dyDescent="0.2">
      <c r="H817" s="26"/>
      <c r="I817" s="26"/>
      <c r="J817" s="26"/>
      <c r="X817" s="26"/>
      <c r="Y817" s="26"/>
    </row>
    <row r="818" spans="8:25" x14ac:dyDescent="0.2">
      <c r="H818" s="26"/>
      <c r="I818" s="26"/>
      <c r="J818" s="26"/>
      <c r="X818" s="26"/>
      <c r="Y818" s="26"/>
    </row>
    <row r="819" spans="8:25" x14ac:dyDescent="0.2">
      <c r="H819" s="26"/>
      <c r="I819" s="26"/>
      <c r="J819" s="26"/>
      <c r="X819" s="26"/>
      <c r="Y819" s="26"/>
    </row>
    <row r="820" spans="8:25" x14ac:dyDescent="0.2">
      <c r="H820" s="26"/>
      <c r="I820" s="26"/>
      <c r="J820" s="26"/>
      <c r="X820" s="26"/>
      <c r="Y820" s="26"/>
    </row>
    <row r="821" spans="8:25" x14ac:dyDescent="0.2">
      <c r="H821" s="26"/>
      <c r="I821" s="26"/>
      <c r="J821" s="26"/>
      <c r="X821" s="26"/>
      <c r="Y821" s="26"/>
    </row>
    <row r="822" spans="8:25" x14ac:dyDescent="0.2">
      <c r="H822" s="26"/>
      <c r="I822" s="26"/>
      <c r="J822" s="26"/>
      <c r="X822" s="26"/>
      <c r="Y822" s="26"/>
    </row>
    <row r="823" spans="8:25" x14ac:dyDescent="0.2">
      <c r="H823" s="26"/>
      <c r="I823" s="26"/>
      <c r="J823" s="26"/>
      <c r="X823" s="26"/>
      <c r="Y823" s="26"/>
    </row>
    <row r="824" spans="8:25" x14ac:dyDescent="0.2">
      <c r="H824" s="26"/>
      <c r="I824" s="26"/>
      <c r="J824" s="26"/>
      <c r="X824" s="26"/>
      <c r="Y824" s="26"/>
    </row>
    <row r="825" spans="8:25" x14ac:dyDescent="0.2">
      <c r="H825" s="26"/>
      <c r="I825" s="26"/>
      <c r="J825" s="26"/>
      <c r="X825" s="26"/>
      <c r="Y825" s="26"/>
    </row>
    <row r="826" spans="8:25" x14ac:dyDescent="0.2">
      <c r="H826" s="26"/>
      <c r="I826" s="26"/>
      <c r="J826" s="26"/>
      <c r="X826" s="26"/>
      <c r="Y826" s="26"/>
    </row>
    <row r="827" spans="8:25" x14ac:dyDescent="0.2">
      <c r="H827" s="26"/>
      <c r="I827" s="26"/>
      <c r="J827" s="26"/>
      <c r="X827" s="26"/>
      <c r="Y827" s="26"/>
    </row>
    <row r="828" spans="8:25" x14ac:dyDescent="0.2">
      <c r="H828" s="26"/>
      <c r="I828" s="26"/>
      <c r="J828" s="26"/>
      <c r="X828" s="26"/>
      <c r="Y828" s="26"/>
    </row>
    <row r="829" spans="8:25" x14ac:dyDescent="0.2">
      <c r="H829" s="26"/>
      <c r="I829" s="26"/>
      <c r="J829" s="26"/>
      <c r="X829" s="26"/>
      <c r="Y829" s="26"/>
    </row>
    <row r="830" spans="8:25" x14ac:dyDescent="0.2">
      <c r="H830" s="26"/>
      <c r="I830" s="26"/>
      <c r="J830" s="26"/>
      <c r="X830" s="26"/>
      <c r="Y830" s="26"/>
    </row>
    <row r="831" spans="8:25" x14ac:dyDescent="0.2">
      <c r="H831" s="26"/>
      <c r="I831" s="26"/>
      <c r="J831" s="26"/>
      <c r="X831" s="26"/>
      <c r="Y831" s="26"/>
    </row>
    <row r="832" spans="8:25" x14ac:dyDescent="0.2">
      <c r="H832" s="26"/>
      <c r="I832" s="26"/>
      <c r="J832" s="26"/>
      <c r="X832" s="26"/>
      <c r="Y832" s="26"/>
    </row>
    <row r="833" spans="8:25" x14ac:dyDescent="0.2">
      <c r="H833" s="26"/>
      <c r="I833" s="26"/>
      <c r="J833" s="26"/>
      <c r="X833" s="26"/>
      <c r="Y833" s="26"/>
    </row>
    <row r="834" spans="8:25" x14ac:dyDescent="0.2">
      <c r="H834" s="26"/>
      <c r="I834" s="26"/>
      <c r="J834" s="26"/>
      <c r="X834" s="26"/>
      <c r="Y834" s="26"/>
    </row>
    <row r="835" spans="8:25" x14ac:dyDescent="0.2">
      <c r="H835" s="26"/>
      <c r="I835" s="26"/>
      <c r="J835" s="26"/>
      <c r="X835" s="26"/>
      <c r="Y835" s="26"/>
    </row>
    <row r="836" spans="8:25" x14ac:dyDescent="0.2">
      <c r="H836" s="26"/>
      <c r="I836" s="26"/>
      <c r="J836" s="26"/>
      <c r="X836" s="26"/>
      <c r="Y836" s="26"/>
    </row>
    <row r="837" spans="8:25" x14ac:dyDescent="0.2">
      <c r="H837" s="26"/>
      <c r="I837" s="26"/>
      <c r="J837" s="26"/>
      <c r="X837" s="26"/>
      <c r="Y837" s="26"/>
    </row>
    <row r="838" spans="8:25" x14ac:dyDescent="0.2">
      <c r="H838" s="26"/>
      <c r="I838" s="26"/>
      <c r="J838" s="26"/>
      <c r="X838" s="26"/>
      <c r="Y838" s="26"/>
    </row>
    <row r="839" spans="8:25" x14ac:dyDescent="0.2">
      <c r="H839" s="26"/>
      <c r="I839" s="26"/>
      <c r="J839" s="26"/>
      <c r="X839" s="26"/>
      <c r="Y839" s="26"/>
    </row>
    <row r="840" spans="8:25" x14ac:dyDescent="0.2">
      <c r="H840" s="26"/>
      <c r="I840" s="26"/>
      <c r="J840" s="26"/>
      <c r="X840" s="26"/>
      <c r="Y840" s="26"/>
    </row>
    <row r="841" spans="8:25" x14ac:dyDescent="0.2">
      <c r="H841" s="26"/>
      <c r="I841" s="26"/>
      <c r="J841" s="26"/>
      <c r="X841" s="26"/>
      <c r="Y841" s="26"/>
    </row>
    <row r="842" spans="8:25" x14ac:dyDescent="0.2">
      <c r="H842" s="26"/>
      <c r="I842" s="26"/>
      <c r="J842" s="26"/>
      <c r="X842" s="26"/>
      <c r="Y842" s="26"/>
    </row>
    <row r="843" spans="8:25" x14ac:dyDescent="0.2">
      <c r="H843" s="26"/>
      <c r="I843" s="26"/>
      <c r="J843" s="26"/>
      <c r="X843" s="26"/>
      <c r="Y843" s="26"/>
    </row>
    <row r="844" spans="8:25" x14ac:dyDescent="0.2">
      <c r="H844" s="26"/>
      <c r="I844" s="26"/>
      <c r="J844" s="26"/>
      <c r="X844" s="26"/>
      <c r="Y844" s="26"/>
    </row>
    <row r="845" spans="8:25" x14ac:dyDescent="0.2">
      <c r="H845" s="26"/>
      <c r="I845" s="26"/>
      <c r="J845" s="26"/>
      <c r="X845" s="26"/>
      <c r="Y845" s="26"/>
    </row>
    <row r="846" spans="8:25" x14ac:dyDescent="0.2">
      <c r="H846" s="26"/>
      <c r="I846" s="26"/>
      <c r="J846" s="26"/>
      <c r="X846" s="26"/>
      <c r="Y846" s="26"/>
    </row>
    <row r="847" spans="8:25" x14ac:dyDescent="0.2">
      <c r="H847" s="26"/>
      <c r="I847" s="26"/>
      <c r="J847" s="26"/>
      <c r="X847" s="26"/>
      <c r="Y847" s="26"/>
    </row>
    <row r="848" spans="8:25" x14ac:dyDescent="0.2">
      <c r="H848" s="26"/>
      <c r="I848" s="26"/>
      <c r="J848" s="26"/>
      <c r="X848" s="26"/>
      <c r="Y848" s="26"/>
    </row>
    <row r="849" spans="8:25" x14ac:dyDescent="0.2">
      <c r="H849" s="26"/>
      <c r="I849" s="26"/>
      <c r="J849" s="26"/>
      <c r="X849" s="26"/>
      <c r="Y849" s="26"/>
    </row>
    <row r="850" spans="8:25" x14ac:dyDescent="0.2">
      <c r="H850" s="26"/>
      <c r="I850" s="26"/>
      <c r="J850" s="26"/>
      <c r="X850" s="26"/>
      <c r="Y850" s="26"/>
    </row>
    <row r="851" spans="8:25" x14ac:dyDescent="0.2">
      <c r="H851" s="26"/>
      <c r="I851" s="26"/>
      <c r="J851" s="26"/>
      <c r="X851" s="26"/>
      <c r="Y851" s="26"/>
    </row>
    <row r="852" spans="8:25" x14ac:dyDescent="0.2">
      <c r="H852" s="26"/>
      <c r="I852" s="26"/>
      <c r="J852" s="26"/>
      <c r="X852" s="26"/>
      <c r="Y852" s="26"/>
    </row>
    <row r="853" spans="8:25" x14ac:dyDescent="0.2">
      <c r="H853" s="26"/>
      <c r="I853" s="26"/>
      <c r="J853" s="26"/>
      <c r="X853" s="26"/>
      <c r="Y853" s="26"/>
    </row>
    <row r="854" spans="8:25" x14ac:dyDescent="0.2">
      <c r="H854" s="26"/>
      <c r="I854" s="26"/>
      <c r="J854" s="26"/>
      <c r="X854" s="26"/>
      <c r="Y854" s="26"/>
    </row>
    <row r="855" spans="8:25" x14ac:dyDescent="0.2">
      <c r="H855" s="26"/>
      <c r="I855" s="26"/>
      <c r="J855" s="26"/>
      <c r="X855" s="26"/>
      <c r="Y855" s="26"/>
    </row>
    <row r="856" spans="8:25" x14ac:dyDescent="0.2">
      <c r="H856" s="26"/>
      <c r="I856" s="26"/>
      <c r="J856" s="26"/>
      <c r="X856" s="26"/>
      <c r="Y856" s="26"/>
    </row>
    <row r="857" spans="8:25" x14ac:dyDescent="0.2">
      <c r="H857" s="26"/>
      <c r="I857" s="26"/>
      <c r="J857" s="26"/>
      <c r="X857" s="26"/>
      <c r="Y857" s="26"/>
    </row>
    <row r="858" spans="8:25" x14ac:dyDescent="0.2">
      <c r="H858" s="26"/>
      <c r="I858" s="26"/>
      <c r="J858" s="26"/>
      <c r="X858" s="26"/>
      <c r="Y858" s="26"/>
    </row>
    <row r="859" spans="8:25" x14ac:dyDescent="0.2">
      <c r="H859" s="26"/>
      <c r="I859" s="26"/>
      <c r="J859" s="26"/>
      <c r="X859" s="26"/>
      <c r="Y859" s="26"/>
    </row>
    <row r="860" spans="8:25" x14ac:dyDescent="0.2">
      <c r="H860" s="26"/>
      <c r="I860" s="26"/>
      <c r="J860" s="26"/>
      <c r="X860" s="26"/>
      <c r="Y860" s="26"/>
    </row>
    <row r="861" spans="8:25" x14ac:dyDescent="0.2">
      <c r="H861" s="26"/>
      <c r="I861" s="26"/>
      <c r="J861" s="26"/>
      <c r="X861" s="26"/>
      <c r="Y861" s="26"/>
    </row>
    <row r="862" spans="8:25" x14ac:dyDescent="0.2">
      <c r="H862" s="26"/>
      <c r="I862" s="26"/>
      <c r="J862" s="26"/>
      <c r="X862" s="26"/>
      <c r="Y862" s="26"/>
    </row>
    <row r="863" spans="8:25" x14ac:dyDescent="0.2">
      <c r="H863" s="26"/>
      <c r="I863" s="26"/>
      <c r="J863" s="26"/>
      <c r="X863" s="26"/>
      <c r="Y863" s="26"/>
    </row>
    <row r="864" spans="8:25" x14ac:dyDescent="0.2">
      <c r="H864" s="26"/>
      <c r="I864" s="26"/>
      <c r="J864" s="26"/>
      <c r="X864" s="26"/>
      <c r="Y864" s="26"/>
    </row>
    <row r="865" spans="8:25" x14ac:dyDescent="0.2">
      <c r="H865" s="26"/>
      <c r="I865" s="26"/>
      <c r="J865" s="26"/>
      <c r="X865" s="26"/>
      <c r="Y865" s="26"/>
    </row>
    <row r="866" spans="8:25" x14ac:dyDescent="0.2">
      <c r="H866" s="26"/>
      <c r="I866" s="26"/>
      <c r="J866" s="26"/>
      <c r="X866" s="26"/>
      <c r="Y866" s="26"/>
    </row>
    <row r="867" spans="8:25" x14ac:dyDescent="0.2">
      <c r="H867" s="26"/>
      <c r="I867" s="26"/>
      <c r="J867" s="26"/>
      <c r="X867" s="26"/>
      <c r="Y867" s="26"/>
    </row>
    <row r="868" spans="8:25" x14ac:dyDescent="0.2">
      <c r="H868" s="26"/>
      <c r="I868" s="26"/>
      <c r="J868" s="26"/>
      <c r="X868" s="26"/>
      <c r="Y868" s="26"/>
    </row>
    <row r="869" spans="8:25" x14ac:dyDescent="0.2">
      <c r="H869" s="26"/>
      <c r="I869" s="26"/>
      <c r="J869" s="26"/>
      <c r="X869" s="26"/>
      <c r="Y869" s="26"/>
    </row>
    <row r="870" spans="8:25" x14ac:dyDescent="0.2">
      <c r="H870" s="26"/>
      <c r="I870" s="26"/>
      <c r="J870" s="26"/>
      <c r="X870" s="26"/>
      <c r="Y870" s="26"/>
    </row>
    <row r="871" spans="8:25" x14ac:dyDescent="0.2">
      <c r="H871" s="26"/>
      <c r="I871" s="26"/>
      <c r="J871" s="26"/>
      <c r="X871" s="26"/>
      <c r="Y871" s="26"/>
    </row>
    <row r="872" spans="8:25" x14ac:dyDescent="0.2">
      <c r="H872" s="26"/>
      <c r="I872" s="26"/>
      <c r="J872" s="26"/>
      <c r="X872" s="26"/>
      <c r="Y872" s="26"/>
    </row>
    <row r="873" spans="8:25" x14ac:dyDescent="0.2">
      <c r="H873" s="26"/>
      <c r="I873" s="26"/>
      <c r="J873" s="26"/>
      <c r="X873" s="26"/>
      <c r="Y873" s="26"/>
    </row>
    <row r="874" spans="8:25" x14ac:dyDescent="0.2">
      <c r="H874" s="26"/>
      <c r="I874" s="26"/>
      <c r="J874" s="26"/>
      <c r="X874" s="26"/>
      <c r="Y874" s="26"/>
    </row>
    <row r="875" spans="8:25" x14ac:dyDescent="0.2">
      <c r="H875" s="26"/>
      <c r="I875" s="26"/>
      <c r="J875" s="26"/>
      <c r="X875" s="26"/>
      <c r="Y875" s="26"/>
    </row>
    <row r="876" spans="8:25" x14ac:dyDescent="0.2">
      <c r="H876" s="26"/>
      <c r="I876" s="26"/>
      <c r="J876" s="26"/>
      <c r="X876" s="26"/>
      <c r="Y876" s="26"/>
    </row>
    <row r="877" spans="8:25" x14ac:dyDescent="0.2">
      <c r="H877" s="26"/>
      <c r="I877" s="26"/>
      <c r="J877" s="26"/>
      <c r="X877" s="26"/>
      <c r="Y877" s="26"/>
    </row>
    <row r="878" spans="8:25" x14ac:dyDescent="0.2">
      <c r="H878" s="26"/>
      <c r="I878" s="26"/>
      <c r="J878" s="26"/>
      <c r="X878" s="26"/>
      <c r="Y878" s="26"/>
    </row>
    <row r="879" spans="8:25" x14ac:dyDescent="0.2">
      <c r="H879" s="26"/>
      <c r="I879" s="26"/>
      <c r="J879" s="26"/>
      <c r="X879" s="26"/>
      <c r="Y879" s="26"/>
    </row>
    <row r="880" spans="8:25" x14ac:dyDescent="0.2">
      <c r="H880" s="26"/>
      <c r="I880" s="26"/>
      <c r="J880" s="26"/>
      <c r="X880" s="26"/>
      <c r="Y880" s="26"/>
    </row>
    <row r="881" spans="8:25" x14ac:dyDescent="0.2">
      <c r="H881" s="26"/>
      <c r="I881" s="26"/>
      <c r="J881" s="26"/>
      <c r="X881" s="26"/>
      <c r="Y881" s="26"/>
    </row>
    <row r="882" spans="8:25" x14ac:dyDescent="0.2">
      <c r="H882" s="26"/>
      <c r="I882" s="26"/>
      <c r="J882" s="26"/>
      <c r="X882" s="26"/>
      <c r="Y882" s="26"/>
    </row>
    <row r="883" spans="8:25" x14ac:dyDescent="0.2">
      <c r="H883" s="26"/>
      <c r="I883" s="26"/>
      <c r="J883" s="26"/>
      <c r="X883" s="26"/>
      <c r="Y883" s="26"/>
    </row>
    <row r="884" spans="8:25" x14ac:dyDescent="0.2">
      <c r="H884" s="26"/>
      <c r="I884" s="26"/>
      <c r="J884" s="26"/>
      <c r="X884" s="26"/>
      <c r="Y884" s="26"/>
    </row>
    <row r="885" spans="8:25" x14ac:dyDescent="0.2">
      <c r="H885" s="26"/>
      <c r="I885" s="26"/>
      <c r="J885" s="26"/>
      <c r="X885" s="26"/>
      <c r="Y885" s="26"/>
    </row>
    <row r="886" spans="8:25" x14ac:dyDescent="0.2">
      <c r="H886" s="26"/>
      <c r="I886" s="26"/>
      <c r="J886" s="26"/>
      <c r="X886" s="26"/>
      <c r="Y886" s="26"/>
    </row>
    <row r="887" spans="8:25" x14ac:dyDescent="0.2">
      <c r="H887" s="26"/>
      <c r="I887" s="26"/>
      <c r="J887" s="26"/>
      <c r="X887" s="26"/>
      <c r="Y887" s="26"/>
    </row>
    <row r="888" spans="8:25" x14ac:dyDescent="0.2">
      <c r="H888" s="26"/>
      <c r="I888" s="26"/>
      <c r="J888" s="26"/>
      <c r="X888" s="26"/>
      <c r="Y888" s="26"/>
    </row>
    <row r="889" spans="8:25" x14ac:dyDescent="0.2">
      <c r="H889" s="26"/>
      <c r="I889" s="26"/>
      <c r="J889" s="26"/>
      <c r="X889" s="26"/>
      <c r="Y889" s="26"/>
    </row>
    <row r="890" spans="8:25" x14ac:dyDescent="0.2">
      <c r="H890" s="26"/>
      <c r="I890" s="26"/>
      <c r="J890" s="26"/>
      <c r="X890" s="26"/>
      <c r="Y890" s="26"/>
    </row>
    <row r="891" spans="8:25" x14ac:dyDescent="0.2">
      <c r="H891" s="26"/>
      <c r="I891" s="26"/>
      <c r="J891" s="26"/>
      <c r="X891" s="26"/>
      <c r="Y891" s="26"/>
    </row>
    <row r="892" spans="8:25" x14ac:dyDescent="0.2">
      <c r="H892" s="26"/>
      <c r="I892" s="26"/>
      <c r="J892" s="26"/>
      <c r="X892" s="26"/>
      <c r="Y892" s="26"/>
    </row>
    <row r="893" spans="8:25" x14ac:dyDescent="0.2">
      <c r="H893" s="26"/>
      <c r="I893" s="26"/>
      <c r="J893" s="26"/>
      <c r="X893" s="26"/>
      <c r="Y893" s="26"/>
    </row>
    <row r="894" spans="8:25" x14ac:dyDescent="0.2">
      <c r="H894" s="26"/>
      <c r="I894" s="26"/>
      <c r="J894" s="26"/>
      <c r="X894" s="26"/>
      <c r="Y894" s="26"/>
    </row>
    <row r="895" spans="8:25" x14ac:dyDescent="0.2">
      <c r="H895" s="26"/>
      <c r="I895" s="26"/>
      <c r="J895" s="26"/>
      <c r="X895" s="26"/>
      <c r="Y895" s="26"/>
    </row>
    <row r="896" spans="8:25" x14ac:dyDescent="0.2">
      <c r="H896" s="26"/>
      <c r="I896" s="26"/>
      <c r="J896" s="26"/>
      <c r="X896" s="26"/>
      <c r="Y896" s="26"/>
    </row>
    <row r="897" spans="8:25" x14ac:dyDescent="0.2">
      <c r="H897" s="26"/>
      <c r="I897" s="26"/>
      <c r="J897" s="26"/>
      <c r="X897" s="26"/>
      <c r="Y897" s="26"/>
    </row>
    <row r="898" spans="8:25" x14ac:dyDescent="0.2">
      <c r="H898" s="26"/>
      <c r="I898" s="26"/>
      <c r="J898" s="26"/>
      <c r="X898" s="26"/>
      <c r="Y898" s="26"/>
    </row>
    <row r="899" spans="8:25" x14ac:dyDescent="0.2">
      <c r="H899" s="26"/>
      <c r="I899" s="26"/>
      <c r="J899" s="26"/>
      <c r="X899" s="26"/>
      <c r="Y899" s="26"/>
    </row>
    <row r="900" spans="8:25" x14ac:dyDescent="0.2">
      <c r="H900" s="26"/>
      <c r="I900" s="26"/>
      <c r="J900" s="26"/>
      <c r="X900" s="26"/>
      <c r="Y900" s="26"/>
    </row>
    <row r="901" spans="8:25" x14ac:dyDescent="0.2">
      <c r="H901" s="26"/>
      <c r="I901" s="26"/>
      <c r="J901" s="26"/>
      <c r="X901" s="26"/>
      <c r="Y901" s="26"/>
    </row>
    <row r="902" spans="8:25" x14ac:dyDescent="0.2">
      <c r="H902" s="26"/>
      <c r="I902" s="26"/>
      <c r="J902" s="26"/>
      <c r="X902" s="26"/>
      <c r="Y902" s="26"/>
    </row>
    <row r="903" spans="8:25" x14ac:dyDescent="0.2">
      <c r="H903" s="26"/>
      <c r="I903" s="26"/>
      <c r="J903" s="26"/>
      <c r="X903" s="26"/>
      <c r="Y903" s="26"/>
    </row>
    <row r="904" spans="8:25" x14ac:dyDescent="0.2">
      <c r="H904" s="26"/>
      <c r="I904" s="26"/>
      <c r="J904" s="26"/>
      <c r="X904" s="26"/>
      <c r="Y904" s="26"/>
    </row>
    <row r="905" spans="8:25" x14ac:dyDescent="0.2">
      <c r="H905" s="26"/>
      <c r="I905" s="26"/>
      <c r="J905" s="26"/>
      <c r="X905" s="26"/>
      <c r="Y905" s="26"/>
    </row>
    <row r="906" spans="8:25" x14ac:dyDescent="0.2">
      <c r="H906" s="26"/>
      <c r="I906" s="26"/>
      <c r="J906" s="26"/>
      <c r="X906" s="26"/>
      <c r="Y906" s="26"/>
    </row>
    <row r="907" spans="8:25" x14ac:dyDescent="0.2">
      <c r="H907" s="26"/>
      <c r="I907" s="26"/>
      <c r="J907" s="26"/>
      <c r="X907" s="26"/>
      <c r="Y907" s="26"/>
    </row>
    <row r="908" spans="8:25" x14ac:dyDescent="0.2">
      <c r="H908" s="26"/>
      <c r="I908" s="26"/>
      <c r="J908" s="26"/>
      <c r="X908" s="26"/>
      <c r="Y908" s="26"/>
    </row>
    <row r="909" spans="8:25" x14ac:dyDescent="0.2">
      <c r="H909" s="26"/>
      <c r="I909" s="26"/>
      <c r="J909" s="26"/>
      <c r="X909" s="26"/>
      <c r="Y909" s="26"/>
    </row>
    <row r="910" spans="8:25" x14ac:dyDescent="0.2">
      <c r="H910" s="26"/>
      <c r="I910" s="26"/>
      <c r="J910" s="26"/>
      <c r="X910" s="26"/>
      <c r="Y910" s="26"/>
    </row>
    <row r="911" spans="8:25" x14ac:dyDescent="0.2">
      <c r="H911" s="26"/>
      <c r="I911" s="26"/>
      <c r="J911" s="26"/>
      <c r="X911" s="26"/>
      <c r="Y911" s="26"/>
    </row>
    <row r="912" spans="8:25" x14ac:dyDescent="0.2">
      <c r="H912" s="26"/>
      <c r="I912" s="26"/>
      <c r="J912" s="26"/>
      <c r="X912" s="26"/>
      <c r="Y912" s="26"/>
    </row>
    <row r="913" spans="8:25" x14ac:dyDescent="0.2">
      <c r="H913" s="26"/>
      <c r="I913" s="26"/>
      <c r="J913" s="26"/>
      <c r="X913" s="26"/>
      <c r="Y913" s="26"/>
    </row>
    <row r="914" spans="8:25" x14ac:dyDescent="0.2">
      <c r="H914" s="26"/>
      <c r="I914" s="26"/>
      <c r="J914" s="26"/>
      <c r="X914" s="26"/>
      <c r="Y914" s="26"/>
    </row>
    <row r="915" spans="8:25" x14ac:dyDescent="0.2">
      <c r="H915" s="26"/>
      <c r="I915" s="26"/>
      <c r="J915" s="26"/>
      <c r="X915" s="26"/>
      <c r="Y915" s="26"/>
    </row>
    <row r="916" spans="8:25" x14ac:dyDescent="0.2">
      <c r="H916" s="26"/>
      <c r="I916" s="26"/>
      <c r="J916" s="26"/>
      <c r="X916" s="26"/>
      <c r="Y916" s="26"/>
    </row>
    <row r="917" spans="8:25" x14ac:dyDescent="0.2">
      <c r="H917" s="26"/>
      <c r="I917" s="26"/>
      <c r="J917" s="26"/>
      <c r="X917" s="26"/>
      <c r="Y917" s="26"/>
    </row>
    <row r="918" spans="8:25" x14ac:dyDescent="0.2">
      <c r="H918" s="26"/>
      <c r="I918" s="26"/>
      <c r="J918" s="26"/>
      <c r="X918" s="26"/>
      <c r="Y918" s="26"/>
    </row>
    <row r="919" spans="8:25" x14ac:dyDescent="0.2">
      <c r="H919" s="26"/>
      <c r="I919" s="26"/>
      <c r="J919" s="26"/>
      <c r="X919" s="26"/>
      <c r="Y919" s="26"/>
    </row>
    <row r="920" spans="8:25" x14ac:dyDescent="0.2">
      <c r="H920" s="26"/>
      <c r="I920" s="26"/>
      <c r="J920" s="26"/>
      <c r="X920" s="26"/>
      <c r="Y920" s="26"/>
    </row>
    <row r="921" spans="8:25" x14ac:dyDescent="0.2">
      <c r="H921" s="26"/>
      <c r="I921" s="26"/>
      <c r="J921" s="26"/>
      <c r="X921" s="26"/>
      <c r="Y921" s="26"/>
    </row>
    <row r="922" spans="8:25" x14ac:dyDescent="0.2">
      <c r="H922" s="26"/>
      <c r="I922" s="26"/>
      <c r="J922" s="26"/>
      <c r="X922" s="26"/>
      <c r="Y922" s="26"/>
    </row>
    <row r="923" spans="8:25" x14ac:dyDescent="0.2">
      <c r="H923" s="26"/>
      <c r="I923" s="26"/>
      <c r="J923" s="26"/>
      <c r="X923" s="26"/>
      <c r="Y923" s="26"/>
    </row>
    <row r="924" spans="8:25" x14ac:dyDescent="0.2">
      <c r="H924" s="26"/>
      <c r="I924" s="26"/>
      <c r="J924" s="26"/>
      <c r="X924" s="26"/>
      <c r="Y924" s="26"/>
    </row>
    <row r="925" spans="8:25" x14ac:dyDescent="0.2">
      <c r="H925" s="26"/>
      <c r="I925" s="26"/>
      <c r="J925" s="26"/>
      <c r="X925" s="26"/>
      <c r="Y925" s="26"/>
    </row>
    <row r="926" spans="8:25" x14ac:dyDescent="0.2">
      <c r="H926" s="26"/>
      <c r="I926" s="26"/>
      <c r="J926" s="26"/>
      <c r="X926" s="26"/>
      <c r="Y926" s="26"/>
    </row>
    <row r="927" spans="8:25" x14ac:dyDescent="0.2">
      <c r="H927" s="26"/>
      <c r="I927" s="26"/>
      <c r="J927" s="26"/>
      <c r="X927" s="26"/>
      <c r="Y927" s="26"/>
    </row>
    <row r="928" spans="8:25" x14ac:dyDescent="0.2">
      <c r="H928" s="26"/>
      <c r="I928" s="26"/>
      <c r="J928" s="26"/>
      <c r="X928" s="26"/>
      <c r="Y928" s="26"/>
    </row>
    <row r="929" spans="8:25" x14ac:dyDescent="0.2">
      <c r="H929" s="26"/>
      <c r="I929" s="26"/>
      <c r="J929" s="26"/>
      <c r="X929" s="26"/>
      <c r="Y929" s="26"/>
    </row>
    <row r="930" spans="8:25" x14ac:dyDescent="0.2">
      <c r="H930" s="26"/>
      <c r="I930" s="26"/>
      <c r="J930" s="26"/>
      <c r="X930" s="26"/>
      <c r="Y930" s="26"/>
    </row>
    <row r="931" spans="8:25" x14ac:dyDescent="0.2">
      <c r="H931" s="26"/>
      <c r="I931" s="26"/>
      <c r="J931" s="26"/>
      <c r="X931" s="26"/>
      <c r="Y931" s="26"/>
    </row>
    <row r="932" spans="8:25" x14ac:dyDescent="0.2">
      <c r="H932" s="26"/>
      <c r="I932" s="26"/>
      <c r="J932" s="26"/>
      <c r="X932" s="26"/>
      <c r="Y932" s="26"/>
    </row>
    <row r="933" spans="8:25" x14ac:dyDescent="0.2">
      <c r="H933" s="26"/>
      <c r="I933" s="26"/>
      <c r="J933" s="26"/>
      <c r="X933" s="26"/>
      <c r="Y933" s="26"/>
    </row>
    <row r="934" spans="8:25" x14ac:dyDescent="0.2">
      <c r="H934" s="26"/>
      <c r="I934" s="26"/>
      <c r="J934" s="26"/>
      <c r="X934" s="26"/>
      <c r="Y934" s="26"/>
    </row>
    <row r="935" spans="8:25" x14ac:dyDescent="0.2">
      <c r="H935" s="26"/>
      <c r="I935" s="26"/>
      <c r="J935" s="26"/>
      <c r="X935" s="26"/>
      <c r="Y935" s="26"/>
    </row>
    <row r="936" spans="8:25" x14ac:dyDescent="0.2">
      <c r="H936" s="26"/>
      <c r="I936" s="26"/>
      <c r="J936" s="26"/>
      <c r="X936" s="26"/>
      <c r="Y936" s="26"/>
    </row>
    <row r="937" spans="8:25" x14ac:dyDescent="0.2">
      <c r="H937" s="26"/>
      <c r="I937" s="26"/>
      <c r="J937" s="26"/>
      <c r="X937" s="26"/>
      <c r="Y937" s="26"/>
    </row>
    <row r="938" spans="8:25" x14ac:dyDescent="0.2">
      <c r="H938" s="26"/>
      <c r="I938" s="26"/>
      <c r="J938" s="26"/>
      <c r="X938" s="26"/>
      <c r="Y938" s="26"/>
    </row>
    <row r="939" spans="8:25" x14ac:dyDescent="0.2">
      <c r="H939" s="26"/>
      <c r="I939" s="26"/>
      <c r="J939" s="26"/>
      <c r="X939" s="26"/>
      <c r="Y939" s="26"/>
    </row>
    <row r="940" spans="8:25" x14ac:dyDescent="0.2">
      <c r="H940" s="26"/>
      <c r="I940" s="26"/>
      <c r="J940" s="26"/>
      <c r="X940" s="26"/>
      <c r="Y940" s="26"/>
    </row>
    <row r="941" spans="8:25" x14ac:dyDescent="0.2">
      <c r="H941" s="26"/>
      <c r="I941" s="26"/>
      <c r="J941" s="26"/>
      <c r="X941" s="26"/>
      <c r="Y941" s="26"/>
    </row>
    <row r="942" spans="8:25" x14ac:dyDescent="0.2">
      <c r="H942" s="26"/>
      <c r="I942" s="26"/>
      <c r="J942" s="26"/>
      <c r="X942" s="26"/>
      <c r="Y942" s="26"/>
    </row>
    <row r="943" spans="8:25" x14ac:dyDescent="0.2">
      <c r="H943" s="26"/>
      <c r="I943" s="26"/>
      <c r="J943" s="26"/>
      <c r="X943" s="26"/>
      <c r="Y943" s="26"/>
    </row>
    <row r="944" spans="8:25" x14ac:dyDescent="0.2">
      <c r="H944" s="26"/>
      <c r="I944" s="26"/>
      <c r="J944" s="26"/>
      <c r="X944" s="26"/>
      <c r="Y944" s="26"/>
    </row>
    <row r="945" spans="8:25" x14ac:dyDescent="0.2">
      <c r="H945" s="26"/>
      <c r="I945" s="26"/>
      <c r="J945" s="26"/>
      <c r="X945" s="26"/>
      <c r="Y945" s="26"/>
    </row>
    <row r="946" spans="8:25" x14ac:dyDescent="0.2">
      <c r="H946" s="26"/>
      <c r="I946" s="26"/>
      <c r="J946" s="26"/>
      <c r="X946" s="26"/>
      <c r="Y946" s="26"/>
    </row>
    <row r="947" spans="8:25" x14ac:dyDescent="0.2">
      <c r="H947" s="26"/>
      <c r="I947" s="26"/>
      <c r="J947" s="26"/>
      <c r="X947" s="26"/>
      <c r="Y947" s="26"/>
    </row>
    <row r="948" spans="8:25" x14ac:dyDescent="0.2">
      <c r="H948" s="26"/>
      <c r="I948" s="26"/>
      <c r="J948" s="26"/>
      <c r="X948" s="26"/>
      <c r="Y948" s="26"/>
    </row>
    <row r="949" spans="8:25" x14ac:dyDescent="0.2">
      <c r="H949" s="26"/>
      <c r="I949" s="26"/>
      <c r="J949" s="26"/>
      <c r="X949" s="26"/>
      <c r="Y949" s="26"/>
    </row>
    <row r="950" spans="8:25" x14ac:dyDescent="0.2">
      <c r="H950" s="26"/>
      <c r="I950" s="26"/>
      <c r="J950" s="26"/>
      <c r="X950" s="26"/>
      <c r="Y950" s="26"/>
    </row>
    <row r="951" spans="8:25" x14ac:dyDescent="0.2">
      <c r="H951" s="26"/>
      <c r="I951" s="26"/>
      <c r="J951" s="26"/>
      <c r="X951" s="26"/>
      <c r="Y951" s="26"/>
    </row>
    <row r="952" spans="8:25" x14ac:dyDescent="0.2">
      <c r="H952" s="26"/>
      <c r="I952" s="26"/>
      <c r="J952" s="26"/>
      <c r="X952" s="26"/>
      <c r="Y952" s="26"/>
    </row>
    <row r="953" spans="8:25" x14ac:dyDescent="0.2">
      <c r="H953" s="26"/>
      <c r="I953" s="26"/>
      <c r="J953" s="26"/>
      <c r="X953" s="26"/>
      <c r="Y953" s="26"/>
    </row>
    <row r="954" spans="8:25" x14ac:dyDescent="0.2">
      <c r="H954" s="26"/>
      <c r="I954" s="26"/>
      <c r="J954" s="26"/>
      <c r="X954" s="26"/>
      <c r="Y954" s="26"/>
    </row>
    <row r="955" spans="8:25" x14ac:dyDescent="0.2">
      <c r="H955" s="26"/>
      <c r="I955" s="26"/>
      <c r="J955" s="26"/>
      <c r="X955" s="26"/>
      <c r="Y955" s="26"/>
    </row>
    <row r="956" spans="8:25" x14ac:dyDescent="0.2">
      <c r="H956" s="26"/>
      <c r="I956" s="26"/>
      <c r="J956" s="26"/>
      <c r="X956" s="26"/>
      <c r="Y956" s="26"/>
    </row>
    <row r="957" spans="8:25" x14ac:dyDescent="0.2">
      <c r="H957" s="26"/>
      <c r="I957" s="26"/>
      <c r="J957" s="26"/>
      <c r="X957" s="26"/>
      <c r="Y957" s="26"/>
    </row>
    <row r="958" spans="8:25" x14ac:dyDescent="0.2">
      <c r="H958" s="26"/>
      <c r="I958" s="26"/>
      <c r="J958" s="26"/>
      <c r="X958" s="26"/>
      <c r="Y958" s="26"/>
    </row>
    <row r="959" spans="8:25" x14ac:dyDescent="0.2">
      <c r="H959" s="26"/>
      <c r="I959" s="26"/>
      <c r="J959" s="26"/>
      <c r="X959" s="26"/>
      <c r="Y959" s="26"/>
    </row>
    <row r="960" spans="8:25" x14ac:dyDescent="0.2">
      <c r="H960" s="26"/>
      <c r="I960" s="26"/>
      <c r="J960" s="26"/>
      <c r="X960" s="26"/>
      <c r="Y960" s="26"/>
    </row>
    <row r="961" spans="8:25" x14ac:dyDescent="0.2">
      <c r="H961" s="26"/>
      <c r="I961" s="26"/>
      <c r="J961" s="26"/>
      <c r="X961" s="26"/>
      <c r="Y961" s="26"/>
    </row>
    <row r="962" spans="8:25" x14ac:dyDescent="0.2">
      <c r="H962" s="26"/>
      <c r="I962" s="26"/>
      <c r="J962" s="26"/>
      <c r="X962" s="26"/>
      <c r="Y962" s="26"/>
    </row>
    <row r="963" spans="8:25" x14ac:dyDescent="0.2">
      <c r="H963" s="26"/>
      <c r="I963" s="26"/>
      <c r="J963" s="26"/>
      <c r="X963" s="26"/>
      <c r="Y963" s="26"/>
    </row>
    <row r="964" spans="8:25" x14ac:dyDescent="0.2">
      <c r="H964" s="26"/>
      <c r="I964" s="26"/>
      <c r="J964" s="26"/>
      <c r="X964" s="26"/>
      <c r="Y964" s="26"/>
    </row>
    <row r="965" spans="8:25" x14ac:dyDescent="0.2">
      <c r="H965" s="26"/>
      <c r="I965" s="26"/>
      <c r="J965" s="26"/>
      <c r="X965" s="26"/>
      <c r="Y965" s="26"/>
    </row>
    <row r="966" spans="8:25" x14ac:dyDescent="0.2">
      <c r="H966" s="26"/>
      <c r="I966" s="26"/>
      <c r="J966" s="26"/>
      <c r="X966" s="26"/>
      <c r="Y966" s="26"/>
    </row>
    <row r="967" spans="8:25" x14ac:dyDescent="0.2">
      <c r="H967" s="26"/>
      <c r="I967" s="26"/>
      <c r="J967" s="26"/>
      <c r="X967" s="26"/>
      <c r="Y967" s="26"/>
    </row>
    <row r="968" spans="8:25" x14ac:dyDescent="0.2">
      <c r="H968" s="26"/>
      <c r="I968" s="26"/>
      <c r="J968" s="26"/>
      <c r="X968" s="26"/>
      <c r="Y968" s="26"/>
    </row>
    <row r="969" spans="8:25" x14ac:dyDescent="0.2">
      <c r="H969" s="26"/>
      <c r="I969" s="26"/>
      <c r="J969" s="26"/>
      <c r="X969" s="26"/>
      <c r="Y969" s="26"/>
    </row>
    <row r="970" spans="8:25" x14ac:dyDescent="0.2">
      <c r="H970" s="26"/>
      <c r="I970" s="26"/>
      <c r="J970" s="26"/>
      <c r="X970" s="26"/>
      <c r="Y970" s="26"/>
    </row>
    <row r="971" spans="8:25" x14ac:dyDescent="0.2">
      <c r="H971" s="26"/>
      <c r="I971" s="26"/>
      <c r="J971" s="26"/>
      <c r="X971" s="26"/>
      <c r="Y971" s="26"/>
    </row>
    <row r="972" spans="8:25" x14ac:dyDescent="0.2">
      <c r="H972" s="26"/>
      <c r="I972" s="26"/>
      <c r="J972" s="26"/>
      <c r="X972" s="26"/>
      <c r="Y972" s="26"/>
    </row>
    <row r="973" spans="8:25" x14ac:dyDescent="0.2">
      <c r="H973" s="26"/>
      <c r="I973" s="26"/>
      <c r="J973" s="26"/>
      <c r="X973" s="26"/>
      <c r="Y973" s="26"/>
    </row>
    <row r="974" spans="8:25" x14ac:dyDescent="0.2">
      <c r="H974" s="26"/>
      <c r="I974" s="26"/>
      <c r="J974" s="26"/>
      <c r="X974" s="26"/>
      <c r="Y974" s="26"/>
    </row>
    <row r="975" spans="8:25" x14ac:dyDescent="0.2">
      <c r="H975" s="26"/>
      <c r="I975" s="26"/>
      <c r="J975" s="26"/>
      <c r="X975" s="26"/>
      <c r="Y975" s="26"/>
    </row>
    <row r="976" spans="8:25" x14ac:dyDescent="0.2">
      <c r="H976" s="26"/>
      <c r="I976" s="26"/>
      <c r="J976" s="26"/>
      <c r="X976" s="26"/>
      <c r="Y976" s="26"/>
    </row>
    <row r="977" spans="8:25" x14ac:dyDescent="0.2">
      <c r="H977" s="26"/>
      <c r="I977" s="26"/>
      <c r="J977" s="26"/>
      <c r="X977" s="26"/>
      <c r="Y977" s="26"/>
    </row>
    <row r="978" spans="8:25" x14ac:dyDescent="0.2">
      <c r="H978" s="26"/>
      <c r="I978" s="26"/>
      <c r="J978" s="26"/>
      <c r="X978" s="26"/>
      <c r="Y978" s="26"/>
    </row>
    <row r="979" spans="8:25" x14ac:dyDescent="0.2">
      <c r="H979" s="26"/>
      <c r="I979" s="26"/>
      <c r="J979" s="26"/>
      <c r="X979" s="26"/>
      <c r="Y979" s="26"/>
    </row>
    <row r="980" spans="8:25" x14ac:dyDescent="0.2">
      <c r="H980" s="26"/>
      <c r="I980" s="26"/>
      <c r="J980" s="26"/>
      <c r="X980" s="26"/>
      <c r="Y980" s="26"/>
    </row>
    <row r="981" spans="8:25" x14ac:dyDescent="0.2">
      <c r="H981" s="26"/>
      <c r="I981" s="26"/>
      <c r="J981" s="26"/>
      <c r="X981" s="26"/>
      <c r="Y981" s="26"/>
    </row>
    <row r="982" spans="8:25" x14ac:dyDescent="0.2">
      <c r="H982" s="26"/>
      <c r="I982" s="26"/>
      <c r="J982" s="26"/>
      <c r="X982" s="26"/>
      <c r="Y982" s="26"/>
    </row>
    <row r="983" spans="8:25" x14ac:dyDescent="0.2">
      <c r="H983" s="26"/>
      <c r="I983" s="26"/>
      <c r="J983" s="26"/>
      <c r="X983" s="26"/>
      <c r="Y983" s="26"/>
    </row>
    <row r="984" spans="8:25" x14ac:dyDescent="0.2">
      <c r="H984" s="26"/>
      <c r="I984" s="26"/>
      <c r="J984" s="26"/>
      <c r="X984" s="26"/>
      <c r="Y984" s="26"/>
    </row>
    <row r="985" spans="8:25" x14ac:dyDescent="0.2">
      <c r="H985" s="26"/>
      <c r="I985" s="26"/>
      <c r="J985" s="26"/>
      <c r="X985" s="26"/>
      <c r="Y985" s="26"/>
    </row>
    <row r="986" spans="8:25" x14ac:dyDescent="0.2">
      <c r="H986" s="26"/>
      <c r="I986" s="26"/>
      <c r="J986" s="26"/>
      <c r="X986" s="26"/>
      <c r="Y986" s="26"/>
    </row>
    <row r="987" spans="8:25" x14ac:dyDescent="0.2">
      <c r="H987" s="26"/>
      <c r="I987" s="26"/>
      <c r="J987" s="26"/>
      <c r="X987" s="26"/>
      <c r="Y987" s="26"/>
    </row>
    <row r="988" spans="8:25" x14ac:dyDescent="0.2">
      <c r="H988" s="26"/>
      <c r="I988" s="26"/>
      <c r="J988" s="26"/>
      <c r="X988" s="26"/>
      <c r="Y988" s="26"/>
    </row>
    <row r="989" spans="8:25" x14ac:dyDescent="0.2">
      <c r="H989" s="26"/>
      <c r="I989" s="26"/>
      <c r="J989" s="26"/>
      <c r="X989" s="26"/>
      <c r="Y989" s="26"/>
    </row>
    <row r="990" spans="8:25" x14ac:dyDescent="0.2">
      <c r="H990" s="26"/>
      <c r="I990" s="26"/>
      <c r="J990" s="26"/>
      <c r="X990" s="26"/>
      <c r="Y990" s="26"/>
    </row>
    <row r="991" spans="8:25" x14ac:dyDescent="0.2">
      <c r="H991" s="26"/>
      <c r="I991" s="26"/>
      <c r="J991" s="26"/>
      <c r="X991" s="26"/>
      <c r="Y991" s="26"/>
    </row>
    <row r="992" spans="8:25" x14ac:dyDescent="0.2">
      <c r="H992" s="26"/>
      <c r="I992" s="26"/>
      <c r="J992" s="26"/>
      <c r="X992" s="26"/>
      <c r="Y992" s="26"/>
    </row>
    <row r="993" spans="8:25" x14ac:dyDescent="0.2">
      <c r="H993" s="26"/>
      <c r="I993" s="26"/>
      <c r="J993" s="26"/>
      <c r="X993" s="26"/>
      <c r="Y993" s="26"/>
    </row>
    <row r="994" spans="8:25" x14ac:dyDescent="0.2">
      <c r="H994" s="26"/>
      <c r="I994" s="26"/>
      <c r="J994" s="26"/>
      <c r="X994" s="26"/>
      <c r="Y994" s="26"/>
    </row>
    <row r="995" spans="8:25" x14ac:dyDescent="0.2">
      <c r="H995" s="26"/>
      <c r="I995" s="26"/>
      <c r="J995" s="26"/>
      <c r="X995" s="26"/>
      <c r="Y995" s="26"/>
    </row>
    <row r="996" spans="8:25" x14ac:dyDescent="0.2">
      <c r="H996" s="26"/>
      <c r="I996" s="26"/>
      <c r="J996" s="26"/>
      <c r="X996" s="26"/>
      <c r="Y996" s="26"/>
    </row>
    <row r="997" spans="8:25" x14ac:dyDescent="0.2">
      <c r="H997" s="26"/>
      <c r="I997" s="26"/>
      <c r="J997" s="26"/>
      <c r="X997" s="26"/>
      <c r="Y997" s="26"/>
    </row>
    <row r="998" spans="8:25" x14ac:dyDescent="0.2">
      <c r="H998" s="26"/>
      <c r="I998" s="26"/>
      <c r="J998" s="26"/>
      <c r="X998" s="26"/>
      <c r="Y998" s="26"/>
    </row>
    <row r="999" spans="8:25" x14ac:dyDescent="0.2">
      <c r="H999" s="26"/>
      <c r="I999" s="26"/>
      <c r="J999" s="26"/>
      <c r="X999" s="26"/>
      <c r="Y999" s="26"/>
    </row>
    <row r="1000" spans="8:25" x14ac:dyDescent="0.2">
      <c r="H1000" s="26"/>
      <c r="I1000" s="26"/>
      <c r="J1000" s="26"/>
      <c r="X1000" s="26"/>
      <c r="Y1000" s="26"/>
    </row>
    <row r="1001" spans="8:25" x14ac:dyDescent="0.2">
      <c r="H1001" s="26"/>
      <c r="I1001" s="26"/>
      <c r="J1001" s="26"/>
      <c r="X1001" s="26"/>
      <c r="Y1001" s="26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BO1001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.75" customHeight="1" x14ac:dyDescent="0.2"/>
  <cols>
    <col min="1" max="1" width="6.42578125" customWidth="1"/>
    <col min="2" max="2" width="38.28515625" customWidth="1"/>
    <col min="3" max="3" width="4.42578125" customWidth="1"/>
    <col min="4" max="4" width="8.7109375" hidden="1" customWidth="1"/>
    <col min="5" max="5" width="30.7109375" hidden="1" customWidth="1"/>
    <col min="6" max="6" width="8.28515625" hidden="1" customWidth="1"/>
    <col min="7" max="7" width="29.42578125" hidden="1" customWidth="1"/>
    <col min="8" max="8" width="9.140625" hidden="1" customWidth="1"/>
    <col min="9" max="9" width="9.85546875" hidden="1" customWidth="1"/>
    <col min="10" max="10" width="7.140625" hidden="1" customWidth="1"/>
    <col min="11" max="11" width="10.42578125" customWidth="1"/>
    <col min="12" max="12" width="7" customWidth="1"/>
    <col min="13" max="13" width="9.28515625" hidden="1" customWidth="1"/>
    <col min="14" max="14" width="11.7109375" hidden="1" customWidth="1"/>
    <col min="15" max="15" width="9.42578125" customWidth="1"/>
    <col min="16" max="17" width="9.28515625" hidden="1" customWidth="1"/>
    <col min="18" max="18" width="12.5703125" hidden="1" customWidth="1"/>
    <col min="19" max="19" width="9.42578125" customWidth="1"/>
    <col min="20" max="21" width="9.28515625" hidden="1" customWidth="1"/>
    <col min="22" max="22" width="11.7109375" hidden="1" customWidth="1"/>
    <col min="23" max="23" width="9.42578125" customWidth="1"/>
    <col min="24" max="25" width="8" customWidth="1"/>
    <col min="26" max="26" width="10.42578125" customWidth="1"/>
    <col min="27" max="27" width="13.5703125" customWidth="1"/>
    <col min="28" max="28" width="9.42578125" customWidth="1"/>
    <col min="29" max="30" width="10.42578125" customWidth="1"/>
    <col min="31" max="31" width="11.7109375" customWidth="1"/>
    <col min="32" max="32" width="13.28515625" customWidth="1"/>
    <col min="33" max="33" width="9.42578125" customWidth="1"/>
    <col min="34" max="35" width="10.42578125" customWidth="1"/>
    <col min="36" max="36" width="11.7109375" customWidth="1"/>
    <col min="37" max="37" width="13.28515625" customWidth="1"/>
    <col min="38" max="38" width="9.42578125" customWidth="1"/>
    <col min="39" max="40" width="10.42578125" customWidth="1"/>
    <col min="41" max="41" width="11.7109375" customWidth="1"/>
    <col min="42" max="42" width="13.28515625" customWidth="1"/>
    <col min="43" max="43" width="9.42578125" customWidth="1"/>
    <col min="44" max="45" width="10.42578125" customWidth="1"/>
    <col min="46" max="46" width="11.7109375" customWidth="1"/>
    <col min="47" max="47" width="13.28515625" customWidth="1"/>
    <col min="48" max="48" width="9.42578125" customWidth="1"/>
    <col min="49" max="50" width="10.42578125" customWidth="1"/>
    <col min="51" max="51" width="11.7109375" customWidth="1"/>
    <col min="52" max="52" width="13.28515625" customWidth="1"/>
    <col min="53" max="53" width="9.42578125" customWidth="1"/>
    <col min="54" max="55" width="10.42578125" customWidth="1"/>
    <col min="56" max="56" width="11.7109375" customWidth="1"/>
    <col min="57" max="57" width="13.28515625" customWidth="1"/>
    <col min="58" max="58" width="9.42578125" customWidth="1"/>
    <col min="59" max="60" width="10.42578125" customWidth="1"/>
    <col min="61" max="61" width="11.7109375" customWidth="1"/>
    <col min="62" max="62" width="13.28515625" customWidth="1"/>
    <col min="63" max="63" width="9.42578125" customWidth="1"/>
    <col min="64" max="65" width="10.42578125" customWidth="1"/>
    <col min="66" max="66" width="11.7109375" customWidth="1"/>
    <col min="67" max="67" width="13.28515625" customWidth="1"/>
  </cols>
  <sheetData>
    <row r="1" spans="1:67" x14ac:dyDescent="0.2">
      <c r="A1" s="1"/>
      <c r="B1" s="1"/>
      <c r="C1" s="1"/>
      <c r="D1" s="1"/>
      <c r="E1" s="1"/>
      <c r="F1" s="1"/>
      <c r="G1" s="1"/>
      <c r="H1" s="2"/>
      <c r="I1" s="2"/>
      <c r="J1" s="3">
        <f t="shared" ref="J1:K1" si="0">SUM(J3:J91)</f>
        <v>247491.872</v>
      </c>
      <c r="K1" s="4">
        <f t="shared" si="0"/>
        <v>290</v>
      </c>
      <c r="L1" s="4"/>
      <c r="M1" s="1"/>
      <c r="N1" s="1"/>
      <c r="O1" s="5"/>
      <c r="P1" s="1"/>
      <c r="Q1" s="1"/>
      <c r="R1" s="1"/>
      <c r="S1" s="5"/>
      <c r="T1" s="1"/>
      <c r="U1" s="1"/>
      <c r="V1" s="1"/>
      <c r="W1" s="5"/>
      <c r="X1" s="7"/>
      <c r="Y1" s="7">
        <f>AA1/Z1</f>
        <v>0.82671797019438575</v>
      </c>
      <c r="Z1" s="10">
        <f t="shared" ref="Z1:AA1" si="1">SUM(Z3:Z91)</f>
        <v>1062177.7700000007</v>
      </c>
      <c r="AA1" s="10">
        <f t="shared" si="1"/>
        <v>878121.44999999972</v>
      </c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spans="1:67" x14ac:dyDescent="0.2">
      <c r="A2" s="12" t="s">
        <v>0</v>
      </c>
      <c r="B2" s="12" t="s">
        <v>1</v>
      </c>
      <c r="C2" s="12" t="s">
        <v>2</v>
      </c>
      <c r="D2" s="12" t="s">
        <v>4</v>
      </c>
      <c r="E2" s="12" t="s">
        <v>5</v>
      </c>
      <c r="F2" s="12" t="s">
        <v>6</v>
      </c>
      <c r="G2" s="12" t="s">
        <v>7</v>
      </c>
      <c r="H2" s="13" t="s">
        <v>8</v>
      </c>
      <c r="I2" s="13" t="s">
        <v>9</v>
      </c>
      <c r="J2" s="3" t="s">
        <v>10</v>
      </c>
      <c r="K2" s="4" t="s">
        <v>11</v>
      </c>
      <c r="L2" s="4"/>
      <c r="M2" s="12" t="s">
        <v>12</v>
      </c>
      <c r="N2" s="12" t="s">
        <v>13</v>
      </c>
      <c r="O2" s="5" t="s">
        <v>14</v>
      </c>
      <c r="P2" s="12"/>
      <c r="Q2" s="12" t="s">
        <v>15</v>
      </c>
      <c r="R2" s="12" t="s">
        <v>16</v>
      </c>
      <c r="S2" s="5" t="s">
        <v>17</v>
      </c>
      <c r="T2" s="12"/>
      <c r="U2" s="12" t="s">
        <v>18</v>
      </c>
      <c r="V2" s="12" t="s">
        <v>19</v>
      </c>
      <c r="W2" s="5" t="s">
        <v>20</v>
      </c>
      <c r="X2" s="12"/>
      <c r="Y2" s="12" t="s">
        <v>21</v>
      </c>
      <c r="Z2" s="13" t="s">
        <v>22</v>
      </c>
      <c r="AA2" s="13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2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2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2" t="s">
        <v>63</v>
      </c>
    </row>
    <row r="3" spans="1:67" x14ac:dyDescent="0.2">
      <c r="A3" s="1">
        <v>47001</v>
      </c>
      <c r="B3" s="1" t="s">
        <v>65</v>
      </c>
      <c r="C3" s="1">
        <v>16</v>
      </c>
      <c r="D3" s="1">
        <v>677</v>
      </c>
      <c r="E3" s="1" t="s">
        <v>64</v>
      </c>
      <c r="F3" s="1">
        <v>61</v>
      </c>
      <c r="G3" s="1" t="s">
        <v>66</v>
      </c>
      <c r="H3" s="2">
        <v>56.590200000000003</v>
      </c>
      <c r="I3" s="2">
        <v>905.44320000000005</v>
      </c>
      <c r="J3" s="14">
        <f t="shared" ref="J3:J91" si="2">K3*I3</f>
        <v>54326.592000000004</v>
      </c>
      <c r="K3" s="21">
        <f t="shared" ref="K3:K14" si="3">SUM(O3+S3+W3)</f>
        <v>60</v>
      </c>
      <c r="L3" s="19">
        <v>3</v>
      </c>
      <c r="M3" s="1">
        <v>42.31</v>
      </c>
      <c r="N3" s="1">
        <v>25.69</v>
      </c>
      <c r="O3" s="5">
        <v>20</v>
      </c>
      <c r="P3" s="1"/>
      <c r="Q3" s="1">
        <v>52.75</v>
      </c>
      <c r="R3" s="1">
        <v>27.81</v>
      </c>
      <c r="S3" s="5">
        <v>20</v>
      </c>
      <c r="T3" s="1"/>
      <c r="U3" s="1">
        <v>68.25</v>
      </c>
      <c r="V3" s="1">
        <v>49.12</v>
      </c>
      <c r="W3" s="5">
        <v>20</v>
      </c>
      <c r="X3" s="1"/>
      <c r="Y3" s="1">
        <v>0</v>
      </c>
      <c r="Z3" s="18">
        <v>147870.19</v>
      </c>
      <c r="AA3" s="2">
        <v>92921.11</v>
      </c>
      <c r="AB3" s="1">
        <v>249</v>
      </c>
      <c r="AC3" s="1">
        <v>183</v>
      </c>
      <c r="AD3" s="1">
        <v>250</v>
      </c>
      <c r="AE3" s="1">
        <v>173</v>
      </c>
      <c r="AF3" s="1">
        <v>411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270</v>
      </c>
      <c r="AW3" s="1">
        <v>152</v>
      </c>
      <c r="AX3" s="1">
        <v>315</v>
      </c>
      <c r="AY3" s="1">
        <v>366</v>
      </c>
      <c r="AZ3" s="1">
        <v>445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347</v>
      </c>
      <c r="BG3" s="1">
        <v>313</v>
      </c>
      <c r="BH3" s="1">
        <v>482</v>
      </c>
      <c r="BI3" s="1">
        <v>213</v>
      </c>
      <c r="BJ3" s="1">
        <v>786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</row>
    <row r="4" spans="1:67" x14ac:dyDescent="0.2">
      <c r="A4" s="1">
        <v>47023</v>
      </c>
      <c r="B4" s="1" t="s">
        <v>76</v>
      </c>
      <c r="C4" s="1">
        <v>8</v>
      </c>
      <c r="D4" s="1">
        <v>677</v>
      </c>
      <c r="E4" s="1" t="s">
        <v>64</v>
      </c>
      <c r="F4" s="1">
        <v>61</v>
      </c>
      <c r="G4" s="1" t="s">
        <v>66</v>
      </c>
      <c r="H4" s="2">
        <v>105.55</v>
      </c>
      <c r="I4" s="2">
        <v>844.4</v>
      </c>
      <c r="J4" s="14">
        <f t="shared" si="2"/>
        <v>67552</v>
      </c>
      <c r="K4" s="21">
        <f t="shared" si="3"/>
        <v>80</v>
      </c>
      <c r="L4" s="15"/>
      <c r="M4" s="1">
        <v>33.380000000000003</v>
      </c>
      <c r="N4" s="1">
        <v>13.5</v>
      </c>
      <c r="O4" s="5">
        <v>20</v>
      </c>
      <c r="P4" s="1"/>
      <c r="Q4" s="1">
        <v>29.31</v>
      </c>
      <c r="R4" s="1">
        <v>7.88</v>
      </c>
      <c r="S4" s="5">
        <v>40</v>
      </c>
      <c r="T4" s="1"/>
      <c r="U4" s="1">
        <v>36.56</v>
      </c>
      <c r="V4" s="1">
        <v>29</v>
      </c>
      <c r="W4" s="5">
        <v>20</v>
      </c>
      <c r="X4" s="1"/>
      <c r="Y4" s="1">
        <v>0</v>
      </c>
      <c r="Z4" s="18">
        <v>83806.7</v>
      </c>
      <c r="AA4" s="2">
        <v>42536.65</v>
      </c>
      <c r="AB4" s="1">
        <v>81</v>
      </c>
      <c r="AC4" s="1">
        <v>73</v>
      </c>
      <c r="AD4" s="1">
        <v>125</v>
      </c>
      <c r="AE4" s="1">
        <v>49</v>
      </c>
      <c r="AF4" s="1">
        <v>108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95</v>
      </c>
      <c r="AW4" s="1">
        <v>38</v>
      </c>
      <c r="AX4" s="1">
        <v>84</v>
      </c>
      <c r="AY4" s="1">
        <v>73</v>
      </c>
      <c r="AZ4" s="1">
        <v>63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101</v>
      </c>
      <c r="BG4" s="1">
        <v>51</v>
      </c>
      <c r="BH4" s="1">
        <v>131</v>
      </c>
      <c r="BI4" s="1">
        <v>70</v>
      </c>
      <c r="BJ4" s="1">
        <v>232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</row>
    <row r="5" spans="1:67" x14ac:dyDescent="0.2">
      <c r="A5" s="1">
        <v>47010</v>
      </c>
      <c r="B5" s="1" t="s">
        <v>71</v>
      </c>
      <c r="C5" s="1">
        <v>24</v>
      </c>
      <c r="D5" s="1">
        <v>677</v>
      </c>
      <c r="E5" s="1" t="s">
        <v>64</v>
      </c>
      <c r="F5" s="1">
        <v>61</v>
      </c>
      <c r="G5" s="1" t="s">
        <v>66</v>
      </c>
      <c r="H5" s="2">
        <v>48.56</v>
      </c>
      <c r="I5" s="2">
        <v>1165.44</v>
      </c>
      <c r="J5" s="14">
        <f t="shared" si="2"/>
        <v>0</v>
      </c>
      <c r="K5" s="15">
        <f t="shared" si="3"/>
        <v>0</v>
      </c>
      <c r="L5" s="15"/>
      <c r="M5" s="1">
        <v>17.850000000000001</v>
      </c>
      <c r="N5" s="1">
        <v>29.71</v>
      </c>
      <c r="O5" s="17">
        <f t="shared" ref="O5:O6" si="4">MAX(0,(TRUNC((M5*0.8)-N5)))</f>
        <v>0</v>
      </c>
      <c r="P5" s="1"/>
      <c r="Q5" s="1">
        <v>23.08</v>
      </c>
      <c r="R5" s="1">
        <v>11.42</v>
      </c>
      <c r="S5" s="5">
        <v>0</v>
      </c>
      <c r="T5" s="1" t="s">
        <v>92</v>
      </c>
      <c r="U5" s="1">
        <v>26.31</v>
      </c>
      <c r="V5" s="1">
        <v>45.71</v>
      </c>
      <c r="W5" s="17">
        <f>MAX(0,(TRUNC((U5*0.8)-V5)))</f>
        <v>0</v>
      </c>
      <c r="X5" s="1"/>
      <c r="Y5" s="1">
        <v>0</v>
      </c>
      <c r="Z5" s="18">
        <v>78375.839999999997</v>
      </c>
      <c r="AA5" s="2">
        <v>101199.03999999999</v>
      </c>
      <c r="AB5" s="1">
        <v>200</v>
      </c>
      <c r="AC5" s="1">
        <v>79</v>
      </c>
      <c r="AD5" s="1">
        <v>106</v>
      </c>
      <c r="AE5" s="1">
        <v>166</v>
      </c>
      <c r="AF5" s="1">
        <v>713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134</v>
      </c>
      <c r="AW5" s="1">
        <v>136</v>
      </c>
      <c r="AX5" s="1">
        <v>244</v>
      </c>
      <c r="AY5" s="1">
        <v>216</v>
      </c>
      <c r="AZ5" s="1">
        <v>274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198</v>
      </c>
      <c r="BG5" s="1">
        <v>217</v>
      </c>
      <c r="BH5" s="1">
        <v>212</v>
      </c>
      <c r="BI5" s="1">
        <v>226</v>
      </c>
      <c r="BJ5" s="1">
        <v>1097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</row>
    <row r="6" spans="1:67" x14ac:dyDescent="0.2">
      <c r="A6" s="1">
        <v>47012</v>
      </c>
      <c r="B6" s="1" t="s">
        <v>74</v>
      </c>
      <c r="C6" s="1">
        <v>18</v>
      </c>
      <c r="D6" s="1">
        <v>677</v>
      </c>
      <c r="E6" s="1" t="s">
        <v>64</v>
      </c>
      <c r="F6" s="1">
        <v>61</v>
      </c>
      <c r="G6" s="1" t="s">
        <v>66</v>
      </c>
      <c r="H6" s="2">
        <v>58.837899999999998</v>
      </c>
      <c r="I6" s="2">
        <v>1059.0822000000001</v>
      </c>
      <c r="J6" s="14">
        <f t="shared" si="2"/>
        <v>0</v>
      </c>
      <c r="K6" s="15">
        <f t="shared" si="3"/>
        <v>0</v>
      </c>
      <c r="L6" s="15"/>
      <c r="M6" s="1">
        <v>11.14</v>
      </c>
      <c r="N6" s="1">
        <v>25.61</v>
      </c>
      <c r="O6" s="17">
        <f t="shared" si="4"/>
        <v>0</v>
      </c>
      <c r="P6" s="1"/>
      <c r="Q6" s="1">
        <v>17.89</v>
      </c>
      <c r="R6" s="1">
        <v>20.67</v>
      </c>
      <c r="S6" s="17">
        <f>MAX(0,(TRUNC((Q6*0.8)-R6)))</f>
        <v>0</v>
      </c>
      <c r="T6" s="1"/>
      <c r="U6" s="1">
        <v>35.03</v>
      </c>
      <c r="V6" s="1">
        <v>18.28</v>
      </c>
      <c r="W6" s="5">
        <v>0</v>
      </c>
      <c r="X6" s="1" t="s">
        <v>80</v>
      </c>
      <c r="Y6" s="1">
        <v>0</v>
      </c>
      <c r="Z6" s="18">
        <v>67840.100000000006</v>
      </c>
      <c r="AA6" s="2">
        <v>68369.64</v>
      </c>
      <c r="AB6" s="1">
        <v>182</v>
      </c>
      <c r="AC6" s="1">
        <v>27</v>
      </c>
      <c r="AD6" s="1">
        <v>5</v>
      </c>
      <c r="AE6" s="1">
        <v>0</v>
      </c>
      <c r="AF6" s="1">
        <v>461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219</v>
      </c>
      <c r="AW6" s="1">
        <v>142</v>
      </c>
      <c r="AX6" s="1">
        <v>32</v>
      </c>
      <c r="AY6" s="1">
        <v>0</v>
      </c>
      <c r="AZ6" s="1">
        <v>372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174</v>
      </c>
      <c r="BG6" s="1">
        <v>192</v>
      </c>
      <c r="BH6" s="1">
        <v>347</v>
      </c>
      <c r="BI6" s="1">
        <v>27</v>
      </c>
      <c r="BJ6" s="1">
        <v>329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</row>
    <row r="7" spans="1:67" x14ac:dyDescent="0.2">
      <c r="A7" s="1">
        <v>47005</v>
      </c>
      <c r="B7" s="1" t="s">
        <v>68</v>
      </c>
      <c r="C7" s="1">
        <v>24</v>
      </c>
      <c r="D7" s="1">
        <v>677</v>
      </c>
      <c r="E7" s="1" t="s">
        <v>64</v>
      </c>
      <c r="F7" s="1">
        <v>61</v>
      </c>
      <c r="G7" s="1" t="s">
        <v>66</v>
      </c>
      <c r="H7" s="2">
        <v>22.315999999999999</v>
      </c>
      <c r="I7" s="2">
        <v>535.58399999999995</v>
      </c>
      <c r="J7" s="14">
        <f t="shared" si="2"/>
        <v>21423.359999999997</v>
      </c>
      <c r="K7" s="21">
        <f t="shared" si="3"/>
        <v>40</v>
      </c>
      <c r="L7" s="19">
        <v>4</v>
      </c>
      <c r="M7" s="1">
        <v>29.1</v>
      </c>
      <c r="N7" s="1">
        <v>17.920000000000002</v>
      </c>
      <c r="O7" s="5">
        <v>10</v>
      </c>
      <c r="P7" s="1"/>
      <c r="Q7" s="1">
        <v>48.94</v>
      </c>
      <c r="R7" s="1">
        <v>30.67</v>
      </c>
      <c r="S7" s="5">
        <v>20</v>
      </c>
      <c r="T7" s="1"/>
      <c r="U7" s="1">
        <v>47.85</v>
      </c>
      <c r="V7" s="1">
        <v>32.25</v>
      </c>
      <c r="W7" s="5">
        <v>10</v>
      </c>
      <c r="X7" s="1"/>
      <c r="Y7" s="1">
        <v>0</v>
      </c>
      <c r="Z7" s="18">
        <v>67427.789999999994</v>
      </c>
      <c r="AA7" s="2">
        <v>43293.04</v>
      </c>
      <c r="AB7" s="1">
        <v>256</v>
      </c>
      <c r="AC7" s="1">
        <v>180</v>
      </c>
      <c r="AD7" s="1">
        <v>206</v>
      </c>
      <c r="AE7" s="1">
        <v>293</v>
      </c>
      <c r="AF7" s="1">
        <v>430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430</v>
      </c>
      <c r="AW7" s="1">
        <v>250</v>
      </c>
      <c r="AX7" s="1">
        <v>353</v>
      </c>
      <c r="AY7" s="1">
        <v>533</v>
      </c>
      <c r="AZ7" s="1">
        <v>736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509</v>
      </c>
      <c r="BG7" s="1">
        <v>193</v>
      </c>
      <c r="BH7" s="1">
        <v>397</v>
      </c>
      <c r="BI7" s="1">
        <v>292</v>
      </c>
      <c r="BJ7" s="1">
        <v>774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</row>
    <row r="8" spans="1:67" x14ac:dyDescent="0.2">
      <c r="A8" s="1">
        <v>47046</v>
      </c>
      <c r="B8" s="1" t="s">
        <v>78</v>
      </c>
      <c r="C8" s="1">
        <v>24</v>
      </c>
      <c r="D8" s="1">
        <v>677</v>
      </c>
      <c r="E8" s="1" t="s">
        <v>64</v>
      </c>
      <c r="F8" s="1">
        <v>61</v>
      </c>
      <c r="G8" s="1" t="s">
        <v>66</v>
      </c>
      <c r="H8" s="2">
        <v>39.11</v>
      </c>
      <c r="I8" s="2">
        <v>938.64</v>
      </c>
      <c r="J8" s="14">
        <f t="shared" si="2"/>
        <v>0</v>
      </c>
      <c r="K8" s="15">
        <f t="shared" si="3"/>
        <v>0</v>
      </c>
      <c r="L8" s="15"/>
      <c r="M8" s="1">
        <v>9.85</v>
      </c>
      <c r="N8" s="1">
        <v>21.42</v>
      </c>
      <c r="O8" s="17">
        <f>MAX(0,(TRUNC((M8*0.8)-N8)))</f>
        <v>0</v>
      </c>
      <c r="P8" s="1"/>
      <c r="Q8" s="1">
        <v>20.149999999999999</v>
      </c>
      <c r="R8" s="1">
        <v>19.920000000000002</v>
      </c>
      <c r="S8" s="17">
        <f t="shared" ref="S8:S9" si="5">MAX(0,(TRUNC((Q8*0.8)-R8)))</f>
        <v>0</v>
      </c>
      <c r="T8" s="1"/>
      <c r="U8" s="1">
        <v>28.75</v>
      </c>
      <c r="V8" s="1">
        <v>26.92</v>
      </c>
      <c r="W8" s="17">
        <f t="shared" ref="W8:W9" si="6">MAX(0,(TRUNC((U8*0.8)-V8)))</f>
        <v>0</v>
      </c>
      <c r="X8" s="1"/>
      <c r="Y8" s="1">
        <v>0</v>
      </c>
      <c r="Z8" s="18">
        <v>55145.1</v>
      </c>
      <c r="AA8" s="2">
        <v>64062.18</v>
      </c>
      <c r="AB8" s="1">
        <v>71</v>
      </c>
      <c r="AC8" s="1">
        <v>45</v>
      </c>
      <c r="AD8" s="1">
        <v>110</v>
      </c>
      <c r="AE8" s="1">
        <v>66</v>
      </c>
      <c r="AF8" s="1">
        <v>514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171</v>
      </c>
      <c r="AW8" s="1">
        <v>89</v>
      </c>
      <c r="AX8" s="1">
        <v>165</v>
      </c>
      <c r="AY8" s="1">
        <v>206</v>
      </c>
      <c r="AZ8" s="1">
        <v>478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172</v>
      </c>
      <c r="BG8" s="1">
        <v>129</v>
      </c>
      <c r="BH8" s="1">
        <v>383</v>
      </c>
      <c r="BI8" s="1">
        <v>141</v>
      </c>
      <c r="BJ8" s="1">
        <v>646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</row>
    <row r="9" spans="1:67" x14ac:dyDescent="0.2">
      <c r="A9" s="1">
        <v>10703</v>
      </c>
      <c r="B9" s="1" t="s">
        <v>82</v>
      </c>
      <c r="C9" s="1">
        <v>12</v>
      </c>
      <c r="D9" s="1">
        <v>677</v>
      </c>
      <c r="E9" s="1" t="s">
        <v>64</v>
      </c>
      <c r="F9" s="1">
        <v>542</v>
      </c>
      <c r="G9" s="1" t="s">
        <v>84</v>
      </c>
      <c r="H9" s="2">
        <v>133.74420000000001</v>
      </c>
      <c r="I9" s="2">
        <v>1604.9304</v>
      </c>
      <c r="J9" s="14">
        <f t="shared" si="2"/>
        <v>0</v>
      </c>
      <c r="K9" s="15">
        <f t="shared" si="3"/>
        <v>0</v>
      </c>
      <c r="L9" s="15"/>
      <c r="M9" s="1">
        <v>8.7100000000000009</v>
      </c>
      <c r="N9" s="1">
        <v>1.75</v>
      </c>
      <c r="O9" s="5">
        <v>0</v>
      </c>
      <c r="P9" s="1" t="s">
        <v>128</v>
      </c>
      <c r="Q9" s="1">
        <v>12.08</v>
      </c>
      <c r="R9" s="1">
        <v>17.829999999999998</v>
      </c>
      <c r="S9" s="17">
        <f t="shared" si="5"/>
        <v>0</v>
      </c>
      <c r="T9" s="1"/>
      <c r="U9" s="1">
        <v>10.67</v>
      </c>
      <c r="V9" s="1">
        <v>14.42</v>
      </c>
      <c r="W9" s="17">
        <f t="shared" si="6"/>
        <v>0</v>
      </c>
      <c r="X9" s="1"/>
      <c r="Y9" s="1">
        <v>0</v>
      </c>
      <c r="Z9" s="18">
        <v>50488.44</v>
      </c>
      <c r="AA9" s="2">
        <v>54567.63</v>
      </c>
      <c r="AB9" s="1">
        <v>58</v>
      </c>
      <c r="AC9" s="1">
        <v>17</v>
      </c>
      <c r="AD9" s="1">
        <v>23</v>
      </c>
      <c r="AE9" s="1">
        <v>30</v>
      </c>
      <c r="AF9" s="1">
        <v>21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45</v>
      </c>
      <c r="AW9" s="1">
        <v>19</v>
      </c>
      <c r="AX9" s="1">
        <v>70</v>
      </c>
      <c r="AY9" s="1">
        <v>41</v>
      </c>
      <c r="AZ9" s="1">
        <v>214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34</v>
      </c>
      <c r="BG9" s="1">
        <v>33</v>
      </c>
      <c r="BH9" s="1">
        <v>65</v>
      </c>
      <c r="BI9" s="1">
        <v>25</v>
      </c>
      <c r="BJ9" s="1">
        <v>173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</row>
    <row r="10" spans="1:67" x14ac:dyDescent="0.2">
      <c r="A10" s="1">
        <v>47008</v>
      </c>
      <c r="B10" s="1" t="s">
        <v>93</v>
      </c>
      <c r="C10" s="1">
        <v>24</v>
      </c>
      <c r="D10" s="1">
        <v>677</v>
      </c>
      <c r="E10" s="1" t="s">
        <v>64</v>
      </c>
      <c r="F10" s="1">
        <v>61</v>
      </c>
      <c r="G10" s="1" t="s">
        <v>66</v>
      </c>
      <c r="H10" s="2">
        <v>35.74</v>
      </c>
      <c r="I10" s="2">
        <v>857.76</v>
      </c>
      <c r="J10" s="14">
        <f t="shared" si="2"/>
        <v>42888</v>
      </c>
      <c r="K10" s="21">
        <f t="shared" si="3"/>
        <v>50</v>
      </c>
      <c r="L10" s="15"/>
      <c r="M10" s="1">
        <v>10.210000000000001</v>
      </c>
      <c r="N10" s="1">
        <v>3.79</v>
      </c>
      <c r="O10" s="5">
        <v>10</v>
      </c>
      <c r="P10" s="1"/>
      <c r="Q10" s="1">
        <v>16.149999999999999</v>
      </c>
      <c r="R10" s="1">
        <v>1.04</v>
      </c>
      <c r="S10" s="5">
        <v>20</v>
      </c>
      <c r="T10" s="1"/>
      <c r="U10" s="1">
        <v>31.81</v>
      </c>
      <c r="V10" s="1">
        <v>10.79</v>
      </c>
      <c r="W10" s="5">
        <v>20</v>
      </c>
      <c r="X10" s="1"/>
      <c r="Y10" s="1">
        <v>0</v>
      </c>
      <c r="Z10" s="18">
        <v>49893.04</v>
      </c>
      <c r="AA10" s="2">
        <v>13402.5</v>
      </c>
      <c r="AB10" s="1">
        <v>58</v>
      </c>
      <c r="AC10" s="1">
        <v>44</v>
      </c>
      <c r="AD10" s="1">
        <v>123</v>
      </c>
      <c r="AE10" s="1">
        <v>84</v>
      </c>
      <c r="AF10" s="1">
        <v>91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104</v>
      </c>
      <c r="AW10" s="1">
        <v>111</v>
      </c>
      <c r="AX10" s="1">
        <v>168</v>
      </c>
      <c r="AY10" s="1">
        <v>120</v>
      </c>
      <c r="AZ10" s="1">
        <v>25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245</v>
      </c>
      <c r="BG10" s="1">
        <v>101</v>
      </c>
      <c r="BH10" s="1">
        <v>423</v>
      </c>
      <c r="BI10" s="1">
        <v>90</v>
      </c>
      <c r="BJ10" s="1">
        <v>259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</row>
    <row r="11" spans="1:67" x14ac:dyDescent="0.2">
      <c r="A11" s="1">
        <v>47000</v>
      </c>
      <c r="B11" s="1" t="s">
        <v>85</v>
      </c>
      <c r="C11" s="1">
        <v>16</v>
      </c>
      <c r="D11" s="1">
        <v>677</v>
      </c>
      <c r="E11" s="1" t="s">
        <v>64</v>
      </c>
      <c r="F11" s="1">
        <v>61</v>
      </c>
      <c r="G11" s="1" t="s">
        <v>66</v>
      </c>
      <c r="H11" s="2">
        <v>56.59</v>
      </c>
      <c r="I11" s="2">
        <v>905.44</v>
      </c>
      <c r="J11" s="14">
        <f t="shared" si="2"/>
        <v>36217.600000000006</v>
      </c>
      <c r="K11" s="21">
        <f t="shared" si="3"/>
        <v>40</v>
      </c>
      <c r="L11" s="19">
        <v>2</v>
      </c>
      <c r="M11" s="1">
        <v>10.06</v>
      </c>
      <c r="N11" s="1">
        <v>9.3800000000000008</v>
      </c>
      <c r="O11" s="17">
        <f t="shared" ref="O11:O18" si="7">MAX(0,(TRUNC((M11*0.8)-N11)))</f>
        <v>0</v>
      </c>
      <c r="P11" s="1"/>
      <c r="Q11" s="1">
        <v>27.03</v>
      </c>
      <c r="R11" s="1">
        <v>3.31</v>
      </c>
      <c r="S11" s="5">
        <v>20</v>
      </c>
      <c r="T11" s="1"/>
      <c r="U11" s="1">
        <v>13.41</v>
      </c>
      <c r="V11" s="1">
        <v>3.12</v>
      </c>
      <c r="W11" s="5">
        <v>20</v>
      </c>
      <c r="X11" s="1"/>
      <c r="Y11" s="1">
        <v>0</v>
      </c>
      <c r="Z11" s="18">
        <v>45724.72</v>
      </c>
      <c r="AA11" s="2">
        <v>14317.27</v>
      </c>
      <c r="AB11" s="1">
        <v>28</v>
      </c>
      <c r="AC11" s="1">
        <v>22</v>
      </c>
      <c r="AD11" s="1">
        <v>100</v>
      </c>
      <c r="AE11" s="1">
        <v>44</v>
      </c>
      <c r="AF11" s="1">
        <v>150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124</v>
      </c>
      <c r="AW11" s="1">
        <v>114</v>
      </c>
      <c r="AX11" s="1">
        <v>167</v>
      </c>
      <c r="AY11" s="1">
        <v>169</v>
      </c>
      <c r="AZ11" s="1">
        <v>53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62</v>
      </c>
      <c r="BG11" s="1">
        <v>48</v>
      </c>
      <c r="BH11" s="1">
        <v>109</v>
      </c>
      <c r="BI11" s="1">
        <v>39</v>
      </c>
      <c r="BJ11" s="1">
        <v>50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</row>
    <row r="12" spans="1:67" x14ac:dyDescent="0.2">
      <c r="A12" s="1">
        <v>47039</v>
      </c>
      <c r="B12" s="1" t="s">
        <v>79</v>
      </c>
      <c r="C12" s="1">
        <v>24</v>
      </c>
      <c r="D12" s="1">
        <v>677</v>
      </c>
      <c r="E12" s="1" t="s">
        <v>64</v>
      </c>
      <c r="F12" s="1">
        <v>61</v>
      </c>
      <c r="G12" s="1" t="s">
        <v>66</v>
      </c>
      <c r="H12" s="2">
        <v>52.259</v>
      </c>
      <c r="I12" s="2">
        <v>1254.2159999999999</v>
      </c>
      <c r="J12" s="14">
        <f t="shared" si="2"/>
        <v>12542.16</v>
      </c>
      <c r="K12" s="21">
        <f t="shared" si="3"/>
        <v>10</v>
      </c>
      <c r="L12" s="15"/>
      <c r="M12" s="1">
        <v>6.71</v>
      </c>
      <c r="N12" s="1">
        <v>6.42</v>
      </c>
      <c r="O12" s="17">
        <f t="shared" si="7"/>
        <v>0</v>
      </c>
      <c r="P12" s="1"/>
      <c r="Q12" s="1">
        <v>15.67</v>
      </c>
      <c r="R12" s="1">
        <v>2.96</v>
      </c>
      <c r="S12" s="5">
        <v>10</v>
      </c>
      <c r="T12" s="1" t="s">
        <v>128</v>
      </c>
      <c r="U12" s="1">
        <v>9.6</v>
      </c>
      <c r="V12" s="1">
        <v>16.75</v>
      </c>
      <c r="W12" s="17">
        <f t="shared" ref="W12:W91" si="8">MAX(0,(TRUNC((U12*0.8)-V12)))</f>
        <v>0</v>
      </c>
      <c r="X12" s="1"/>
      <c r="Y12" s="1">
        <v>0</v>
      </c>
      <c r="Z12" s="18">
        <v>40108.78</v>
      </c>
      <c r="AA12" s="2">
        <v>32766.39</v>
      </c>
      <c r="AB12" s="1">
        <v>41</v>
      </c>
      <c r="AC12" s="1">
        <v>29</v>
      </c>
      <c r="AD12" s="1">
        <v>63</v>
      </c>
      <c r="AE12" s="1">
        <v>85</v>
      </c>
      <c r="AF12" s="1">
        <v>154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108</v>
      </c>
      <c r="AW12" s="1">
        <v>87</v>
      </c>
      <c r="AX12" s="1">
        <v>176</v>
      </c>
      <c r="AY12" s="1">
        <v>97</v>
      </c>
      <c r="AZ12" s="1">
        <v>71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28</v>
      </c>
      <c r="BG12" s="1">
        <v>24</v>
      </c>
      <c r="BH12" s="1">
        <v>149</v>
      </c>
      <c r="BI12" s="1">
        <v>83</v>
      </c>
      <c r="BJ12" s="1">
        <v>402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</row>
    <row r="13" spans="1:67" x14ac:dyDescent="0.2">
      <c r="A13" s="1">
        <v>47039</v>
      </c>
      <c r="B13" s="1" t="s">
        <v>79</v>
      </c>
      <c r="C13" s="1">
        <v>24</v>
      </c>
      <c r="D13" s="1">
        <v>677</v>
      </c>
      <c r="E13" s="1" t="s">
        <v>64</v>
      </c>
      <c r="F13" s="1">
        <v>61</v>
      </c>
      <c r="G13" s="1" t="s">
        <v>66</v>
      </c>
      <c r="H13" s="2">
        <v>52.259</v>
      </c>
      <c r="I13" s="2">
        <v>1254.2159999999999</v>
      </c>
      <c r="J13" s="14">
        <f t="shared" si="2"/>
        <v>12542.16</v>
      </c>
      <c r="K13" s="21">
        <f t="shared" si="3"/>
        <v>10</v>
      </c>
      <c r="L13" s="15"/>
      <c r="M13" s="1">
        <v>6.71</v>
      </c>
      <c r="N13" s="1">
        <v>6.42</v>
      </c>
      <c r="O13" s="17">
        <f t="shared" si="7"/>
        <v>0</v>
      </c>
      <c r="P13" s="1"/>
      <c r="Q13" s="1">
        <v>15.67</v>
      </c>
      <c r="R13" s="1">
        <v>2.96</v>
      </c>
      <c r="S13" s="5">
        <v>10</v>
      </c>
      <c r="T13" s="1" t="s">
        <v>128</v>
      </c>
      <c r="U13" s="1">
        <v>9.6</v>
      </c>
      <c r="V13" s="1">
        <v>16.75</v>
      </c>
      <c r="W13" s="17">
        <f t="shared" si="8"/>
        <v>0</v>
      </c>
      <c r="X13" s="1"/>
      <c r="Y13" s="1">
        <v>0</v>
      </c>
      <c r="Z13" s="18">
        <v>40108.78</v>
      </c>
      <c r="AA13" s="2">
        <v>32766.39</v>
      </c>
      <c r="AB13" s="1">
        <v>41</v>
      </c>
      <c r="AC13" s="1">
        <v>29</v>
      </c>
      <c r="AD13" s="1">
        <v>63</v>
      </c>
      <c r="AE13" s="1">
        <v>85</v>
      </c>
      <c r="AF13" s="1">
        <v>154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108</v>
      </c>
      <c r="AW13" s="1">
        <v>87</v>
      </c>
      <c r="AX13" s="1">
        <v>176</v>
      </c>
      <c r="AY13" s="1">
        <v>97</v>
      </c>
      <c r="AZ13" s="1">
        <v>71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28</v>
      </c>
      <c r="BG13" s="1">
        <v>24</v>
      </c>
      <c r="BH13" s="1">
        <v>149</v>
      </c>
      <c r="BI13" s="1">
        <v>83</v>
      </c>
      <c r="BJ13" s="1">
        <v>402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</row>
    <row r="14" spans="1:67" x14ac:dyDescent="0.2">
      <c r="A14" s="1">
        <v>47038</v>
      </c>
      <c r="B14" s="1" t="s">
        <v>90</v>
      </c>
      <c r="C14" s="1">
        <v>28</v>
      </c>
      <c r="D14" s="1">
        <v>677</v>
      </c>
      <c r="E14" s="1" t="s">
        <v>64</v>
      </c>
      <c r="F14" s="1">
        <v>61</v>
      </c>
      <c r="G14" s="1" t="s">
        <v>66</v>
      </c>
      <c r="H14" s="2">
        <v>26.59</v>
      </c>
      <c r="I14" s="2">
        <v>744.52</v>
      </c>
      <c r="J14" s="14">
        <f t="shared" si="2"/>
        <v>0</v>
      </c>
      <c r="K14" s="15">
        <f t="shared" si="3"/>
        <v>0</v>
      </c>
      <c r="L14" s="15"/>
      <c r="M14" s="1">
        <v>11.25</v>
      </c>
      <c r="N14" s="1">
        <v>10.210000000000001</v>
      </c>
      <c r="O14" s="17">
        <f t="shared" si="7"/>
        <v>0</v>
      </c>
      <c r="P14" s="1"/>
      <c r="Q14" s="1">
        <v>15.04</v>
      </c>
      <c r="R14" s="1">
        <v>22.86</v>
      </c>
      <c r="S14" s="17">
        <f t="shared" ref="S14:S19" si="9">MAX(0,(TRUNC((Q14*0.8)-R14)))</f>
        <v>0</v>
      </c>
      <c r="T14" s="1"/>
      <c r="U14" s="1">
        <v>12.62</v>
      </c>
      <c r="V14" s="1">
        <v>17.75</v>
      </c>
      <c r="W14" s="17">
        <f t="shared" si="8"/>
        <v>0</v>
      </c>
      <c r="X14" s="1"/>
      <c r="Y14" s="1">
        <v>0</v>
      </c>
      <c r="Z14" s="18">
        <v>28969.8</v>
      </c>
      <c r="AA14" s="2">
        <v>37837.57</v>
      </c>
      <c r="AB14" s="1">
        <v>39</v>
      </c>
      <c r="AC14" s="1">
        <v>24</v>
      </c>
      <c r="AD14" s="1">
        <v>165</v>
      </c>
      <c r="AE14" s="1">
        <v>198</v>
      </c>
      <c r="AF14" s="1">
        <v>286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122</v>
      </c>
      <c r="AW14" s="1">
        <v>54</v>
      </c>
      <c r="AX14" s="1">
        <v>170</v>
      </c>
      <c r="AY14" s="1">
        <v>204</v>
      </c>
      <c r="AZ14" s="1">
        <v>640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129</v>
      </c>
      <c r="BG14" s="1">
        <v>33</v>
      </c>
      <c r="BH14" s="1">
        <v>186</v>
      </c>
      <c r="BI14" s="1">
        <v>44</v>
      </c>
      <c r="BJ14" s="1">
        <v>497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</row>
    <row r="15" spans="1:67" x14ac:dyDescent="0.2">
      <c r="A15" s="1">
        <v>48084</v>
      </c>
      <c r="B15" s="1" t="s">
        <v>100</v>
      </c>
      <c r="C15" s="1">
        <v>12</v>
      </c>
      <c r="D15" s="1">
        <v>677</v>
      </c>
      <c r="E15" s="1" t="s">
        <v>64</v>
      </c>
      <c r="F15" s="1">
        <v>690</v>
      </c>
      <c r="G15" s="1" t="s">
        <v>101</v>
      </c>
      <c r="H15" s="2">
        <v>54.916699999999999</v>
      </c>
      <c r="I15" s="2">
        <v>659.00040000000001</v>
      </c>
      <c r="J15" s="14">
        <f t="shared" si="2"/>
        <v>0</v>
      </c>
      <c r="K15" s="4">
        <v>0</v>
      </c>
      <c r="L15" s="4"/>
      <c r="M15" s="1">
        <v>15.42</v>
      </c>
      <c r="N15" s="1">
        <v>16.329999999999998</v>
      </c>
      <c r="O15" s="17">
        <f t="shared" si="7"/>
        <v>0</v>
      </c>
      <c r="P15" s="1"/>
      <c r="Q15" s="1">
        <v>8.6199999999999992</v>
      </c>
      <c r="R15" s="1">
        <v>4.5</v>
      </c>
      <c r="S15" s="17">
        <f t="shared" si="9"/>
        <v>2</v>
      </c>
      <c r="T15" s="1"/>
      <c r="U15" s="1">
        <v>19.79</v>
      </c>
      <c r="V15" s="1">
        <v>18.420000000000002</v>
      </c>
      <c r="W15" s="17">
        <f t="shared" si="8"/>
        <v>0</v>
      </c>
      <c r="X15" s="1"/>
      <c r="Y15" s="1">
        <v>0</v>
      </c>
      <c r="Z15" s="18">
        <v>28886.18</v>
      </c>
      <c r="AA15" s="2">
        <v>25865.77</v>
      </c>
      <c r="AB15" s="1">
        <v>27</v>
      </c>
      <c r="AC15" s="1">
        <v>48</v>
      </c>
      <c r="AD15" s="1">
        <v>100</v>
      </c>
      <c r="AE15" s="1">
        <v>68</v>
      </c>
      <c r="AF15" s="1">
        <v>196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44</v>
      </c>
      <c r="AW15" s="1">
        <v>16</v>
      </c>
      <c r="AX15" s="1">
        <v>34</v>
      </c>
      <c r="AY15" s="1">
        <v>35</v>
      </c>
      <c r="AZ15" s="1">
        <v>54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84</v>
      </c>
      <c r="BG15" s="1">
        <v>55</v>
      </c>
      <c r="BH15" s="1">
        <v>87</v>
      </c>
      <c r="BI15" s="1">
        <v>78</v>
      </c>
      <c r="BJ15" s="1">
        <v>221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</row>
    <row r="16" spans="1:67" x14ac:dyDescent="0.2">
      <c r="A16" s="1">
        <v>48091</v>
      </c>
      <c r="B16" s="1" t="s">
        <v>103</v>
      </c>
      <c r="C16" s="1">
        <v>12</v>
      </c>
      <c r="D16" s="1">
        <v>677</v>
      </c>
      <c r="E16" s="1" t="s">
        <v>64</v>
      </c>
      <c r="F16" s="1">
        <v>690</v>
      </c>
      <c r="G16" s="1" t="s">
        <v>101</v>
      </c>
      <c r="H16" s="2">
        <v>54.916699999999999</v>
      </c>
      <c r="I16" s="2">
        <v>659.00040000000001</v>
      </c>
      <c r="J16" s="14">
        <f t="shared" si="2"/>
        <v>0</v>
      </c>
      <c r="K16" s="4">
        <v>0</v>
      </c>
      <c r="L16" s="4"/>
      <c r="M16" s="1">
        <v>14.96</v>
      </c>
      <c r="N16" s="1">
        <v>19.420000000000002</v>
      </c>
      <c r="O16" s="17">
        <f t="shared" si="7"/>
        <v>0</v>
      </c>
      <c r="P16" s="1"/>
      <c r="Q16" s="1">
        <v>9.1199999999999992</v>
      </c>
      <c r="R16" s="1">
        <v>3.67</v>
      </c>
      <c r="S16" s="17">
        <f t="shared" si="9"/>
        <v>3</v>
      </c>
      <c r="T16" s="1"/>
      <c r="U16" s="1">
        <v>18.170000000000002</v>
      </c>
      <c r="V16" s="1">
        <v>17.75</v>
      </c>
      <c r="W16" s="17">
        <f t="shared" si="8"/>
        <v>0</v>
      </c>
      <c r="X16" s="1"/>
      <c r="Y16" s="1">
        <v>0</v>
      </c>
      <c r="Z16" s="18">
        <v>27842.77</v>
      </c>
      <c r="AA16" s="2">
        <v>26909.18</v>
      </c>
      <c r="AB16" s="1">
        <v>38</v>
      </c>
      <c r="AC16" s="1">
        <v>41</v>
      </c>
      <c r="AD16" s="1">
        <v>86</v>
      </c>
      <c r="AE16" s="1">
        <v>70</v>
      </c>
      <c r="AF16" s="1">
        <v>233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49</v>
      </c>
      <c r="AW16" s="1">
        <v>20</v>
      </c>
      <c r="AX16" s="1">
        <v>24</v>
      </c>
      <c r="AY16" s="1">
        <v>53</v>
      </c>
      <c r="AZ16" s="1">
        <v>44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104</v>
      </c>
      <c r="BG16" s="1">
        <v>44</v>
      </c>
      <c r="BH16" s="1">
        <v>50</v>
      </c>
      <c r="BI16" s="1">
        <v>84</v>
      </c>
      <c r="BJ16" s="1">
        <v>213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</row>
    <row r="17" spans="1:67" x14ac:dyDescent="0.2">
      <c r="A17" s="1">
        <v>48081</v>
      </c>
      <c r="B17" s="1" t="s">
        <v>104</v>
      </c>
      <c r="C17" s="1">
        <v>12</v>
      </c>
      <c r="D17" s="1">
        <v>677</v>
      </c>
      <c r="E17" s="1" t="s">
        <v>64</v>
      </c>
      <c r="F17" s="1">
        <v>690</v>
      </c>
      <c r="G17" s="1" t="s">
        <v>101</v>
      </c>
      <c r="H17" s="2">
        <v>54.916699999999999</v>
      </c>
      <c r="I17" s="2">
        <v>659.00040000000001</v>
      </c>
      <c r="J17" s="14">
        <f t="shared" si="2"/>
        <v>0</v>
      </c>
      <c r="K17" s="15">
        <f t="shared" ref="K17:K18" si="10">SUM(O17+S17+W17)</f>
        <v>0</v>
      </c>
      <c r="L17" s="15"/>
      <c r="M17" s="1">
        <v>15.17</v>
      </c>
      <c r="N17" s="1">
        <v>15.5</v>
      </c>
      <c r="O17" s="17">
        <f t="shared" si="7"/>
        <v>0</v>
      </c>
      <c r="P17" s="1"/>
      <c r="Q17" s="1">
        <v>5.5</v>
      </c>
      <c r="R17" s="1">
        <v>9</v>
      </c>
      <c r="S17" s="17">
        <f t="shared" si="9"/>
        <v>0</v>
      </c>
      <c r="T17" s="1"/>
      <c r="U17" s="1">
        <v>17</v>
      </c>
      <c r="V17" s="1">
        <v>21.42</v>
      </c>
      <c r="W17" s="17">
        <f t="shared" si="8"/>
        <v>0</v>
      </c>
      <c r="X17" s="1"/>
      <c r="Y17" s="1">
        <v>0</v>
      </c>
      <c r="Z17" s="18">
        <v>24822.35</v>
      </c>
      <c r="AA17" s="2">
        <v>30259.1</v>
      </c>
      <c r="AB17" s="1">
        <v>36</v>
      </c>
      <c r="AC17" s="1">
        <v>27</v>
      </c>
      <c r="AD17" s="1">
        <v>86</v>
      </c>
      <c r="AE17" s="1">
        <v>93</v>
      </c>
      <c r="AF17" s="1">
        <v>186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35</v>
      </c>
      <c r="AW17" s="1">
        <v>10</v>
      </c>
      <c r="AX17" s="1">
        <v>14</v>
      </c>
      <c r="AY17" s="1">
        <v>24</v>
      </c>
      <c r="AZ17" s="1">
        <v>108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74</v>
      </c>
      <c r="BG17" s="1">
        <v>39</v>
      </c>
      <c r="BH17" s="1">
        <v>84</v>
      </c>
      <c r="BI17" s="1">
        <v>53</v>
      </c>
      <c r="BJ17" s="1">
        <v>257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</row>
    <row r="18" spans="1:67" x14ac:dyDescent="0.2">
      <c r="A18" s="1">
        <v>48067</v>
      </c>
      <c r="B18" s="1" t="s">
        <v>106</v>
      </c>
      <c r="C18" s="1">
        <v>12</v>
      </c>
      <c r="D18" s="1">
        <v>677</v>
      </c>
      <c r="E18" s="1" t="s">
        <v>64</v>
      </c>
      <c r="F18" s="1">
        <v>690</v>
      </c>
      <c r="G18" s="1" t="s">
        <v>101</v>
      </c>
      <c r="H18" s="2">
        <v>54.916699999999999</v>
      </c>
      <c r="I18" s="2">
        <v>659.00040000000001</v>
      </c>
      <c r="J18" s="14">
        <f t="shared" si="2"/>
        <v>0</v>
      </c>
      <c r="K18" s="15">
        <f t="shared" si="10"/>
        <v>0</v>
      </c>
      <c r="L18" s="15"/>
      <c r="M18" s="1">
        <v>11.04</v>
      </c>
      <c r="N18" s="1">
        <v>20.170000000000002</v>
      </c>
      <c r="O18" s="17">
        <f t="shared" si="7"/>
        <v>0</v>
      </c>
      <c r="P18" s="1"/>
      <c r="Q18" s="1">
        <v>5.67</v>
      </c>
      <c r="R18" s="1">
        <v>6.42</v>
      </c>
      <c r="S18" s="17">
        <f t="shared" si="9"/>
        <v>0</v>
      </c>
      <c r="T18" s="1"/>
      <c r="U18" s="1">
        <v>14.38</v>
      </c>
      <c r="V18" s="1">
        <v>20.5</v>
      </c>
      <c r="W18" s="17">
        <f t="shared" si="8"/>
        <v>0</v>
      </c>
      <c r="X18" s="1"/>
      <c r="Y18" s="1">
        <v>0</v>
      </c>
      <c r="Z18" s="18">
        <v>20483.93</v>
      </c>
      <c r="AA18" s="2">
        <v>31027.94</v>
      </c>
      <c r="AB18" s="1">
        <v>19</v>
      </c>
      <c r="AC18" s="1">
        <v>23</v>
      </c>
      <c r="AD18" s="1">
        <v>63</v>
      </c>
      <c r="AE18" s="1">
        <v>78</v>
      </c>
      <c r="AF18" s="1">
        <v>242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26</v>
      </c>
      <c r="AW18" s="1">
        <v>12</v>
      </c>
      <c r="AX18" s="1">
        <v>23</v>
      </c>
      <c r="AY18" s="1">
        <v>26</v>
      </c>
      <c r="AZ18" s="1">
        <v>77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78</v>
      </c>
      <c r="BG18" s="1">
        <v>36</v>
      </c>
      <c r="BH18" s="1">
        <v>54</v>
      </c>
      <c r="BI18" s="1">
        <v>45</v>
      </c>
      <c r="BJ18" s="1">
        <v>246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</row>
    <row r="19" spans="1:67" x14ac:dyDescent="0.2">
      <c r="A19" s="1">
        <v>48085</v>
      </c>
      <c r="B19" s="1" t="s">
        <v>105</v>
      </c>
      <c r="C19" s="1">
        <v>12</v>
      </c>
      <c r="D19" s="1">
        <v>677</v>
      </c>
      <c r="E19" s="1" t="s">
        <v>64</v>
      </c>
      <c r="F19" s="1">
        <v>690</v>
      </c>
      <c r="G19" s="1" t="s">
        <v>101</v>
      </c>
      <c r="H19" s="2">
        <v>54.916699999999999</v>
      </c>
      <c r="I19" s="2">
        <v>659.00040000000001</v>
      </c>
      <c r="J19" s="14">
        <f t="shared" si="2"/>
        <v>0</v>
      </c>
      <c r="K19" s="4">
        <v>0</v>
      </c>
      <c r="L19" s="4"/>
      <c r="M19" s="1">
        <v>13.38</v>
      </c>
      <c r="N19" s="1">
        <v>3.83</v>
      </c>
      <c r="O19" s="5">
        <v>10</v>
      </c>
      <c r="P19" s="1"/>
      <c r="Q19" s="1">
        <v>5.29</v>
      </c>
      <c r="R19" s="1">
        <v>0</v>
      </c>
      <c r="S19" s="17">
        <f t="shared" si="9"/>
        <v>4</v>
      </c>
      <c r="T19" s="1"/>
      <c r="U19" s="1">
        <v>11.88</v>
      </c>
      <c r="V19" s="1">
        <v>0</v>
      </c>
      <c r="W19" s="17">
        <f t="shared" si="8"/>
        <v>9</v>
      </c>
      <c r="X19" s="1"/>
      <c r="Y19" s="1">
        <v>0</v>
      </c>
      <c r="Z19" s="18">
        <v>20126.97</v>
      </c>
      <c r="AA19" s="2">
        <v>2526.17</v>
      </c>
      <c r="AB19" s="1">
        <v>26</v>
      </c>
      <c r="AC19" s="1">
        <v>42</v>
      </c>
      <c r="AD19" s="1">
        <v>81</v>
      </c>
      <c r="AE19" s="1">
        <v>65</v>
      </c>
      <c r="AF19" s="1">
        <v>46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44</v>
      </c>
      <c r="AY19" s="1">
        <v>39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121</v>
      </c>
      <c r="BI19" s="1">
        <v>43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</row>
    <row r="20" spans="1:67" x14ac:dyDescent="0.2">
      <c r="A20" s="1">
        <v>47004</v>
      </c>
      <c r="B20" s="1" t="s">
        <v>86</v>
      </c>
      <c r="C20" s="1">
        <v>24</v>
      </c>
      <c r="D20" s="1">
        <v>677</v>
      </c>
      <c r="E20" s="1" t="s">
        <v>64</v>
      </c>
      <c r="F20" s="1">
        <v>61</v>
      </c>
      <c r="G20" s="1" t="s">
        <v>66</v>
      </c>
      <c r="H20" s="2">
        <v>22.315999999999999</v>
      </c>
      <c r="I20" s="2">
        <v>535.58399999999995</v>
      </c>
      <c r="J20" s="14">
        <f t="shared" si="2"/>
        <v>0</v>
      </c>
      <c r="K20" s="15">
        <f t="shared" ref="K20:K22" si="11">SUM(O20+S20+W20)</f>
        <v>0</v>
      </c>
      <c r="L20" s="15"/>
      <c r="M20" s="1">
        <v>10.77</v>
      </c>
      <c r="N20" s="1">
        <v>7.46</v>
      </c>
      <c r="O20" s="5">
        <v>0</v>
      </c>
      <c r="P20" s="1"/>
      <c r="Q20" s="1">
        <v>9.2899999999999991</v>
      </c>
      <c r="R20" s="1">
        <v>3.42</v>
      </c>
      <c r="S20" s="5">
        <v>0</v>
      </c>
      <c r="T20" s="1" t="s">
        <v>92</v>
      </c>
      <c r="U20" s="1">
        <v>13.31</v>
      </c>
      <c r="V20" s="1">
        <v>35.33</v>
      </c>
      <c r="W20" s="17">
        <f t="shared" si="8"/>
        <v>0</v>
      </c>
      <c r="X20" s="1"/>
      <c r="Y20" s="1">
        <v>0</v>
      </c>
      <c r="Z20" s="18">
        <v>17875.12</v>
      </c>
      <c r="AA20" s="2">
        <v>24748.44</v>
      </c>
      <c r="AB20" s="1">
        <v>85</v>
      </c>
      <c r="AC20" s="1">
        <v>0</v>
      </c>
      <c r="AD20" s="1">
        <v>124</v>
      </c>
      <c r="AE20" s="1">
        <v>99</v>
      </c>
      <c r="AF20" s="1">
        <v>179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75</v>
      </c>
      <c r="AW20" s="1">
        <v>50</v>
      </c>
      <c r="AX20" s="1">
        <v>83</v>
      </c>
      <c r="AY20" s="1">
        <v>80</v>
      </c>
      <c r="AZ20" s="1">
        <v>82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156</v>
      </c>
      <c r="BG20" s="1">
        <v>50</v>
      </c>
      <c r="BH20" s="1">
        <v>127</v>
      </c>
      <c r="BI20" s="1">
        <v>23</v>
      </c>
      <c r="BJ20" s="1">
        <v>848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</row>
    <row r="21" spans="1:67" x14ac:dyDescent="0.2">
      <c r="A21" s="1">
        <v>47029</v>
      </c>
      <c r="B21" s="1" t="s">
        <v>94</v>
      </c>
      <c r="C21" s="1">
        <v>24</v>
      </c>
      <c r="D21" s="1">
        <v>677</v>
      </c>
      <c r="E21" s="1" t="s">
        <v>64</v>
      </c>
      <c r="F21" s="1">
        <v>61</v>
      </c>
      <c r="G21" s="1" t="s">
        <v>66</v>
      </c>
      <c r="H21" s="2">
        <v>41.26</v>
      </c>
      <c r="I21" s="2">
        <v>990.24</v>
      </c>
      <c r="J21" s="14">
        <f t="shared" si="2"/>
        <v>0</v>
      </c>
      <c r="K21" s="15">
        <f t="shared" si="11"/>
        <v>0</v>
      </c>
      <c r="L21" s="15"/>
      <c r="M21" s="1">
        <v>3.6</v>
      </c>
      <c r="N21" s="1">
        <v>7.21</v>
      </c>
      <c r="O21" s="17">
        <f>MAX(0,(TRUNC((M21*0.8)-N21)))</f>
        <v>0</v>
      </c>
      <c r="P21" s="1"/>
      <c r="Q21" s="1">
        <v>7.83</v>
      </c>
      <c r="R21" s="1">
        <v>-0.04</v>
      </c>
      <c r="S21" s="5">
        <v>0</v>
      </c>
      <c r="T21" s="1" t="s">
        <v>92</v>
      </c>
      <c r="U21" s="1">
        <v>6.46</v>
      </c>
      <c r="V21" s="1">
        <v>14.54</v>
      </c>
      <c r="W21" s="17">
        <f t="shared" si="8"/>
        <v>0</v>
      </c>
      <c r="X21" s="1"/>
      <c r="Y21" s="1">
        <v>0</v>
      </c>
      <c r="Z21" s="18">
        <v>17721.169999999998</v>
      </c>
      <c r="AA21" s="2">
        <v>21496.46</v>
      </c>
      <c r="AB21" s="1">
        <v>28</v>
      </c>
      <c r="AC21" s="1">
        <v>23</v>
      </c>
      <c r="AD21" s="1">
        <v>45</v>
      </c>
      <c r="AE21" s="1">
        <v>4</v>
      </c>
      <c r="AF21" s="1">
        <v>173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41</v>
      </c>
      <c r="AW21" s="1">
        <v>98</v>
      </c>
      <c r="AX21" s="1">
        <v>77</v>
      </c>
      <c r="AY21" s="1">
        <v>42</v>
      </c>
      <c r="AZ21" s="1">
        <v>-1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35</v>
      </c>
      <c r="BG21" s="1">
        <v>84</v>
      </c>
      <c r="BH21" s="1">
        <v>70</v>
      </c>
      <c r="BI21" s="1">
        <v>16</v>
      </c>
      <c r="BJ21" s="1">
        <v>349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</row>
    <row r="22" spans="1:67" x14ac:dyDescent="0.2">
      <c r="A22" s="1">
        <v>47003</v>
      </c>
      <c r="B22" s="1" t="s">
        <v>91</v>
      </c>
      <c r="C22" s="1">
        <v>24</v>
      </c>
      <c r="D22" s="1">
        <v>677</v>
      </c>
      <c r="E22" s="1" t="s">
        <v>64</v>
      </c>
      <c r="F22" s="1">
        <v>61</v>
      </c>
      <c r="G22" s="1" t="s">
        <v>66</v>
      </c>
      <c r="H22" s="2">
        <v>22.315999999999999</v>
      </c>
      <c r="I22" s="2">
        <v>535.58399999999995</v>
      </c>
      <c r="J22" s="14">
        <f t="shared" si="2"/>
        <v>0</v>
      </c>
      <c r="K22" s="15">
        <f t="shared" si="11"/>
        <v>0</v>
      </c>
      <c r="L22" s="15"/>
      <c r="M22" s="1">
        <v>10</v>
      </c>
      <c r="N22" s="1">
        <v>1.38</v>
      </c>
      <c r="O22" s="5">
        <v>0</v>
      </c>
      <c r="P22" s="1" t="s">
        <v>169</v>
      </c>
      <c r="Q22" s="1">
        <v>11.71</v>
      </c>
      <c r="R22" s="1">
        <v>7.38</v>
      </c>
      <c r="S22" s="5">
        <v>0</v>
      </c>
      <c r="T22" s="1" t="s">
        <v>170</v>
      </c>
      <c r="U22" s="1">
        <v>7.83</v>
      </c>
      <c r="V22" s="1">
        <v>22.04</v>
      </c>
      <c r="W22" s="17">
        <f t="shared" si="8"/>
        <v>0</v>
      </c>
      <c r="X22" s="1"/>
      <c r="Y22" s="1">
        <v>0</v>
      </c>
      <c r="Z22" s="18">
        <v>15822.04</v>
      </c>
      <c r="AA22" s="2">
        <v>16491.52</v>
      </c>
      <c r="AB22" s="1">
        <v>111</v>
      </c>
      <c r="AC22" s="1">
        <v>59</v>
      </c>
      <c r="AD22" s="1">
        <v>69</v>
      </c>
      <c r="AE22" s="1">
        <v>61</v>
      </c>
      <c r="AF22" s="1">
        <v>33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111</v>
      </c>
      <c r="AW22" s="1">
        <v>52</v>
      </c>
      <c r="AX22" s="1">
        <v>37</v>
      </c>
      <c r="AY22" s="1">
        <v>214</v>
      </c>
      <c r="AZ22" s="1">
        <v>177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90</v>
      </c>
      <c r="BG22" s="1">
        <v>32</v>
      </c>
      <c r="BH22" s="1">
        <v>61</v>
      </c>
      <c r="BI22" s="1">
        <v>42</v>
      </c>
      <c r="BJ22" s="1">
        <v>529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</row>
    <row r="23" spans="1:67" x14ac:dyDescent="0.2">
      <c r="A23" s="1">
        <v>48068</v>
      </c>
      <c r="B23" s="1" t="s">
        <v>109</v>
      </c>
      <c r="C23" s="1">
        <v>12</v>
      </c>
      <c r="D23" s="1">
        <v>677</v>
      </c>
      <c r="E23" s="1" t="s">
        <v>64</v>
      </c>
      <c r="F23" s="1">
        <v>690</v>
      </c>
      <c r="G23" s="1" t="s">
        <v>101</v>
      </c>
      <c r="H23" s="2">
        <v>54.916699999999999</v>
      </c>
      <c r="I23" s="2">
        <v>659.00040000000001</v>
      </c>
      <c r="J23" s="14">
        <f t="shared" si="2"/>
        <v>0</v>
      </c>
      <c r="K23" s="4">
        <v>0</v>
      </c>
      <c r="L23" s="4"/>
      <c r="M23" s="1">
        <v>9.17</v>
      </c>
      <c r="N23" s="1">
        <v>4.67</v>
      </c>
      <c r="O23" s="17">
        <f>MAX(0,(TRUNC((M23*0.8)-N23)))</f>
        <v>2</v>
      </c>
      <c r="P23" s="1"/>
      <c r="Q23" s="1">
        <v>3.33</v>
      </c>
      <c r="R23" s="1">
        <v>1.92</v>
      </c>
      <c r="S23" s="17">
        <f t="shared" ref="S23:S30" si="12">MAX(0,(TRUNC((Q23*0.8)-R23)))</f>
        <v>0</v>
      </c>
      <c r="T23" s="1"/>
      <c r="U23" s="1">
        <v>9.2899999999999991</v>
      </c>
      <c r="V23" s="1">
        <v>6.08</v>
      </c>
      <c r="W23" s="17">
        <f t="shared" si="8"/>
        <v>1</v>
      </c>
      <c r="X23" s="1"/>
      <c r="Y23" s="1">
        <v>0</v>
      </c>
      <c r="Z23" s="18">
        <v>14360.72</v>
      </c>
      <c r="AA23" s="2">
        <v>8347.34</v>
      </c>
      <c r="AB23" s="1">
        <v>20</v>
      </c>
      <c r="AC23" s="1">
        <v>27</v>
      </c>
      <c r="AD23" s="1">
        <v>45</v>
      </c>
      <c r="AE23" s="1">
        <v>63</v>
      </c>
      <c r="AF23" s="1">
        <v>56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13</v>
      </c>
      <c r="AW23" s="1">
        <v>0</v>
      </c>
      <c r="AX23" s="1">
        <v>20</v>
      </c>
      <c r="AY23" s="1">
        <v>14</v>
      </c>
      <c r="AZ23" s="1">
        <v>23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43</v>
      </c>
      <c r="BG23" s="1">
        <v>16</v>
      </c>
      <c r="BH23" s="1">
        <v>36</v>
      </c>
      <c r="BI23" s="1">
        <v>49</v>
      </c>
      <c r="BJ23" s="1">
        <v>73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</row>
    <row r="24" spans="1:67" x14ac:dyDescent="0.2">
      <c r="A24" s="1">
        <v>48069</v>
      </c>
      <c r="B24" s="1" t="s">
        <v>110</v>
      </c>
      <c r="C24" s="1">
        <v>12</v>
      </c>
      <c r="D24" s="1">
        <v>677</v>
      </c>
      <c r="E24" s="1" t="s">
        <v>64</v>
      </c>
      <c r="F24" s="1">
        <v>690</v>
      </c>
      <c r="G24" s="1" t="s">
        <v>101</v>
      </c>
      <c r="H24" s="2">
        <v>54.916699999999999</v>
      </c>
      <c r="I24" s="2">
        <v>659.00040000000001</v>
      </c>
      <c r="J24" s="14">
        <f t="shared" si="2"/>
        <v>0</v>
      </c>
      <c r="K24" s="15">
        <f t="shared" ref="K24:K25" si="13">SUM(O24+S24+W24)</f>
        <v>0</v>
      </c>
      <c r="L24" s="15"/>
      <c r="M24" s="1">
        <v>6.92</v>
      </c>
      <c r="N24" s="1">
        <v>1.75</v>
      </c>
      <c r="O24" s="5">
        <v>0</v>
      </c>
      <c r="P24" s="1" t="s">
        <v>171</v>
      </c>
      <c r="Q24" s="1">
        <v>6.29</v>
      </c>
      <c r="R24" s="1">
        <v>4.92</v>
      </c>
      <c r="S24" s="17">
        <f t="shared" si="12"/>
        <v>0</v>
      </c>
      <c r="T24" s="1"/>
      <c r="U24" s="1">
        <v>7.62</v>
      </c>
      <c r="V24" s="1">
        <v>9.5</v>
      </c>
      <c r="W24" s="17">
        <f t="shared" si="8"/>
        <v>0</v>
      </c>
      <c r="X24" s="1"/>
      <c r="Y24" s="1">
        <v>0</v>
      </c>
      <c r="Z24" s="18">
        <v>13729.18</v>
      </c>
      <c r="AA24" s="2">
        <v>10653.84</v>
      </c>
      <c r="AB24" s="1">
        <v>38</v>
      </c>
      <c r="AC24" s="1">
        <v>15</v>
      </c>
      <c r="AD24" s="1">
        <v>32</v>
      </c>
      <c r="AE24" s="1">
        <v>11</v>
      </c>
      <c r="AF24" s="1">
        <v>21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27</v>
      </c>
      <c r="AW24" s="1">
        <v>16</v>
      </c>
      <c r="AX24" s="1">
        <v>26</v>
      </c>
      <c r="AY24" s="1">
        <v>29</v>
      </c>
      <c r="AZ24" s="1">
        <v>59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29</v>
      </c>
      <c r="BG24" s="1">
        <v>27</v>
      </c>
      <c r="BH24" s="1">
        <v>37</v>
      </c>
      <c r="BI24" s="1">
        <v>24</v>
      </c>
      <c r="BJ24" s="1">
        <v>114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</row>
    <row r="25" spans="1:67" x14ac:dyDescent="0.2">
      <c r="A25" s="1">
        <v>47002</v>
      </c>
      <c r="B25" s="1" t="s">
        <v>89</v>
      </c>
      <c r="C25" s="1">
        <v>24</v>
      </c>
      <c r="D25" s="1">
        <v>677</v>
      </c>
      <c r="E25" s="1" t="s">
        <v>64</v>
      </c>
      <c r="F25" s="1">
        <v>61</v>
      </c>
      <c r="G25" s="1" t="s">
        <v>66</v>
      </c>
      <c r="H25" s="2">
        <v>22.315999999999999</v>
      </c>
      <c r="I25" s="2">
        <v>535.58399999999995</v>
      </c>
      <c r="J25" s="14">
        <f t="shared" si="2"/>
        <v>0</v>
      </c>
      <c r="K25" s="15">
        <f t="shared" si="13"/>
        <v>0</v>
      </c>
      <c r="L25" s="15"/>
      <c r="M25" s="1">
        <v>6.65</v>
      </c>
      <c r="N25" s="1">
        <v>2.25</v>
      </c>
      <c r="O25" s="5">
        <v>0</v>
      </c>
      <c r="P25" s="1"/>
      <c r="Q25" s="1">
        <v>9.17</v>
      </c>
      <c r="R25" s="1">
        <v>8.25</v>
      </c>
      <c r="S25" s="17">
        <f t="shared" si="12"/>
        <v>0</v>
      </c>
      <c r="T25" s="1"/>
      <c r="U25" s="1">
        <v>5.77</v>
      </c>
      <c r="V25" s="1">
        <v>8.8800000000000008</v>
      </c>
      <c r="W25" s="17">
        <f t="shared" si="8"/>
        <v>0</v>
      </c>
      <c r="X25" s="1"/>
      <c r="Y25" s="1">
        <v>0</v>
      </c>
      <c r="Z25" s="18">
        <v>11559.69</v>
      </c>
      <c r="AA25" s="2">
        <v>10376.94</v>
      </c>
      <c r="AB25" s="1">
        <v>60</v>
      </c>
      <c r="AC25" s="1">
        <v>51</v>
      </c>
      <c r="AD25" s="1">
        <v>34</v>
      </c>
      <c r="AE25" s="1">
        <v>80</v>
      </c>
      <c r="AF25" s="1">
        <v>54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94</v>
      </c>
      <c r="AW25" s="1">
        <v>35</v>
      </c>
      <c r="AX25" s="1">
        <v>57</v>
      </c>
      <c r="AY25" s="1">
        <v>103</v>
      </c>
      <c r="AZ25" s="1">
        <v>198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72</v>
      </c>
      <c r="BG25" s="1">
        <v>34</v>
      </c>
      <c r="BH25" s="1">
        <v>37</v>
      </c>
      <c r="BI25" s="1">
        <v>25</v>
      </c>
      <c r="BJ25" s="1">
        <v>213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</row>
    <row r="26" spans="1:67" x14ac:dyDescent="0.2">
      <c r="A26" s="1">
        <v>48082</v>
      </c>
      <c r="B26" s="1" t="s">
        <v>114</v>
      </c>
      <c r="C26" s="1">
        <v>12</v>
      </c>
      <c r="D26" s="1">
        <v>677</v>
      </c>
      <c r="E26" s="1" t="s">
        <v>64</v>
      </c>
      <c r="F26" s="1">
        <v>690</v>
      </c>
      <c r="G26" s="1" t="s">
        <v>101</v>
      </c>
      <c r="H26" s="2">
        <v>54.916699999999999</v>
      </c>
      <c r="I26" s="2">
        <v>659.00040000000001</v>
      </c>
      <c r="J26" s="14">
        <f t="shared" si="2"/>
        <v>0</v>
      </c>
      <c r="K26" s="4">
        <v>0</v>
      </c>
      <c r="L26" s="4"/>
      <c r="M26" s="1">
        <v>5.42</v>
      </c>
      <c r="N26" s="1">
        <v>8.5</v>
      </c>
      <c r="O26" s="17">
        <f t="shared" ref="O26:O91" si="14">MAX(0,(TRUNC((M26*0.8)-N26)))</f>
        <v>0</v>
      </c>
      <c r="P26" s="1"/>
      <c r="Q26" s="1">
        <v>4.04</v>
      </c>
      <c r="R26" s="1">
        <v>2.17</v>
      </c>
      <c r="S26" s="17">
        <f t="shared" si="12"/>
        <v>1</v>
      </c>
      <c r="T26" s="1"/>
      <c r="U26" s="1">
        <v>6.96</v>
      </c>
      <c r="V26" s="1">
        <v>8.33</v>
      </c>
      <c r="W26" s="17">
        <f t="shared" si="8"/>
        <v>0</v>
      </c>
      <c r="X26" s="1"/>
      <c r="Y26" s="1">
        <v>0</v>
      </c>
      <c r="Z26" s="18">
        <v>10818.59</v>
      </c>
      <c r="AA26" s="2">
        <v>12521.01</v>
      </c>
      <c r="AB26" s="1">
        <v>0</v>
      </c>
      <c r="AC26" s="1">
        <v>12</v>
      </c>
      <c r="AD26" s="1">
        <v>54</v>
      </c>
      <c r="AE26" s="1">
        <v>10</v>
      </c>
      <c r="AF26" s="1">
        <v>102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10</v>
      </c>
      <c r="AW26" s="1">
        <v>0</v>
      </c>
      <c r="AX26" s="1">
        <v>33</v>
      </c>
      <c r="AY26" s="1">
        <v>11</v>
      </c>
      <c r="AZ26" s="1">
        <v>26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33</v>
      </c>
      <c r="BG26" s="1">
        <v>33</v>
      </c>
      <c r="BH26" s="1">
        <v>25</v>
      </c>
      <c r="BI26" s="1">
        <v>18</v>
      </c>
      <c r="BJ26" s="1">
        <v>100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</row>
    <row r="27" spans="1:67" x14ac:dyDescent="0.2">
      <c r="A27" s="1">
        <v>48063</v>
      </c>
      <c r="B27" s="1" t="s">
        <v>118</v>
      </c>
      <c r="C27" s="1">
        <v>12</v>
      </c>
      <c r="D27" s="1">
        <v>677</v>
      </c>
      <c r="E27" s="1" t="s">
        <v>64</v>
      </c>
      <c r="F27" s="1">
        <v>690</v>
      </c>
      <c r="G27" s="1" t="s">
        <v>101</v>
      </c>
      <c r="H27" s="2">
        <v>54.916699999999999</v>
      </c>
      <c r="I27" s="2">
        <v>659.00040000000001</v>
      </c>
      <c r="J27" s="14">
        <f t="shared" si="2"/>
        <v>0</v>
      </c>
      <c r="K27" s="4">
        <v>0</v>
      </c>
      <c r="L27" s="4"/>
      <c r="M27" s="1">
        <v>5.96</v>
      </c>
      <c r="N27" s="1">
        <v>6.17</v>
      </c>
      <c r="O27" s="17">
        <f t="shared" si="14"/>
        <v>0</v>
      </c>
      <c r="P27" s="1"/>
      <c r="Q27" s="1">
        <v>3.17</v>
      </c>
      <c r="R27" s="1">
        <v>1.33</v>
      </c>
      <c r="S27" s="17">
        <f t="shared" si="12"/>
        <v>1</v>
      </c>
      <c r="T27" s="1"/>
      <c r="U27" s="1">
        <v>4.21</v>
      </c>
      <c r="V27" s="1">
        <v>1.42</v>
      </c>
      <c r="W27" s="17">
        <f t="shared" si="8"/>
        <v>1</v>
      </c>
      <c r="X27" s="1"/>
      <c r="Y27" s="1">
        <v>0</v>
      </c>
      <c r="Z27" s="22">
        <v>8786.67</v>
      </c>
      <c r="AA27" s="2">
        <v>5876.09</v>
      </c>
      <c r="AB27" s="1">
        <v>21</v>
      </c>
      <c r="AC27" s="1">
        <v>25</v>
      </c>
      <c r="AD27" s="1">
        <v>26</v>
      </c>
      <c r="AE27" s="1">
        <v>24</v>
      </c>
      <c r="AF27" s="1">
        <v>74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8</v>
      </c>
      <c r="AW27" s="1">
        <v>0</v>
      </c>
      <c r="AX27" s="1">
        <v>21</v>
      </c>
      <c r="AY27" s="1">
        <v>18</v>
      </c>
      <c r="AZ27" s="1">
        <v>16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4</v>
      </c>
      <c r="BG27" s="1">
        <v>3</v>
      </c>
      <c r="BH27" s="1">
        <v>34</v>
      </c>
      <c r="BI27" s="1">
        <v>22</v>
      </c>
      <c r="BJ27" s="1">
        <v>17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</row>
    <row r="28" spans="1:67" x14ac:dyDescent="0.2">
      <c r="A28" s="1">
        <v>48029</v>
      </c>
      <c r="B28" s="1" t="s">
        <v>111</v>
      </c>
      <c r="C28" s="1">
        <v>12</v>
      </c>
      <c r="D28" s="1">
        <v>677</v>
      </c>
      <c r="E28" s="1" t="s">
        <v>64</v>
      </c>
      <c r="F28" s="1">
        <v>690</v>
      </c>
      <c r="G28" s="1" t="s">
        <v>101</v>
      </c>
      <c r="H28" s="2">
        <v>54.916699999999999</v>
      </c>
      <c r="I28" s="2">
        <v>659.00040000000001</v>
      </c>
      <c r="J28" s="14">
        <f t="shared" si="2"/>
        <v>0</v>
      </c>
      <c r="K28" s="4">
        <v>0</v>
      </c>
      <c r="L28" s="4"/>
      <c r="M28" s="1">
        <v>4.88</v>
      </c>
      <c r="N28" s="1">
        <v>3</v>
      </c>
      <c r="O28" s="17">
        <f t="shared" si="14"/>
        <v>0</v>
      </c>
      <c r="P28" s="1"/>
      <c r="Q28" s="1">
        <v>4.08</v>
      </c>
      <c r="R28" s="1">
        <v>1.42</v>
      </c>
      <c r="S28" s="17">
        <f t="shared" si="12"/>
        <v>1</v>
      </c>
      <c r="T28" s="1"/>
      <c r="U28" s="1">
        <v>3.58</v>
      </c>
      <c r="V28" s="1">
        <v>1.58</v>
      </c>
      <c r="W28" s="17">
        <f t="shared" si="8"/>
        <v>1</v>
      </c>
      <c r="X28" s="1"/>
      <c r="Y28" s="1">
        <v>0</v>
      </c>
      <c r="Z28" s="22">
        <v>8264.9599999999991</v>
      </c>
      <c r="AA28" s="2">
        <v>3954</v>
      </c>
      <c r="AB28" s="1">
        <v>13</v>
      </c>
      <c r="AC28" s="1">
        <v>16</v>
      </c>
      <c r="AD28" s="1">
        <v>26</v>
      </c>
      <c r="AE28" s="1">
        <v>23</v>
      </c>
      <c r="AF28" s="1">
        <v>36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7</v>
      </c>
      <c r="AW28" s="1">
        <v>5</v>
      </c>
      <c r="AX28" s="1">
        <v>26</v>
      </c>
      <c r="AY28" s="1">
        <v>27</v>
      </c>
      <c r="AZ28" s="1">
        <v>17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5</v>
      </c>
      <c r="BG28" s="1">
        <v>0</v>
      </c>
      <c r="BH28" s="1">
        <v>19</v>
      </c>
      <c r="BI28" s="1">
        <v>38</v>
      </c>
      <c r="BJ28" s="1">
        <v>19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</row>
    <row r="29" spans="1:67" x14ac:dyDescent="0.2">
      <c r="A29" s="1">
        <v>48044</v>
      </c>
      <c r="B29" s="1" t="s">
        <v>121</v>
      </c>
      <c r="C29" s="1">
        <v>12</v>
      </c>
      <c r="D29" s="1">
        <v>677</v>
      </c>
      <c r="E29" s="1" t="s">
        <v>64</v>
      </c>
      <c r="F29" s="1">
        <v>690</v>
      </c>
      <c r="G29" s="1" t="s">
        <v>101</v>
      </c>
      <c r="H29" s="2">
        <v>54.916699999999999</v>
      </c>
      <c r="I29" s="2">
        <v>659.00040000000001</v>
      </c>
      <c r="J29" s="14">
        <f t="shared" si="2"/>
        <v>0</v>
      </c>
      <c r="K29" s="4">
        <v>0</v>
      </c>
      <c r="L29" s="4"/>
      <c r="M29" s="1">
        <v>5.75</v>
      </c>
      <c r="N29" s="1">
        <v>3.42</v>
      </c>
      <c r="O29" s="17">
        <f t="shared" si="14"/>
        <v>1</v>
      </c>
      <c r="P29" s="1"/>
      <c r="Q29" s="1">
        <v>2.04</v>
      </c>
      <c r="R29" s="1">
        <v>0</v>
      </c>
      <c r="S29" s="17">
        <f t="shared" si="12"/>
        <v>1</v>
      </c>
      <c r="T29" s="1"/>
      <c r="U29" s="1">
        <v>4.12</v>
      </c>
      <c r="V29" s="1">
        <v>0.83</v>
      </c>
      <c r="W29" s="17">
        <f t="shared" si="8"/>
        <v>2</v>
      </c>
      <c r="X29" s="1"/>
      <c r="Y29" s="1">
        <v>0</v>
      </c>
      <c r="Z29" s="22">
        <v>7853.09</v>
      </c>
      <c r="AA29" s="2">
        <v>2800.75</v>
      </c>
      <c r="AB29" s="1">
        <v>15</v>
      </c>
      <c r="AC29" s="1">
        <v>37</v>
      </c>
      <c r="AD29" s="1">
        <v>18</v>
      </c>
      <c r="AE29" s="1">
        <v>35</v>
      </c>
      <c r="AF29" s="1">
        <v>41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18</v>
      </c>
      <c r="AY29" s="1">
        <v>13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2</v>
      </c>
      <c r="BG29" s="1">
        <v>0</v>
      </c>
      <c r="BH29" s="1">
        <v>32</v>
      </c>
      <c r="BI29" s="1">
        <v>31</v>
      </c>
      <c r="BJ29" s="1">
        <v>10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</row>
    <row r="30" spans="1:67" x14ac:dyDescent="0.2">
      <c r="A30" s="1">
        <v>48058</v>
      </c>
      <c r="B30" s="1" t="s">
        <v>116</v>
      </c>
      <c r="C30" s="1">
        <v>12</v>
      </c>
      <c r="D30" s="1">
        <v>677</v>
      </c>
      <c r="E30" s="1" t="s">
        <v>64</v>
      </c>
      <c r="F30" s="1">
        <v>690</v>
      </c>
      <c r="G30" s="1" t="s">
        <v>101</v>
      </c>
      <c r="H30" s="2">
        <v>54.916699999999999</v>
      </c>
      <c r="I30" s="2">
        <v>659.00040000000001</v>
      </c>
      <c r="J30" s="14">
        <f t="shared" si="2"/>
        <v>0</v>
      </c>
      <c r="K30" s="4">
        <v>0</v>
      </c>
      <c r="L30" s="4"/>
      <c r="M30" s="1">
        <v>6.71</v>
      </c>
      <c r="N30" s="1">
        <v>5.08</v>
      </c>
      <c r="O30" s="17">
        <f t="shared" si="14"/>
        <v>0</v>
      </c>
      <c r="P30" s="1"/>
      <c r="Q30" s="1">
        <v>1.54</v>
      </c>
      <c r="R30" s="1">
        <v>0</v>
      </c>
      <c r="S30" s="17">
        <f t="shared" si="12"/>
        <v>1</v>
      </c>
      <c r="T30" s="1"/>
      <c r="U30" s="1">
        <v>2.75</v>
      </c>
      <c r="V30" s="1">
        <v>-0.17</v>
      </c>
      <c r="W30" s="17">
        <f t="shared" si="8"/>
        <v>2</v>
      </c>
      <c r="X30" s="1"/>
      <c r="Y30" s="1">
        <v>0</v>
      </c>
      <c r="Z30" s="22">
        <v>7249</v>
      </c>
      <c r="AA30" s="2">
        <v>3240.09</v>
      </c>
      <c r="AB30" s="1">
        <v>17</v>
      </c>
      <c r="AC30" s="1">
        <v>43</v>
      </c>
      <c r="AD30" s="1">
        <v>34</v>
      </c>
      <c r="AE30" s="1">
        <v>16</v>
      </c>
      <c r="AF30" s="1">
        <v>61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14</v>
      </c>
      <c r="AY30" s="1">
        <v>9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3</v>
      </c>
      <c r="BH30" s="1">
        <v>21</v>
      </c>
      <c r="BI30" s="1">
        <v>21</v>
      </c>
      <c r="BJ30" s="1">
        <v>-2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</row>
    <row r="31" spans="1:67" x14ac:dyDescent="0.2">
      <c r="A31" s="1">
        <v>47027</v>
      </c>
      <c r="B31" s="1" t="s">
        <v>95</v>
      </c>
      <c r="C31" s="1">
        <v>16</v>
      </c>
      <c r="D31" s="1">
        <v>677</v>
      </c>
      <c r="E31" s="1" t="s">
        <v>64</v>
      </c>
      <c r="F31" s="1">
        <v>999</v>
      </c>
      <c r="G31" s="1" t="s">
        <v>67</v>
      </c>
      <c r="H31" s="2">
        <v>56.59</v>
      </c>
      <c r="I31" s="2">
        <v>905.44</v>
      </c>
      <c r="J31" s="14">
        <f t="shared" si="2"/>
        <v>0</v>
      </c>
      <c r="K31" s="15">
        <f>SUM(O31+S31+W31)</f>
        <v>0</v>
      </c>
      <c r="L31" s="15"/>
      <c r="M31" s="1">
        <v>1.78</v>
      </c>
      <c r="N31" s="1">
        <v>8.06</v>
      </c>
      <c r="O31" s="17">
        <f t="shared" si="14"/>
        <v>0</v>
      </c>
      <c r="P31" s="1"/>
      <c r="Q31" s="1">
        <v>3.09</v>
      </c>
      <c r="R31" s="1">
        <v>0.06</v>
      </c>
      <c r="S31" s="5">
        <v>0</v>
      </c>
      <c r="T31" s="1" t="s">
        <v>128</v>
      </c>
      <c r="U31" s="1">
        <v>2.5</v>
      </c>
      <c r="V31" s="1">
        <v>10.75</v>
      </c>
      <c r="W31" s="17">
        <f t="shared" si="8"/>
        <v>0</v>
      </c>
      <c r="X31" s="1"/>
      <c r="Y31" s="1">
        <v>0</v>
      </c>
      <c r="Z31" s="22">
        <v>6677.62</v>
      </c>
      <c r="AA31" s="2">
        <v>17090.18</v>
      </c>
      <c r="AB31" s="1">
        <v>20</v>
      </c>
      <c r="AC31" s="1">
        <v>17</v>
      </c>
      <c r="AD31" s="1">
        <v>0</v>
      </c>
      <c r="AE31" s="1">
        <v>0</v>
      </c>
      <c r="AF31" s="1">
        <v>129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22</v>
      </c>
      <c r="AW31" s="1">
        <v>55</v>
      </c>
      <c r="AX31" s="1">
        <v>0</v>
      </c>
      <c r="AY31" s="1">
        <v>0</v>
      </c>
      <c r="AZ31" s="1">
        <v>1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29</v>
      </c>
      <c r="BG31" s="1">
        <v>22</v>
      </c>
      <c r="BH31" s="1">
        <v>0</v>
      </c>
      <c r="BI31" s="1">
        <v>0</v>
      </c>
      <c r="BJ31" s="1">
        <v>172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</row>
    <row r="32" spans="1:67" x14ac:dyDescent="0.2">
      <c r="A32" s="1">
        <v>48055</v>
      </c>
      <c r="B32" s="1" t="s">
        <v>119</v>
      </c>
      <c r="C32" s="1">
        <v>12</v>
      </c>
      <c r="D32" s="1">
        <v>677</v>
      </c>
      <c r="E32" s="1" t="s">
        <v>64</v>
      </c>
      <c r="F32" s="1">
        <v>690</v>
      </c>
      <c r="G32" s="1" t="s">
        <v>101</v>
      </c>
      <c r="H32" s="2">
        <v>54.916699999999999</v>
      </c>
      <c r="I32" s="2">
        <v>659.00040000000001</v>
      </c>
      <c r="J32" s="14">
        <f t="shared" si="2"/>
        <v>0</v>
      </c>
      <c r="K32" s="4">
        <v>0</v>
      </c>
      <c r="L32" s="4"/>
      <c r="M32" s="1">
        <v>4.75</v>
      </c>
      <c r="N32" s="1">
        <v>9.83</v>
      </c>
      <c r="O32" s="17">
        <f t="shared" si="14"/>
        <v>0</v>
      </c>
      <c r="P32" s="1"/>
      <c r="Q32" s="1">
        <v>1.29</v>
      </c>
      <c r="R32" s="1">
        <v>0</v>
      </c>
      <c r="S32" s="17">
        <f t="shared" ref="S32:S91" si="15">MAX(0,(TRUNC((Q32*0.8)-R32)))</f>
        <v>1</v>
      </c>
      <c r="T32" s="1"/>
      <c r="U32" s="1">
        <v>3.92</v>
      </c>
      <c r="V32" s="1">
        <v>12.33</v>
      </c>
      <c r="W32" s="17">
        <f t="shared" si="8"/>
        <v>0</v>
      </c>
      <c r="X32" s="1"/>
      <c r="Y32" s="1">
        <v>0</v>
      </c>
      <c r="Z32" s="22">
        <v>6562.55</v>
      </c>
      <c r="AA32" s="2">
        <v>14607.84</v>
      </c>
      <c r="AB32" s="1">
        <v>8</v>
      </c>
      <c r="AC32" s="1">
        <v>17</v>
      </c>
      <c r="AD32" s="1">
        <v>28</v>
      </c>
      <c r="AE32" s="1">
        <v>25</v>
      </c>
      <c r="AF32" s="1">
        <v>118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9</v>
      </c>
      <c r="AY32" s="1">
        <v>13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18</v>
      </c>
      <c r="BG32" s="1">
        <v>2</v>
      </c>
      <c r="BH32" s="1">
        <v>23</v>
      </c>
      <c r="BI32" s="1">
        <v>10</v>
      </c>
      <c r="BJ32" s="1">
        <v>148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</row>
    <row r="33" spans="1:67" x14ac:dyDescent="0.2">
      <c r="A33" s="1">
        <v>48049</v>
      </c>
      <c r="B33" s="1" t="s">
        <v>124</v>
      </c>
      <c r="C33" s="1">
        <v>12</v>
      </c>
      <c r="D33" s="1">
        <v>677</v>
      </c>
      <c r="E33" s="1" t="s">
        <v>64</v>
      </c>
      <c r="F33" s="1">
        <v>690</v>
      </c>
      <c r="G33" s="1" t="s">
        <v>101</v>
      </c>
      <c r="H33" s="2">
        <v>54.916699999999999</v>
      </c>
      <c r="I33" s="2">
        <v>659.00040000000001</v>
      </c>
      <c r="J33" s="14">
        <f t="shared" si="2"/>
        <v>0</v>
      </c>
      <c r="K33" s="4">
        <v>0</v>
      </c>
      <c r="L33" s="4"/>
      <c r="M33" s="1">
        <v>3.75</v>
      </c>
      <c r="N33" s="1">
        <v>0</v>
      </c>
      <c r="O33" s="17">
        <f t="shared" si="14"/>
        <v>3</v>
      </c>
      <c r="P33" s="1"/>
      <c r="Q33" s="1">
        <v>2.04</v>
      </c>
      <c r="R33" s="1">
        <v>0</v>
      </c>
      <c r="S33" s="17">
        <f t="shared" si="15"/>
        <v>1</v>
      </c>
      <c r="T33" s="1"/>
      <c r="U33" s="1">
        <v>2.29</v>
      </c>
      <c r="V33" s="1">
        <v>0</v>
      </c>
      <c r="W33" s="17">
        <f t="shared" si="8"/>
        <v>1</v>
      </c>
      <c r="X33" s="1"/>
      <c r="Y33" s="1">
        <v>0</v>
      </c>
      <c r="Z33" s="22">
        <v>5326.92</v>
      </c>
      <c r="AA33" s="2">
        <v>0</v>
      </c>
      <c r="AB33" s="1">
        <v>0</v>
      </c>
      <c r="AC33" s="1">
        <v>0</v>
      </c>
      <c r="AD33" s="1">
        <v>35</v>
      </c>
      <c r="AE33" s="1">
        <v>20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17</v>
      </c>
      <c r="AY33" s="1">
        <v>15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18</v>
      </c>
      <c r="BI33" s="1">
        <v>19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</row>
    <row r="34" spans="1:67" x14ac:dyDescent="0.2">
      <c r="A34" s="1">
        <v>47014</v>
      </c>
      <c r="B34" s="1" t="s">
        <v>97</v>
      </c>
      <c r="C34" s="1">
        <v>24</v>
      </c>
      <c r="D34" s="1">
        <v>677</v>
      </c>
      <c r="E34" s="1" t="s">
        <v>64</v>
      </c>
      <c r="F34" s="1">
        <v>61</v>
      </c>
      <c r="G34" s="1" t="s">
        <v>66</v>
      </c>
      <c r="H34" s="2">
        <v>43.319099999999999</v>
      </c>
      <c r="I34" s="2">
        <v>1039.6584</v>
      </c>
      <c r="J34" s="14">
        <f t="shared" si="2"/>
        <v>0</v>
      </c>
      <c r="K34" s="15">
        <f>SUM(O34+S34+W34)</f>
        <v>0</v>
      </c>
      <c r="L34" s="15"/>
      <c r="M34" s="1">
        <v>1</v>
      </c>
      <c r="N34" s="1">
        <v>1.38</v>
      </c>
      <c r="O34" s="17">
        <f t="shared" si="14"/>
        <v>0</v>
      </c>
      <c r="P34" s="1"/>
      <c r="Q34" s="1">
        <v>3.25</v>
      </c>
      <c r="R34" s="1">
        <v>1.67</v>
      </c>
      <c r="S34" s="17">
        <f t="shared" si="15"/>
        <v>0</v>
      </c>
      <c r="T34" s="1"/>
      <c r="U34" s="1">
        <v>0.6</v>
      </c>
      <c r="V34" s="1">
        <v>1.62</v>
      </c>
      <c r="W34" s="17">
        <f t="shared" si="8"/>
        <v>0</v>
      </c>
      <c r="X34" s="1"/>
      <c r="Y34" s="1">
        <v>0</v>
      </c>
      <c r="Z34" s="22">
        <v>5046.68</v>
      </c>
      <c r="AA34" s="2">
        <v>4851.74</v>
      </c>
      <c r="AB34" s="1">
        <v>6</v>
      </c>
      <c r="AC34" s="1">
        <v>4</v>
      </c>
      <c r="AD34" s="1">
        <v>13</v>
      </c>
      <c r="AE34" s="1">
        <v>6</v>
      </c>
      <c r="AF34" s="1">
        <v>33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17</v>
      </c>
      <c r="AW34" s="1">
        <v>15</v>
      </c>
      <c r="AX34" s="1">
        <v>16</v>
      </c>
      <c r="AY34" s="1">
        <v>75</v>
      </c>
      <c r="AZ34" s="1">
        <v>40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2</v>
      </c>
      <c r="BG34" s="1">
        <v>7</v>
      </c>
      <c r="BH34" s="1">
        <v>9</v>
      </c>
      <c r="BI34" s="1">
        <v>0</v>
      </c>
      <c r="BJ34" s="1">
        <v>39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</row>
    <row r="35" spans="1:67" x14ac:dyDescent="0.2">
      <c r="A35" s="1">
        <v>48056</v>
      </c>
      <c r="B35" s="1" t="s">
        <v>134</v>
      </c>
      <c r="C35" s="1">
        <v>12</v>
      </c>
      <c r="D35" s="1">
        <v>677</v>
      </c>
      <c r="E35" s="1" t="s">
        <v>64</v>
      </c>
      <c r="F35" s="1">
        <v>690</v>
      </c>
      <c r="G35" s="1" t="s">
        <v>101</v>
      </c>
      <c r="H35" s="2">
        <v>54.916699999999999</v>
      </c>
      <c r="I35" s="2">
        <v>659.00040000000001</v>
      </c>
      <c r="J35" s="14">
        <f t="shared" si="2"/>
        <v>0</v>
      </c>
      <c r="K35" s="4">
        <v>0</v>
      </c>
      <c r="L35" s="4"/>
      <c r="M35" s="1">
        <v>2.21</v>
      </c>
      <c r="N35" s="1">
        <v>0</v>
      </c>
      <c r="O35" s="17">
        <f t="shared" si="14"/>
        <v>1</v>
      </c>
      <c r="P35" s="1"/>
      <c r="Q35" s="1">
        <v>1</v>
      </c>
      <c r="R35" s="1">
        <v>0</v>
      </c>
      <c r="S35" s="17">
        <f t="shared" si="15"/>
        <v>0</v>
      </c>
      <c r="T35" s="1"/>
      <c r="U35" s="1">
        <v>3.42</v>
      </c>
      <c r="V35" s="1">
        <v>0</v>
      </c>
      <c r="W35" s="17">
        <f t="shared" si="8"/>
        <v>2</v>
      </c>
      <c r="X35" s="1"/>
      <c r="Y35" s="1">
        <v>0</v>
      </c>
      <c r="Z35" s="20">
        <v>4365.88</v>
      </c>
      <c r="AA35" s="2">
        <v>0</v>
      </c>
      <c r="AB35" s="1">
        <v>0</v>
      </c>
      <c r="AC35" s="1">
        <v>0</v>
      </c>
      <c r="AD35" s="1">
        <v>19</v>
      </c>
      <c r="AE35" s="1">
        <v>15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8</v>
      </c>
      <c r="AY35" s="1">
        <v>8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30</v>
      </c>
      <c r="BI35" s="1">
        <v>22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</row>
    <row r="36" spans="1:67" x14ac:dyDescent="0.2">
      <c r="A36" s="1">
        <v>47026</v>
      </c>
      <c r="B36" s="1" t="s">
        <v>120</v>
      </c>
      <c r="C36" s="1">
        <v>12</v>
      </c>
      <c r="D36" s="1">
        <v>677</v>
      </c>
      <c r="E36" s="1" t="s">
        <v>64</v>
      </c>
      <c r="F36" s="1">
        <v>999</v>
      </c>
      <c r="G36" s="1" t="s">
        <v>67</v>
      </c>
      <c r="H36" s="2">
        <v>48.56</v>
      </c>
      <c r="I36" s="2">
        <v>582.72</v>
      </c>
      <c r="J36" s="14">
        <f t="shared" si="2"/>
        <v>0</v>
      </c>
      <c r="K36" s="4">
        <v>0</v>
      </c>
      <c r="L36" s="4"/>
      <c r="M36" s="1">
        <v>0</v>
      </c>
      <c r="N36" s="1">
        <v>0</v>
      </c>
      <c r="O36" s="17">
        <f t="shared" si="14"/>
        <v>0</v>
      </c>
      <c r="P36" s="1"/>
      <c r="Q36" s="1">
        <v>6.08</v>
      </c>
      <c r="R36" s="1">
        <v>1.92</v>
      </c>
      <c r="S36" s="17">
        <f t="shared" si="15"/>
        <v>2</v>
      </c>
      <c r="T36" s="1"/>
      <c r="U36" s="1">
        <v>1.29</v>
      </c>
      <c r="V36" s="1">
        <v>0</v>
      </c>
      <c r="W36" s="17">
        <f t="shared" si="8"/>
        <v>1</v>
      </c>
      <c r="X36" s="1"/>
      <c r="Y36" s="1">
        <v>0</v>
      </c>
      <c r="Z36" s="20">
        <v>4297.5600000000004</v>
      </c>
      <c r="AA36" s="2">
        <v>1116.8800000000001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51</v>
      </c>
      <c r="AW36" s="1">
        <v>44</v>
      </c>
      <c r="AX36" s="1">
        <v>0</v>
      </c>
      <c r="AY36" s="1">
        <v>0</v>
      </c>
      <c r="AZ36" s="1">
        <v>23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5</v>
      </c>
      <c r="BG36" s="1">
        <v>21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</row>
    <row r="37" spans="1:67" x14ac:dyDescent="0.2">
      <c r="A37" s="1">
        <v>48080</v>
      </c>
      <c r="B37" s="1" t="s">
        <v>122</v>
      </c>
      <c r="C37" s="1">
        <v>12</v>
      </c>
      <c r="D37" s="1">
        <v>677</v>
      </c>
      <c r="E37" s="1" t="s">
        <v>64</v>
      </c>
      <c r="F37" s="1">
        <v>690</v>
      </c>
      <c r="G37" s="1" t="s">
        <v>101</v>
      </c>
      <c r="H37" s="2">
        <v>54.916699999999999</v>
      </c>
      <c r="I37" s="2">
        <v>659.00040000000001</v>
      </c>
      <c r="J37" s="14">
        <f t="shared" si="2"/>
        <v>0</v>
      </c>
      <c r="K37" s="4">
        <v>0</v>
      </c>
      <c r="L37" s="4"/>
      <c r="M37" s="1">
        <v>2.17</v>
      </c>
      <c r="N37" s="1">
        <v>0</v>
      </c>
      <c r="O37" s="17">
        <f t="shared" si="14"/>
        <v>1</v>
      </c>
      <c r="P37" s="1"/>
      <c r="Q37" s="1">
        <v>2.04</v>
      </c>
      <c r="R37" s="1">
        <v>0</v>
      </c>
      <c r="S37" s="17">
        <f t="shared" si="15"/>
        <v>1</v>
      </c>
      <c r="T37" s="1"/>
      <c r="U37" s="1">
        <v>1.96</v>
      </c>
      <c r="V37" s="1">
        <v>0</v>
      </c>
      <c r="W37" s="17">
        <f t="shared" si="8"/>
        <v>1</v>
      </c>
      <c r="X37" s="1"/>
      <c r="Y37" s="1">
        <v>0</v>
      </c>
      <c r="Z37" s="20">
        <v>4063.84</v>
      </c>
      <c r="AA37" s="2">
        <v>0</v>
      </c>
      <c r="AB37" s="1">
        <v>0</v>
      </c>
      <c r="AC37" s="1">
        <v>0</v>
      </c>
      <c r="AD37" s="1">
        <v>18</v>
      </c>
      <c r="AE37" s="1">
        <v>16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16</v>
      </c>
      <c r="AY37" s="1">
        <v>17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13</v>
      </c>
      <c r="BI37" s="1">
        <v>21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</row>
    <row r="38" spans="1:67" x14ac:dyDescent="0.2">
      <c r="A38" s="1">
        <v>48066</v>
      </c>
      <c r="B38" s="1" t="s">
        <v>129</v>
      </c>
      <c r="C38" s="1">
        <v>12</v>
      </c>
      <c r="D38" s="1">
        <v>677</v>
      </c>
      <c r="E38" s="1" t="s">
        <v>64</v>
      </c>
      <c r="F38" s="1">
        <v>690</v>
      </c>
      <c r="G38" s="1" t="s">
        <v>101</v>
      </c>
      <c r="H38" s="2">
        <v>54.916699999999999</v>
      </c>
      <c r="I38" s="2">
        <v>659.00040000000001</v>
      </c>
      <c r="J38" s="14">
        <f t="shared" si="2"/>
        <v>0</v>
      </c>
      <c r="K38" s="4">
        <v>0</v>
      </c>
      <c r="L38" s="4"/>
      <c r="M38" s="1">
        <v>2.29</v>
      </c>
      <c r="N38" s="1">
        <v>0</v>
      </c>
      <c r="O38" s="17">
        <f t="shared" si="14"/>
        <v>1</v>
      </c>
      <c r="P38" s="1"/>
      <c r="Q38" s="1">
        <v>2</v>
      </c>
      <c r="R38" s="1">
        <v>1.83</v>
      </c>
      <c r="S38" s="17">
        <f t="shared" si="15"/>
        <v>0</v>
      </c>
      <c r="T38" s="1"/>
      <c r="U38" s="1">
        <v>1.38</v>
      </c>
      <c r="V38" s="1">
        <v>0</v>
      </c>
      <c r="W38" s="17">
        <f t="shared" si="8"/>
        <v>1</v>
      </c>
      <c r="X38" s="1"/>
      <c r="Y38" s="1">
        <v>0</v>
      </c>
      <c r="Z38" s="20">
        <v>3734.34</v>
      </c>
      <c r="AA38" s="2">
        <v>1208.17</v>
      </c>
      <c r="AB38" s="1">
        <v>0</v>
      </c>
      <c r="AC38" s="1">
        <v>0</v>
      </c>
      <c r="AD38" s="1">
        <v>24</v>
      </c>
      <c r="AE38" s="1">
        <v>7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4</v>
      </c>
      <c r="AW38" s="1">
        <v>3</v>
      </c>
      <c r="AX38" s="1">
        <v>16</v>
      </c>
      <c r="AY38" s="1">
        <v>5</v>
      </c>
      <c r="AZ38" s="1">
        <v>22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1</v>
      </c>
      <c r="BH38" s="1">
        <v>14</v>
      </c>
      <c r="BI38" s="1">
        <v>4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</row>
    <row r="39" spans="1:67" x14ac:dyDescent="0.2">
      <c r="A39" s="1">
        <v>47019</v>
      </c>
      <c r="B39" s="1" t="s">
        <v>123</v>
      </c>
      <c r="C39" s="1">
        <v>8</v>
      </c>
      <c r="D39" s="1">
        <v>677</v>
      </c>
      <c r="E39" s="1" t="s">
        <v>64</v>
      </c>
      <c r="F39" s="1">
        <v>61</v>
      </c>
      <c r="G39" s="1" t="s">
        <v>66</v>
      </c>
      <c r="H39" s="2">
        <v>152.41</v>
      </c>
      <c r="I39" s="2">
        <v>1219.28</v>
      </c>
      <c r="J39" s="14">
        <f t="shared" si="2"/>
        <v>0</v>
      </c>
      <c r="K39" s="4">
        <v>0</v>
      </c>
      <c r="L39" s="4"/>
      <c r="M39" s="1">
        <v>0.81</v>
      </c>
      <c r="N39" s="1">
        <v>3.12</v>
      </c>
      <c r="O39" s="17">
        <f t="shared" si="14"/>
        <v>0</v>
      </c>
      <c r="P39" s="1"/>
      <c r="Q39" s="1">
        <v>0.44</v>
      </c>
      <c r="R39" s="1">
        <v>1.1200000000000001</v>
      </c>
      <c r="S39" s="17">
        <f t="shared" si="15"/>
        <v>0</v>
      </c>
      <c r="T39" s="1"/>
      <c r="U39" s="1">
        <v>0.5</v>
      </c>
      <c r="V39" s="1">
        <v>0.62</v>
      </c>
      <c r="W39" s="17">
        <f t="shared" si="8"/>
        <v>0</v>
      </c>
      <c r="X39" s="1"/>
      <c r="Y39" s="1">
        <v>0</v>
      </c>
      <c r="Z39" s="20">
        <v>2133.7399999999998</v>
      </c>
      <c r="AA39" s="2">
        <v>5943.99</v>
      </c>
      <c r="AB39" s="1">
        <v>1</v>
      </c>
      <c r="AC39" s="1">
        <v>0</v>
      </c>
      <c r="AD39" s="1">
        <v>0</v>
      </c>
      <c r="AE39" s="1">
        <v>11</v>
      </c>
      <c r="AF39" s="1">
        <v>25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2</v>
      </c>
      <c r="AY39" s="1">
        <v>3</v>
      </c>
      <c r="AZ39" s="1">
        <v>9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8</v>
      </c>
      <c r="BJ39" s="1">
        <v>5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</row>
    <row r="40" spans="1:67" x14ac:dyDescent="0.2">
      <c r="A40" s="1">
        <v>47210</v>
      </c>
      <c r="B40" s="1" t="s">
        <v>127</v>
      </c>
      <c r="C40" s="1">
        <v>12</v>
      </c>
      <c r="D40" s="1">
        <v>677</v>
      </c>
      <c r="E40" s="1" t="s">
        <v>64</v>
      </c>
      <c r="F40" s="1">
        <v>61</v>
      </c>
      <c r="G40" s="1" t="s">
        <v>66</v>
      </c>
      <c r="H40" s="2">
        <v>48.1554</v>
      </c>
      <c r="I40" s="2">
        <v>577.86479999999995</v>
      </c>
      <c r="J40" s="14">
        <f t="shared" si="2"/>
        <v>0</v>
      </c>
      <c r="K40" s="4">
        <v>0</v>
      </c>
      <c r="L40" s="4"/>
      <c r="M40" s="1">
        <v>0.33</v>
      </c>
      <c r="N40" s="1">
        <v>0</v>
      </c>
      <c r="O40" s="17">
        <f t="shared" si="14"/>
        <v>0</v>
      </c>
      <c r="P40" s="1"/>
      <c r="Q40" s="1">
        <v>1.5</v>
      </c>
      <c r="R40" s="1">
        <v>0.83</v>
      </c>
      <c r="S40" s="17">
        <f t="shared" si="15"/>
        <v>0</v>
      </c>
      <c r="T40" s="1"/>
      <c r="U40" s="1">
        <v>0.08</v>
      </c>
      <c r="V40" s="1">
        <v>0.33</v>
      </c>
      <c r="W40" s="17">
        <f t="shared" si="8"/>
        <v>0</v>
      </c>
      <c r="X40" s="1"/>
      <c r="Y40" s="1">
        <v>0</v>
      </c>
      <c r="Z40" s="20">
        <v>1107.57</v>
      </c>
      <c r="AA40" s="2">
        <v>674.18</v>
      </c>
      <c r="AB40" s="1">
        <v>0</v>
      </c>
      <c r="AC40" s="1">
        <v>1</v>
      </c>
      <c r="AD40" s="1">
        <v>1</v>
      </c>
      <c r="AE40" s="1">
        <v>5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6</v>
      </c>
      <c r="AW40" s="1">
        <v>6</v>
      </c>
      <c r="AX40" s="1">
        <v>9</v>
      </c>
      <c r="AY40" s="1">
        <v>0</v>
      </c>
      <c r="AZ40" s="1">
        <v>10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2</v>
      </c>
      <c r="BH40" s="1">
        <v>0</v>
      </c>
      <c r="BI40" s="1">
        <v>0</v>
      </c>
      <c r="BJ40" s="1">
        <v>4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</row>
    <row r="41" spans="1:67" x14ac:dyDescent="0.2">
      <c r="A41" s="1">
        <v>560</v>
      </c>
      <c r="B41" s="1" t="s">
        <v>133</v>
      </c>
      <c r="C41" s="1">
        <v>96</v>
      </c>
      <c r="D41" s="1">
        <v>677</v>
      </c>
      <c r="E41" s="1" t="s">
        <v>64</v>
      </c>
      <c r="F41" s="1">
        <v>690</v>
      </c>
      <c r="G41" s="1" t="s">
        <v>101</v>
      </c>
      <c r="H41" s="2">
        <v>6.8646000000000003</v>
      </c>
      <c r="I41" s="2">
        <v>659.00160000000005</v>
      </c>
      <c r="J41" s="14">
        <f t="shared" si="2"/>
        <v>0</v>
      </c>
      <c r="K41" s="4">
        <v>0</v>
      </c>
      <c r="L41" s="4"/>
      <c r="M41" s="1">
        <v>1.57</v>
      </c>
      <c r="N41" s="1">
        <v>-0.7</v>
      </c>
      <c r="O41" s="17">
        <f t="shared" si="14"/>
        <v>1</v>
      </c>
      <c r="P41" s="1"/>
      <c r="Q41" s="1">
        <v>0</v>
      </c>
      <c r="R41" s="1">
        <v>0</v>
      </c>
      <c r="S41" s="17">
        <f t="shared" si="15"/>
        <v>0</v>
      </c>
      <c r="T41" s="1"/>
      <c r="U41" s="1">
        <v>0</v>
      </c>
      <c r="V41" s="1">
        <v>0</v>
      </c>
      <c r="W41" s="17">
        <f t="shared" si="8"/>
        <v>0</v>
      </c>
      <c r="X41" s="1"/>
      <c r="Y41" s="1">
        <v>0</v>
      </c>
      <c r="Z41" s="20">
        <v>1036.55</v>
      </c>
      <c r="AA41" s="2">
        <v>-459.93</v>
      </c>
      <c r="AB41" s="1">
        <v>23</v>
      </c>
      <c r="AC41" s="1">
        <v>24</v>
      </c>
      <c r="AD41" s="1">
        <v>84</v>
      </c>
      <c r="AE41" s="1">
        <v>64</v>
      </c>
      <c r="AF41" s="1">
        <v>-67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</row>
    <row r="42" spans="1:67" x14ac:dyDescent="0.2">
      <c r="A42" s="1">
        <v>561</v>
      </c>
      <c r="B42" s="1" t="s">
        <v>132</v>
      </c>
      <c r="C42" s="1">
        <v>96</v>
      </c>
      <c r="D42" s="1">
        <v>677</v>
      </c>
      <c r="E42" s="1" t="s">
        <v>64</v>
      </c>
      <c r="F42" s="1">
        <v>690</v>
      </c>
      <c r="G42" s="1" t="s">
        <v>101</v>
      </c>
      <c r="H42" s="2">
        <v>6.8646000000000003</v>
      </c>
      <c r="I42" s="2">
        <v>659.00160000000005</v>
      </c>
      <c r="J42" s="14">
        <f t="shared" si="2"/>
        <v>0</v>
      </c>
      <c r="K42" s="4">
        <v>0</v>
      </c>
      <c r="L42" s="4"/>
      <c r="M42" s="1">
        <v>1.1200000000000001</v>
      </c>
      <c r="N42" s="1">
        <v>-0.41</v>
      </c>
      <c r="O42" s="17">
        <f t="shared" si="14"/>
        <v>1</v>
      </c>
      <c r="P42" s="1"/>
      <c r="Q42" s="1">
        <v>0</v>
      </c>
      <c r="R42" s="1">
        <v>0</v>
      </c>
      <c r="S42" s="17">
        <f t="shared" si="15"/>
        <v>0</v>
      </c>
      <c r="T42" s="1"/>
      <c r="U42" s="1">
        <v>0.02</v>
      </c>
      <c r="V42" s="1">
        <v>0.1</v>
      </c>
      <c r="W42" s="17">
        <f t="shared" si="8"/>
        <v>0</v>
      </c>
      <c r="X42" s="1"/>
      <c r="Y42" s="1">
        <v>0</v>
      </c>
      <c r="Z42" s="20">
        <v>755.11</v>
      </c>
      <c r="AA42" s="2">
        <v>-199.07</v>
      </c>
      <c r="AB42" s="1">
        <v>22</v>
      </c>
      <c r="AC42" s="1">
        <v>14</v>
      </c>
      <c r="AD42" s="1">
        <v>60</v>
      </c>
      <c r="AE42" s="1">
        <v>38</v>
      </c>
      <c r="AF42" s="1">
        <v>-39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2</v>
      </c>
      <c r="BG42" s="1">
        <v>0</v>
      </c>
      <c r="BH42" s="1">
        <v>0</v>
      </c>
      <c r="BI42" s="1">
        <v>0</v>
      </c>
      <c r="BJ42" s="1">
        <v>10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</row>
    <row r="43" spans="1:67" x14ac:dyDescent="0.2">
      <c r="A43" s="1">
        <v>564</v>
      </c>
      <c r="B43" s="1" t="s">
        <v>136</v>
      </c>
      <c r="C43" s="1">
        <v>96</v>
      </c>
      <c r="D43" s="1">
        <v>677</v>
      </c>
      <c r="E43" s="1" t="s">
        <v>64</v>
      </c>
      <c r="F43" s="1">
        <v>690</v>
      </c>
      <c r="G43" s="1" t="s">
        <v>101</v>
      </c>
      <c r="H43" s="2">
        <v>6.8646000000000003</v>
      </c>
      <c r="I43" s="2">
        <v>659.00160000000005</v>
      </c>
      <c r="J43" s="14">
        <f t="shared" si="2"/>
        <v>0</v>
      </c>
      <c r="K43" s="4">
        <v>0</v>
      </c>
      <c r="L43" s="4"/>
      <c r="M43" s="1">
        <v>1.1299999999999999</v>
      </c>
      <c r="N43" s="1">
        <v>-0.41</v>
      </c>
      <c r="O43" s="17">
        <f t="shared" si="14"/>
        <v>1</v>
      </c>
      <c r="P43" s="1"/>
      <c r="Q43" s="1">
        <v>0</v>
      </c>
      <c r="R43" s="1">
        <v>0</v>
      </c>
      <c r="S43" s="17">
        <f t="shared" si="15"/>
        <v>0</v>
      </c>
      <c r="T43" s="1"/>
      <c r="U43" s="1">
        <v>0</v>
      </c>
      <c r="V43" s="1">
        <v>0.12</v>
      </c>
      <c r="W43" s="17">
        <f t="shared" si="8"/>
        <v>0</v>
      </c>
      <c r="X43" s="1"/>
      <c r="Y43" s="1">
        <v>0</v>
      </c>
      <c r="Z43" s="20">
        <v>744.81</v>
      </c>
      <c r="AA43" s="2">
        <v>-185.34</v>
      </c>
      <c r="AB43" s="1">
        <v>24</v>
      </c>
      <c r="AC43" s="1">
        <v>16</v>
      </c>
      <c r="AD43" s="1">
        <v>57</v>
      </c>
      <c r="AE43" s="1">
        <v>39</v>
      </c>
      <c r="AF43" s="1">
        <v>-39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12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</row>
    <row r="44" spans="1:67" x14ac:dyDescent="0.2">
      <c r="A44" s="1">
        <v>562</v>
      </c>
      <c r="B44" s="1" t="s">
        <v>131</v>
      </c>
      <c r="C44" s="1">
        <v>96</v>
      </c>
      <c r="D44" s="1">
        <v>677</v>
      </c>
      <c r="E44" s="1" t="s">
        <v>64</v>
      </c>
      <c r="F44" s="1">
        <v>690</v>
      </c>
      <c r="G44" s="1" t="s">
        <v>101</v>
      </c>
      <c r="H44" s="2">
        <v>6.8646000000000003</v>
      </c>
      <c r="I44" s="2">
        <v>659.00160000000005</v>
      </c>
      <c r="J44" s="14">
        <f t="shared" si="2"/>
        <v>0</v>
      </c>
      <c r="K44" s="4">
        <v>0</v>
      </c>
      <c r="L44" s="4"/>
      <c r="M44" s="1">
        <v>0.91</v>
      </c>
      <c r="N44" s="1">
        <v>-0.52</v>
      </c>
      <c r="O44" s="17">
        <f t="shared" si="14"/>
        <v>1</v>
      </c>
      <c r="P44" s="1"/>
      <c r="Q44" s="1">
        <v>0</v>
      </c>
      <c r="R44" s="1">
        <v>0</v>
      </c>
      <c r="S44" s="17">
        <f t="shared" si="15"/>
        <v>0</v>
      </c>
      <c r="T44" s="1"/>
      <c r="U44" s="1">
        <v>0.03</v>
      </c>
      <c r="V44" s="1">
        <v>-0.03</v>
      </c>
      <c r="W44" s="17">
        <f t="shared" si="8"/>
        <v>0</v>
      </c>
      <c r="X44" s="1"/>
      <c r="Y44" s="1">
        <v>0</v>
      </c>
      <c r="Z44" s="20">
        <v>617.80999999999995</v>
      </c>
      <c r="AA44" s="2">
        <v>-363.82</v>
      </c>
      <c r="AB44" s="1">
        <v>22</v>
      </c>
      <c r="AC44" s="1">
        <v>12</v>
      </c>
      <c r="AD44" s="1">
        <v>44</v>
      </c>
      <c r="AE44" s="1">
        <v>30</v>
      </c>
      <c r="AF44" s="1">
        <v>-50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3</v>
      </c>
      <c r="BG44" s="1">
        <v>0</v>
      </c>
      <c r="BH44" s="1">
        <v>0</v>
      </c>
      <c r="BI44" s="1">
        <v>0</v>
      </c>
      <c r="BJ44" s="1">
        <v>-3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</row>
    <row r="45" spans="1:67" x14ac:dyDescent="0.2">
      <c r="A45" s="1">
        <v>567</v>
      </c>
      <c r="B45" s="1" t="s">
        <v>135</v>
      </c>
      <c r="C45" s="1">
        <v>96</v>
      </c>
      <c r="D45" s="1">
        <v>677</v>
      </c>
      <c r="E45" s="1" t="s">
        <v>64</v>
      </c>
      <c r="F45" s="1">
        <v>690</v>
      </c>
      <c r="G45" s="1" t="s">
        <v>101</v>
      </c>
      <c r="H45" s="2">
        <v>6.8646000000000003</v>
      </c>
      <c r="I45" s="2">
        <v>659.00160000000005</v>
      </c>
      <c r="J45" s="14">
        <f t="shared" si="2"/>
        <v>0</v>
      </c>
      <c r="K45" s="4">
        <v>0</v>
      </c>
      <c r="L45" s="4"/>
      <c r="M45" s="1">
        <v>0.83</v>
      </c>
      <c r="N45" s="1">
        <v>-0.23</v>
      </c>
      <c r="O45" s="17">
        <f t="shared" si="14"/>
        <v>0</v>
      </c>
      <c r="P45" s="1"/>
      <c r="Q45" s="1">
        <v>0</v>
      </c>
      <c r="R45" s="1">
        <v>0</v>
      </c>
      <c r="S45" s="17">
        <f t="shared" si="15"/>
        <v>0</v>
      </c>
      <c r="T45" s="1"/>
      <c r="U45" s="1">
        <v>0</v>
      </c>
      <c r="V45" s="1">
        <v>0.01</v>
      </c>
      <c r="W45" s="17">
        <f t="shared" si="8"/>
        <v>0</v>
      </c>
      <c r="X45" s="1"/>
      <c r="Y45" s="1">
        <v>0</v>
      </c>
      <c r="Z45" s="20">
        <v>545.74</v>
      </c>
      <c r="AA45" s="2">
        <v>-144.16</v>
      </c>
      <c r="AB45" s="1">
        <v>14</v>
      </c>
      <c r="AC45" s="1">
        <v>12</v>
      </c>
      <c r="AD45" s="1">
        <v>40</v>
      </c>
      <c r="AE45" s="1">
        <v>39</v>
      </c>
      <c r="AF45" s="1">
        <v>-22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1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</row>
    <row r="46" spans="1:67" x14ac:dyDescent="0.2">
      <c r="A46" s="1">
        <v>565</v>
      </c>
      <c r="B46" s="1" t="s">
        <v>137</v>
      </c>
      <c r="C46" s="1">
        <v>96</v>
      </c>
      <c r="D46" s="1">
        <v>677</v>
      </c>
      <c r="E46" s="1" t="s">
        <v>64</v>
      </c>
      <c r="F46" s="1">
        <v>690</v>
      </c>
      <c r="G46" s="1" t="s">
        <v>101</v>
      </c>
      <c r="H46" s="2">
        <v>6.8646000000000003</v>
      </c>
      <c r="I46" s="2">
        <v>659.00160000000005</v>
      </c>
      <c r="J46" s="14">
        <f t="shared" si="2"/>
        <v>0</v>
      </c>
      <c r="K46" s="15">
        <f t="shared" ref="K46:K91" si="16">SUM(O46+S46+W46)</f>
        <v>0</v>
      </c>
      <c r="L46" s="15"/>
      <c r="M46" s="1">
        <v>0.69</v>
      </c>
      <c r="N46" s="1">
        <v>-0.1</v>
      </c>
      <c r="O46" s="17">
        <f t="shared" si="14"/>
        <v>0</v>
      </c>
      <c r="P46" s="1"/>
      <c r="Q46" s="1">
        <v>0</v>
      </c>
      <c r="R46" s="1">
        <v>0</v>
      </c>
      <c r="S46" s="17">
        <f t="shared" si="15"/>
        <v>0</v>
      </c>
      <c r="T46" s="1"/>
      <c r="U46" s="1">
        <v>0</v>
      </c>
      <c r="V46" s="1">
        <v>0.06</v>
      </c>
      <c r="W46" s="17">
        <f t="shared" si="8"/>
        <v>0</v>
      </c>
      <c r="X46" s="1"/>
      <c r="Y46" s="1">
        <v>0</v>
      </c>
      <c r="Z46" s="20">
        <v>456.5</v>
      </c>
      <c r="AA46" s="2">
        <v>-27.46</v>
      </c>
      <c r="AB46" s="1">
        <v>0</v>
      </c>
      <c r="AC46" s="1">
        <v>5</v>
      </c>
      <c r="AD46" s="1">
        <v>57</v>
      </c>
      <c r="AE46" s="1">
        <v>14</v>
      </c>
      <c r="AF46" s="1">
        <v>-10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6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</row>
    <row r="47" spans="1:67" x14ac:dyDescent="0.2">
      <c r="A47" s="1">
        <v>504</v>
      </c>
      <c r="B47" s="1" t="s">
        <v>138</v>
      </c>
      <c r="C47" s="1">
        <v>96</v>
      </c>
      <c r="D47" s="1">
        <v>677</v>
      </c>
      <c r="E47" s="1" t="s">
        <v>64</v>
      </c>
      <c r="F47" s="1">
        <v>690</v>
      </c>
      <c r="G47" s="1" t="s">
        <v>101</v>
      </c>
      <c r="H47" s="2">
        <v>6.8646000000000003</v>
      </c>
      <c r="I47" s="2">
        <v>659.00160000000005</v>
      </c>
      <c r="J47" s="14">
        <f t="shared" si="2"/>
        <v>0</v>
      </c>
      <c r="K47" s="15">
        <f t="shared" si="16"/>
        <v>0</v>
      </c>
      <c r="L47" s="15"/>
      <c r="M47" s="1">
        <v>0.65</v>
      </c>
      <c r="N47" s="1">
        <v>-0.32</v>
      </c>
      <c r="O47" s="17">
        <f t="shared" si="14"/>
        <v>0</v>
      </c>
      <c r="P47" s="1"/>
      <c r="Q47" s="1">
        <v>0</v>
      </c>
      <c r="R47" s="1">
        <v>0</v>
      </c>
      <c r="S47" s="17">
        <f t="shared" si="15"/>
        <v>0</v>
      </c>
      <c r="T47" s="1"/>
      <c r="U47" s="1">
        <v>0</v>
      </c>
      <c r="V47" s="1">
        <v>0</v>
      </c>
      <c r="W47" s="17">
        <f t="shared" si="8"/>
        <v>0</v>
      </c>
      <c r="X47" s="1"/>
      <c r="Y47" s="1">
        <v>0</v>
      </c>
      <c r="Z47" s="20">
        <v>429.04</v>
      </c>
      <c r="AA47" s="2">
        <v>-212.8</v>
      </c>
      <c r="AB47" s="1">
        <v>20</v>
      </c>
      <c r="AC47" s="1">
        <v>16</v>
      </c>
      <c r="AD47" s="1">
        <v>27</v>
      </c>
      <c r="AE47" s="1">
        <v>15</v>
      </c>
      <c r="AF47" s="1">
        <v>-31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</row>
    <row r="48" spans="1:67" x14ac:dyDescent="0.2">
      <c r="A48" s="1">
        <v>566</v>
      </c>
      <c r="B48" s="1" t="s">
        <v>140</v>
      </c>
      <c r="C48" s="1">
        <v>96</v>
      </c>
      <c r="D48" s="1">
        <v>677</v>
      </c>
      <c r="E48" s="1" t="s">
        <v>64</v>
      </c>
      <c r="F48" s="1">
        <v>690</v>
      </c>
      <c r="G48" s="1" t="s">
        <v>101</v>
      </c>
      <c r="H48" s="2">
        <v>6.8646000000000003</v>
      </c>
      <c r="I48" s="2">
        <v>659.00160000000005</v>
      </c>
      <c r="J48" s="14">
        <f t="shared" si="2"/>
        <v>0</v>
      </c>
      <c r="K48" s="15">
        <f t="shared" si="16"/>
        <v>0</v>
      </c>
      <c r="L48" s="15"/>
      <c r="M48" s="1">
        <v>0.61</v>
      </c>
      <c r="N48" s="1">
        <v>-0.2</v>
      </c>
      <c r="O48" s="17">
        <f t="shared" si="14"/>
        <v>0</v>
      </c>
      <c r="P48" s="1"/>
      <c r="Q48" s="1">
        <v>0</v>
      </c>
      <c r="R48" s="1">
        <v>0</v>
      </c>
      <c r="S48" s="17">
        <f t="shared" si="15"/>
        <v>0</v>
      </c>
      <c r="T48" s="1"/>
      <c r="U48" s="1">
        <v>0</v>
      </c>
      <c r="V48" s="1">
        <v>0</v>
      </c>
      <c r="W48" s="17">
        <f t="shared" si="8"/>
        <v>0</v>
      </c>
      <c r="X48" s="1"/>
      <c r="Y48" s="1">
        <v>0</v>
      </c>
      <c r="Z48" s="20">
        <v>405.01</v>
      </c>
      <c r="AA48" s="2">
        <v>-130.43</v>
      </c>
      <c r="AB48" s="1">
        <v>6</v>
      </c>
      <c r="AC48" s="1">
        <v>14</v>
      </c>
      <c r="AD48" s="1">
        <v>38</v>
      </c>
      <c r="AE48" s="1">
        <v>16</v>
      </c>
      <c r="AF48" s="1">
        <v>-19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</row>
    <row r="49" spans="1:67" x14ac:dyDescent="0.2">
      <c r="A49" s="1">
        <v>501</v>
      </c>
      <c r="B49" s="1" t="s">
        <v>145</v>
      </c>
      <c r="C49" s="1">
        <v>96</v>
      </c>
      <c r="D49" s="1">
        <v>677</v>
      </c>
      <c r="E49" s="1" t="s">
        <v>64</v>
      </c>
      <c r="F49" s="1">
        <v>690</v>
      </c>
      <c r="G49" s="1" t="s">
        <v>101</v>
      </c>
      <c r="H49" s="2">
        <v>6.8646000000000003</v>
      </c>
      <c r="I49" s="2">
        <v>659.00160000000005</v>
      </c>
      <c r="J49" s="14">
        <f t="shared" si="2"/>
        <v>0</v>
      </c>
      <c r="K49" s="15">
        <f t="shared" si="16"/>
        <v>0</v>
      </c>
      <c r="L49" s="15"/>
      <c r="M49" s="1">
        <v>0.55000000000000004</v>
      </c>
      <c r="N49" s="1">
        <v>-0.44</v>
      </c>
      <c r="O49" s="17">
        <f t="shared" si="14"/>
        <v>0</v>
      </c>
      <c r="P49" s="1"/>
      <c r="Q49" s="1">
        <v>0</v>
      </c>
      <c r="R49" s="1">
        <v>0</v>
      </c>
      <c r="S49" s="17">
        <f t="shared" si="15"/>
        <v>0</v>
      </c>
      <c r="T49" s="1"/>
      <c r="U49" s="1">
        <v>0.01</v>
      </c>
      <c r="V49" s="1">
        <v>0</v>
      </c>
      <c r="W49" s="17">
        <f t="shared" si="8"/>
        <v>0</v>
      </c>
      <c r="X49" s="1"/>
      <c r="Y49" s="1">
        <v>0</v>
      </c>
      <c r="Z49" s="20">
        <v>367.26</v>
      </c>
      <c r="AA49" s="2">
        <v>-288.31</v>
      </c>
      <c r="AB49" s="1">
        <v>22</v>
      </c>
      <c r="AC49" s="1">
        <v>20</v>
      </c>
      <c r="AD49" s="1">
        <v>16</v>
      </c>
      <c r="AE49" s="1">
        <v>10</v>
      </c>
      <c r="AF49" s="1">
        <v>-42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1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</row>
    <row r="50" spans="1:67" x14ac:dyDescent="0.2">
      <c r="A50" s="1">
        <v>47036</v>
      </c>
      <c r="B50" s="1" t="s">
        <v>117</v>
      </c>
      <c r="C50" s="1">
        <v>24</v>
      </c>
      <c r="D50" s="1">
        <v>677</v>
      </c>
      <c r="E50" s="1" t="s">
        <v>64</v>
      </c>
      <c r="F50" s="1">
        <v>61</v>
      </c>
      <c r="G50" s="1" t="s">
        <v>66</v>
      </c>
      <c r="H50" s="2">
        <v>38.6661</v>
      </c>
      <c r="I50" s="2">
        <v>927.9864</v>
      </c>
      <c r="J50" s="14">
        <f t="shared" si="2"/>
        <v>0</v>
      </c>
      <c r="K50" s="15">
        <f t="shared" si="16"/>
        <v>0</v>
      </c>
      <c r="L50" s="15"/>
      <c r="M50" s="1">
        <v>0.33</v>
      </c>
      <c r="N50" s="1">
        <v>0</v>
      </c>
      <c r="O50" s="17">
        <f t="shared" si="14"/>
        <v>0</v>
      </c>
      <c r="P50" s="1"/>
      <c r="Q50" s="1">
        <v>0</v>
      </c>
      <c r="R50" s="1">
        <v>0</v>
      </c>
      <c r="S50" s="17">
        <f t="shared" si="15"/>
        <v>0</v>
      </c>
      <c r="T50" s="1"/>
      <c r="U50" s="1">
        <v>0</v>
      </c>
      <c r="V50" s="1">
        <v>0</v>
      </c>
      <c r="W50" s="17">
        <f t="shared" si="8"/>
        <v>0</v>
      </c>
      <c r="X50" s="1"/>
      <c r="Y50" s="1">
        <v>0</v>
      </c>
      <c r="Z50" s="20">
        <v>309.33</v>
      </c>
      <c r="AA50" s="2">
        <v>0</v>
      </c>
      <c r="AB50" s="1">
        <v>0</v>
      </c>
      <c r="AC50" s="1">
        <v>0</v>
      </c>
      <c r="AD50" s="1">
        <v>7</v>
      </c>
      <c r="AE50" s="1">
        <v>2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</row>
    <row r="51" spans="1:67" x14ac:dyDescent="0.2">
      <c r="A51" s="1">
        <v>506</v>
      </c>
      <c r="B51" s="1" t="s">
        <v>139</v>
      </c>
      <c r="C51" s="1">
        <v>96</v>
      </c>
      <c r="D51" s="1">
        <v>677</v>
      </c>
      <c r="E51" s="1" t="s">
        <v>64</v>
      </c>
      <c r="F51" s="1">
        <v>690</v>
      </c>
      <c r="G51" s="1" t="s">
        <v>101</v>
      </c>
      <c r="H51" s="2">
        <v>6.8646000000000003</v>
      </c>
      <c r="I51" s="2">
        <v>659.00160000000005</v>
      </c>
      <c r="J51" s="14">
        <f t="shared" si="2"/>
        <v>0</v>
      </c>
      <c r="K51" s="15">
        <f t="shared" si="16"/>
        <v>0</v>
      </c>
      <c r="L51" s="15"/>
      <c r="M51" s="1">
        <v>0.41</v>
      </c>
      <c r="N51" s="1">
        <v>-0.26</v>
      </c>
      <c r="O51" s="17">
        <f t="shared" si="14"/>
        <v>0</v>
      </c>
      <c r="P51" s="1"/>
      <c r="Q51" s="1">
        <v>0</v>
      </c>
      <c r="R51" s="1">
        <v>0</v>
      </c>
      <c r="S51" s="17">
        <f t="shared" si="15"/>
        <v>0</v>
      </c>
      <c r="T51" s="1"/>
      <c r="U51" s="1">
        <v>0</v>
      </c>
      <c r="V51" s="1">
        <v>0</v>
      </c>
      <c r="W51" s="17">
        <f t="shared" si="8"/>
        <v>0</v>
      </c>
      <c r="X51" s="1"/>
      <c r="Y51" s="1">
        <v>0</v>
      </c>
      <c r="Z51" s="20">
        <v>267.72000000000003</v>
      </c>
      <c r="AA51" s="2">
        <v>-171.62</v>
      </c>
      <c r="AB51" s="1">
        <v>14</v>
      </c>
      <c r="AC51" s="1">
        <v>10</v>
      </c>
      <c r="AD51" s="1">
        <v>17</v>
      </c>
      <c r="AE51" s="1">
        <v>6</v>
      </c>
      <c r="AF51" s="1">
        <v>-25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</row>
    <row r="52" spans="1:67" x14ac:dyDescent="0.2">
      <c r="A52" s="1">
        <v>519</v>
      </c>
      <c r="B52" s="1" t="s">
        <v>143</v>
      </c>
      <c r="C52" s="1">
        <v>96</v>
      </c>
      <c r="D52" s="1">
        <v>677</v>
      </c>
      <c r="E52" s="1" t="s">
        <v>64</v>
      </c>
      <c r="F52" s="1">
        <v>690</v>
      </c>
      <c r="G52" s="1" t="s">
        <v>101</v>
      </c>
      <c r="H52" s="2">
        <v>6.8646000000000003</v>
      </c>
      <c r="I52" s="2">
        <v>659.00160000000005</v>
      </c>
      <c r="J52" s="14">
        <f t="shared" si="2"/>
        <v>0</v>
      </c>
      <c r="K52" s="15">
        <f t="shared" si="16"/>
        <v>0</v>
      </c>
      <c r="L52" s="15"/>
      <c r="M52" s="1">
        <v>0.35</v>
      </c>
      <c r="N52" s="1">
        <v>-0.2</v>
      </c>
      <c r="O52" s="17">
        <f t="shared" si="14"/>
        <v>0</v>
      </c>
      <c r="P52" s="1"/>
      <c r="Q52" s="1">
        <v>0</v>
      </c>
      <c r="R52" s="1">
        <v>0</v>
      </c>
      <c r="S52" s="17">
        <f t="shared" si="15"/>
        <v>0</v>
      </c>
      <c r="T52" s="1"/>
      <c r="U52" s="1">
        <v>0</v>
      </c>
      <c r="V52" s="1">
        <v>0</v>
      </c>
      <c r="W52" s="17">
        <f t="shared" si="8"/>
        <v>0</v>
      </c>
      <c r="X52" s="1"/>
      <c r="Y52" s="1">
        <v>0</v>
      </c>
      <c r="Z52" s="20">
        <v>233.4</v>
      </c>
      <c r="AA52" s="2">
        <v>-130.43</v>
      </c>
      <c r="AB52" s="1">
        <v>7</v>
      </c>
      <c r="AC52" s="1">
        <v>12</v>
      </c>
      <c r="AD52" s="1">
        <v>17</v>
      </c>
      <c r="AE52" s="1">
        <v>8</v>
      </c>
      <c r="AF52" s="1">
        <v>-19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</row>
    <row r="53" spans="1:67" x14ac:dyDescent="0.2">
      <c r="A53" s="1">
        <v>526</v>
      </c>
      <c r="B53" s="1" t="s">
        <v>144</v>
      </c>
      <c r="C53" s="1">
        <v>96</v>
      </c>
      <c r="D53" s="1">
        <v>677</v>
      </c>
      <c r="E53" s="1" t="s">
        <v>64</v>
      </c>
      <c r="F53" s="1">
        <v>690</v>
      </c>
      <c r="G53" s="1" t="s">
        <v>101</v>
      </c>
      <c r="H53" s="2">
        <v>6.8646000000000003</v>
      </c>
      <c r="I53" s="2">
        <v>659.00160000000005</v>
      </c>
      <c r="J53" s="14">
        <f t="shared" si="2"/>
        <v>0</v>
      </c>
      <c r="K53" s="15">
        <f t="shared" si="16"/>
        <v>0</v>
      </c>
      <c r="L53" s="15"/>
      <c r="M53" s="1">
        <v>0.32</v>
      </c>
      <c r="N53" s="1">
        <v>0</v>
      </c>
      <c r="O53" s="17">
        <f t="shared" si="14"/>
        <v>0</v>
      </c>
      <c r="P53" s="1"/>
      <c r="Q53" s="1">
        <v>0</v>
      </c>
      <c r="R53" s="1">
        <v>0</v>
      </c>
      <c r="S53" s="17">
        <f t="shared" si="15"/>
        <v>0</v>
      </c>
      <c r="T53" s="1"/>
      <c r="U53" s="1">
        <v>0</v>
      </c>
      <c r="V53" s="1">
        <v>0</v>
      </c>
      <c r="W53" s="17">
        <f t="shared" si="8"/>
        <v>0</v>
      </c>
      <c r="X53" s="1"/>
      <c r="Y53" s="1">
        <v>0</v>
      </c>
      <c r="Z53" s="20">
        <v>209.37</v>
      </c>
      <c r="AA53" s="2">
        <v>0</v>
      </c>
      <c r="AB53" s="1">
        <v>0</v>
      </c>
      <c r="AC53" s="1">
        <v>0</v>
      </c>
      <c r="AD53" s="1">
        <v>23</v>
      </c>
      <c r="AE53" s="1">
        <v>15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</row>
    <row r="54" spans="1:67" x14ac:dyDescent="0.2">
      <c r="A54" s="1">
        <v>510</v>
      </c>
      <c r="B54" s="1" t="s">
        <v>146</v>
      </c>
      <c r="C54" s="1">
        <v>96</v>
      </c>
      <c r="D54" s="1">
        <v>677</v>
      </c>
      <c r="E54" s="1" t="s">
        <v>64</v>
      </c>
      <c r="F54" s="1">
        <v>690</v>
      </c>
      <c r="G54" s="1" t="s">
        <v>101</v>
      </c>
      <c r="H54" s="2">
        <v>6.8646000000000003</v>
      </c>
      <c r="I54" s="2">
        <v>659.00160000000005</v>
      </c>
      <c r="J54" s="14">
        <f t="shared" si="2"/>
        <v>0</v>
      </c>
      <c r="K54" s="15">
        <f t="shared" si="16"/>
        <v>0</v>
      </c>
      <c r="L54" s="15"/>
      <c r="M54" s="1">
        <v>0.31</v>
      </c>
      <c r="N54" s="1">
        <v>-0.28999999999999998</v>
      </c>
      <c r="O54" s="17">
        <f t="shared" si="14"/>
        <v>0</v>
      </c>
      <c r="P54" s="1"/>
      <c r="Q54" s="1">
        <v>0</v>
      </c>
      <c r="R54" s="1">
        <v>0</v>
      </c>
      <c r="S54" s="17">
        <f t="shared" si="15"/>
        <v>0</v>
      </c>
      <c r="T54" s="1"/>
      <c r="U54" s="1">
        <v>0</v>
      </c>
      <c r="V54" s="1">
        <v>0</v>
      </c>
      <c r="W54" s="17">
        <f t="shared" si="8"/>
        <v>0</v>
      </c>
      <c r="X54" s="1"/>
      <c r="Y54" s="1">
        <v>0</v>
      </c>
      <c r="Z54" s="20">
        <v>205.94</v>
      </c>
      <c r="AA54" s="2">
        <v>-192.21</v>
      </c>
      <c r="AB54" s="1">
        <v>3</v>
      </c>
      <c r="AC54" s="1">
        <v>13</v>
      </c>
      <c r="AD54" s="1">
        <v>16</v>
      </c>
      <c r="AE54" s="1">
        <v>9</v>
      </c>
      <c r="AF54" s="1">
        <v>-28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</row>
    <row r="55" spans="1:67" x14ac:dyDescent="0.2">
      <c r="A55" s="1">
        <v>509</v>
      </c>
      <c r="B55" s="1" t="s">
        <v>141</v>
      </c>
      <c r="C55" s="1">
        <v>96</v>
      </c>
      <c r="D55" s="1">
        <v>677</v>
      </c>
      <c r="E55" s="1" t="s">
        <v>64</v>
      </c>
      <c r="F55" s="1">
        <v>690</v>
      </c>
      <c r="G55" s="1" t="s">
        <v>101</v>
      </c>
      <c r="H55" s="2">
        <v>6.8646000000000003</v>
      </c>
      <c r="I55" s="2">
        <v>659.00160000000005</v>
      </c>
      <c r="J55" s="14">
        <f t="shared" si="2"/>
        <v>0</v>
      </c>
      <c r="K55" s="15">
        <f t="shared" si="16"/>
        <v>0</v>
      </c>
      <c r="L55" s="15"/>
      <c r="M55" s="1">
        <v>0.22</v>
      </c>
      <c r="N55" s="1">
        <v>0</v>
      </c>
      <c r="O55" s="17">
        <f t="shared" si="14"/>
        <v>0</v>
      </c>
      <c r="P55" s="1"/>
      <c r="Q55" s="1">
        <v>0</v>
      </c>
      <c r="R55" s="1">
        <v>0</v>
      </c>
      <c r="S55" s="17">
        <f t="shared" si="15"/>
        <v>0</v>
      </c>
      <c r="T55" s="1"/>
      <c r="U55" s="1">
        <v>0</v>
      </c>
      <c r="V55" s="1">
        <v>0</v>
      </c>
      <c r="W55" s="17">
        <f t="shared" si="8"/>
        <v>0</v>
      </c>
      <c r="X55" s="1"/>
      <c r="Y55" s="1">
        <v>0</v>
      </c>
      <c r="Z55" s="20">
        <v>147.59</v>
      </c>
      <c r="AA55" s="2">
        <v>0</v>
      </c>
      <c r="AB55" s="1">
        <v>0</v>
      </c>
      <c r="AC55" s="1">
        <v>0</v>
      </c>
      <c r="AD55" s="1">
        <v>7</v>
      </c>
      <c r="AE55" s="1">
        <v>29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</row>
    <row r="56" spans="1:67" x14ac:dyDescent="0.2">
      <c r="A56" s="1">
        <v>514</v>
      </c>
      <c r="B56" s="1" t="s">
        <v>147</v>
      </c>
      <c r="C56" s="1">
        <v>96</v>
      </c>
      <c r="D56" s="1">
        <v>677</v>
      </c>
      <c r="E56" s="1" t="s">
        <v>64</v>
      </c>
      <c r="F56" s="1">
        <v>690</v>
      </c>
      <c r="G56" s="1" t="s">
        <v>101</v>
      </c>
      <c r="H56" s="2">
        <v>6.8646000000000003</v>
      </c>
      <c r="I56" s="2">
        <v>659.00160000000005</v>
      </c>
      <c r="J56" s="14">
        <f t="shared" si="2"/>
        <v>0</v>
      </c>
      <c r="K56" s="15">
        <f t="shared" si="16"/>
        <v>0</v>
      </c>
      <c r="L56" s="15"/>
      <c r="M56" s="1">
        <v>0.16</v>
      </c>
      <c r="N56" s="1">
        <v>0</v>
      </c>
      <c r="O56" s="17">
        <f t="shared" si="14"/>
        <v>0</v>
      </c>
      <c r="P56" s="1"/>
      <c r="Q56" s="1">
        <v>0</v>
      </c>
      <c r="R56" s="1">
        <v>0</v>
      </c>
      <c r="S56" s="17">
        <f t="shared" si="15"/>
        <v>0</v>
      </c>
      <c r="T56" s="1"/>
      <c r="U56" s="1">
        <v>0</v>
      </c>
      <c r="V56" s="1">
        <v>0</v>
      </c>
      <c r="W56" s="17">
        <f t="shared" si="8"/>
        <v>0</v>
      </c>
      <c r="X56" s="1"/>
      <c r="Y56" s="1">
        <v>0</v>
      </c>
      <c r="Z56" s="20">
        <v>106.4</v>
      </c>
      <c r="AA56" s="2">
        <v>0</v>
      </c>
      <c r="AB56" s="1">
        <v>0</v>
      </c>
      <c r="AC56" s="1">
        <v>0</v>
      </c>
      <c r="AD56" s="1">
        <v>11</v>
      </c>
      <c r="AE56" s="1">
        <v>9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</row>
    <row r="57" spans="1:67" x14ac:dyDescent="0.2">
      <c r="A57" s="1">
        <v>515</v>
      </c>
      <c r="B57" s="1" t="s">
        <v>152</v>
      </c>
      <c r="C57" s="1">
        <v>96</v>
      </c>
      <c r="D57" s="1">
        <v>677</v>
      </c>
      <c r="E57" s="1" t="s">
        <v>64</v>
      </c>
      <c r="F57" s="1">
        <v>690</v>
      </c>
      <c r="G57" s="1" t="s">
        <v>101</v>
      </c>
      <c r="H57" s="2">
        <v>6.8646000000000003</v>
      </c>
      <c r="I57" s="2">
        <v>659.00160000000005</v>
      </c>
      <c r="J57" s="14">
        <f t="shared" si="2"/>
        <v>0</v>
      </c>
      <c r="K57" s="15">
        <f t="shared" si="16"/>
        <v>0</v>
      </c>
      <c r="L57" s="15"/>
      <c r="M57" s="1">
        <v>0.09</v>
      </c>
      <c r="N57" s="1">
        <v>0</v>
      </c>
      <c r="O57" s="17">
        <f t="shared" si="14"/>
        <v>0</v>
      </c>
      <c r="P57" s="1"/>
      <c r="Q57" s="1">
        <v>0</v>
      </c>
      <c r="R57" s="1">
        <v>0</v>
      </c>
      <c r="S57" s="17">
        <f t="shared" si="15"/>
        <v>0</v>
      </c>
      <c r="T57" s="1"/>
      <c r="U57" s="1">
        <v>0</v>
      </c>
      <c r="V57" s="1">
        <v>0</v>
      </c>
      <c r="W57" s="17">
        <f t="shared" si="8"/>
        <v>0</v>
      </c>
      <c r="X57" s="1"/>
      <c r="Y57" s="1">
        <v>0</v>
      </c>
      <c r="Z57" s="20">
        <v>61.78</v>
      </c>
      <c r="AA57" s="2">
        <v>0</v>
      </c>
      <c r="AB57" s="1">
        <v>0</v>
      </c>
      <c r="AC57" s="1">
        <v>0</v>
      </c>
      <c r="AD57" s="1">
        <v>6</v>
      </c>
      <c r="AE57" s="1">
        <v>6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</row>
    <row r="58" spans="1:67" x14ac:dyDescent="0.2">
      <c r="A58" s="1">
        <v>85</v>
      </c>
      <c r="B58" s="1" t="s">
        <v>148</v>
      </c>
      <c r="C58" s="1">
        <v>192</v>
      </c>
      <c r="D58" s="1">
        <v>677</v>
      </c>
      <c r="E58" s="1" t="s">
        <v>64</v>
      </c>
      <c r="F58" s="1">
        <v>1</v>
      </c>
      <c r="G58" s="1" t="s">
        <v>149</v>
      </c>
      <c r="H58" s="2">
        <v>6</v>
      </c>
      <c r="I58" s="2">
        <v>1152</v>
      </c>
      <c r="J58" s="14">
        <f t="shared" si="2"/>
        <v>0</v>
      </c>
      <c r="K58" s="15">
        <f t="shared" si="16"/>
        <v>0</v>
      </c>
      <c r="L58" s="15"/>
      <c r="M58" s="1">
        <v>0</v>
      </c>
      <c r="N58" s="1">
        <v>0</v>
      </c>
      <c r="O58" s="17">
        <f t="shared" si="14"/>
        <v>0</v>
      </c>
      <c r="P58" s="1"/>
      <c r="Q58" s="1">
        <v>0</v>
      </c>
      <c r="R58" s="1">
        <v>0</v>
      </c>
      <c r="S58" s="17">
        <f t="shared" si="15"/>
        <v>0</v>
      </c>
      <c r="T58" s="1"/>
      <c r="U58" s="1">
        <v>0</v>
      </c>
      <c r="V58" s="1">
        <v>0</v>
      </c>
      <c r="W58" s="17">
        <f t="shared" si="8"/>
        <v>0</v>
      </c>
      <c r="X58" s="1"/>
      <c r="Y58" s="1">
        <v>0</v>
      </c>
      <c r="Z58" s="20">
        <v>0</v>
      </c>
      <c r="AA58" s="2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</row>
    <row r="59" spans="1:67" x14ac:dyDescent="0.2">
      <c r="A59" s="1">
        <v>511</v>
      </c>
      <c r="B59" s="1" t="s">
        <v>150</v>
      </c>
      <c r="C59" s="1">
        <v>96</v>
      </c>
      <c r="D59" s="1">
        <v>677</v>
      </c>
      <c r="E59" s="1" t="s">
        <v>64</v>
      </c>
      <c r="F59" s="1">
        <v>690</v>
      </c>
      <c r="G59" s="1" t="s">
        <v>101</v>
      </c>
      <c r="H59" s="2">
        <v>6.8646000000000003</v>
      </c>
      <c r="I59" s="2">
        <v>659.00160000000005</v>
      </c>
      <c r="J59" s="14">
        <f t="shared" si="2"/>
        <v>0</v>
      </c>
      <c r="K59" s="15">
        <f t="shared" si="16"/>
        <v>0</v>
      </c>
      <c r="L59" s="15"/>
      <c r="M59" s="1">
        <v>0</v>
      </c>
      <c r="N59" s="1">
        <v>0</v>
      </c>
      <c r="O59" s="17">
        <f t="shared" si="14"/>
        <v>0</v>
      </c>
      <c r="P59" s="1"/>
      <c r="Q59" s="1">
        <v>0</v>
      </c>
      <c r="R59" s="1">
        <v>0</v>
      </c>
      <c r="S59" s="17">
        <f t="shared" si="15"/>
        <v>0</v>
      </c>
      <c r="T59" s="1"/>
      <c r="U59" s="1">
        <v>0</v>
      </c>
      <c r="V59" s="1">
        <v>0</v>
      </c>
      <c r="W59" s="17">
        <f t="shared" si="8"/>
        <v>0</v>
      </c>
      <c r="X59" s="1"/>
      <c r="Y59" s="1">
        <v>0</v>
      </c>
      <c r="Z59" s="20">
        <v>0</v>
      </c>
      <c r="AA59" s="2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</row>
    <row r="60" spans="1:67" x14ac:dyDescent="0.2">
      <c r="A60" s="1">
        <v>512</v>
      </c>
      <c r="B60" s="1" t="s">
        <v>151</v>
      </c>
      <c r="C60" s="1">
        <v>96</v>
      </c>
      <c r="D60" s="1">
        <v>677</v>
      </c>
      <c r="E60" s="1" t="s">
        <v>64</v>
      </c>
      <c r="F60" s="1">
        <v>690</v>
      </c>
      <c r="G60" s="1" t="s">
        <v>101</v>
      </c>
      <c r="H60" s="2">
        <v>6.8646000000000003</v>
      </c>
      <c r="I60" s="2">
        <v>659.00160000000005</v>
      </c>
      <c r="J60" s="14">
        <f t="shared" si="2"/>
        <v>0</v>
      </c>
      <c r="K60" s="15">
        <f t="shared" si="16"/>
        <v>0</v>
      </c>
      <c r="L60" s="15"/>
      <c r="M60" s="1">
        <v>0</v>
      </c>
      <c r="N60" s="1">
        <v>0</v>
      </c>
      <c r="O60" s="17">
        <f t="shared" si="14"/>
        <v>0</v>
      </c>
      <c r="P60" s="1"/>
      <c r="Q60" s="1">
        <v>0</v>
      </c>
      <c r="R60" s="1">
        <v>0</v>
      </c>
      <c r="S60" s="17">
        <f t="shared" si="15"/>
        <v>0</v>
      </c>
      <c r="T60" s="1"/>
      <c r="U60" s="1">
        <v>0</v>
      </c>
      <c r="V60" s="1">
        <v>0</v>
      </c>
      <c r="W60" s="17">
        <f t="shared" si="8"/>
        <v>0</v>
      </c>
      <c r="X60" s="1"/>
      <c r="Y60" s="1">
        <v>0</v>
      </c>
      <c r="Z60" s="20">
        <v>0</v>
      </c>
      <c r="AA60" s="2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</row>
    <row r="61" spans="1:67" x14ac:dyDescent="0.2">
      <c r="A61" s="1">
        <v>516</v>
      </c>
      <c r="B61" s="1" t="s">
        <v>153</v>
      </c>
      <c r="C61" s="1">
        <v>96</v>
      </c>
      <c r="D61" s="1">
        <v>677</v>
      </c>
      <c r="E61" s="1" t="s">
        <v>64</v>
      </c>
      <c r="F61" s="1">
        <v>690</v>
      </c>
      <c r="G61" s="1" t="s">
        <v>101</v>
      </c>
      <c r="H61" s="2">
        <v>6.8646000000000003</v>
      </c>
      <c r="I61" s="2">
        <v>659.00160000000005</v>
      </c>
      <c r="J61" s="14">
        <f t="shared" si="2"/>
        <v>0</v>
      </c>
      <c r="K61" s="15">
        <f t="shared" si="16"/>
        <v>0</v>
      </c>
      <c r="L61" s="15"/>
      <c r="M61" s="1">
        <v>0</v>
      </c>
      <c r="N61" s="1">
        <v>0</v>
      </c>
      <c r="O61" s="17">
        <f t="shared" si="14"/>
        <v>0</v>
      </c>
      <c r="P61" s="1"/>
      <c r="Q61" s="1">
        <v>0</v>
      </c>
      <c r="R61" s="1">
        <v>0</v>
      </c>
      <c r="S61" s="17">
        <f t="shared" si="15"/>
        <v>0</v>
      </c>
      <c r="T61" s="1"/>
      <c r="U61" s="1">
        <v>0</v>
      </c>
      <c r="V61" s="1">
        <v>0</v>
      </c>
      <c r="W61" s="17">
        <f t="shared" si="8"/>
        <v>0</v>
      </c>
      <c r="X61" s="1"/>
      <c r="Y61" s="1">
        <v>0</v>
      </c>
      <c r="Z61" s="20">
        <v>0</v>
      </c>
      <c r="AA61" s="2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</row>
    <row r="62" spans="1:67" x14ac:dyDescent="0.2">
      <c r="A62" s="1">
        <v>543</v>
      </c>
      <c r="B62" s="1" t="s">
        <v>154</v>
      </c>
      <c r="C62" s="1">
        <v>96</v>
      </c>
      <c r="D62" s="1">
        <v>677</v>
      </c>
      <c r="E62" s="1" t="s">
        <v>64</v>
      </c>
      <c r="F62" s="1">
        <v>690</v>
      </c>
      <c r="G62" s="1" t="s">
        <v>101</v>
      </c>
      <c r="H62" s="2">
        <v>6.8646000000000003</v>
      </c>
      <c r="I62" s="2">
        <v>659.00160000000005</v>
      </c>
      <c r="J62" s="14">
        <f t="shared" si="2"/>
        <v>0</v>
      </c>
      <c r="K62" s="15">
        <f t="shared" si="16"/>
        <v>0</v>
      </c>
      <c r="L62" s="15"/>
      <c r="M62" s="1">
        <v>0</v>
      </c>
      <c r="N62" s="1">
        <v>0</v>
      </c>
      <c r="O62" s="17">
        <f t="shared" si="14"/>
        <v>0</v>
      </c>
      <c r="P62" s="1"/>
      <c r="Q62" s="1">
        <v>0</v>
      </c>
      <c r="R62" s="1">
        <v>0</v>
      </c>
      <c r="S62" s="17">
        <f t="shared" si="15"/>
        <v>0</v>
      </c>
      <c r="T62" s="1"/>
      <c r="U62" s="1">
        <v>0</v>
      </c>
      <c r="V62" s="1">
        <v>0</v>
      </c>
      <c r="W62" s="17">
        <f t="shared" si="8"/>
        <v>0</v>
      </c>
      <c r="X62" s="1"/>
      <c r="Y62" s="1">
        <v>0</v>
      </c>
      <c r="Z62" s="20">
        <v>0</v>
      </c>
      <c r="AA62" s="2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</row>
    <row r="63" spans="1:67" x14ac:dyDescent="0.2">
      <c r="A63" s="1">
        <v>563</v>
      </c>
      <c r="B63" s="1" t="s">
        <v>155</v>
      </c>
      <c r="C63" s="1">
        <v>96</v>
      </c>
      <c r="D63" s="1">
        <v>677</v>
      </c>
      <c r="E63" s="1" t="s">
        <v>64</v>
      </c>
      <c r="F63" s="1">
        <v>690</v>
      </c>
      <c r="G63" s="1" t="s">
        <v>101</v>
      </c>
      <c r="H63" s="2">
        <v>6.8646000000000003</v>
      </c>
      <c r="I63" s="2">
        <v>659.00160000000005</v>
      </c>
      <c r="J63" s="14">
        <f t="shared" si="2"/>
        <v>0</v>
      </c>
      <c r="K63" s="15">
        <f t="shared" si="16"/>
        <v>0</v>
      </c>
      <c r="L63" s="15"/>
      <c r="M63" s="1">
        <v>0</v>
      </c>
      <c r="N63" s="1">
        <v>0</v>
      </c>
      <c r="O63" s="17">
        <f t="shared" si="14"/>
        <v>0</v>
      </c>
      <c r="P63" s="1"/>
      <c r="Q63" s="1">
        <v>0</v>
      </c>
      <c r="R63" s="1">
        <v>0</v>
      </c>
      <c r="S63" s="17">
        <f t="shared" si="15"/>
        <v>0</v>
      </c>
      <c r="T63" s="1"/>
      <c r="U63" s="1">
        <v>0</v>
      </c>
      <c r="V63" s="1">
        <v>0</v>
      </c>
      <c r="W63" s="17">
        <f t="shared" si="8"/>
        <v>0</v>
      </c>
      <c r="X63" s="1"/>
      <c r="Y63" s="1">
        <v>0</v>
      </c>
      <c r="Z63" s="20">
        <v>0</v>
      </c>
      <c r="AA63" s="2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</row>
    <row r="64" spans="1:67" x14ac:dyDescent="0.2">
      <c r="A64" s="1">
        <v>8038</v>
      </c>
      <c r="B64" s="1" t="s">
        <v>156</v>
      </c>
      <c r="C64" s="1">
        <v>6</v>
      </c>
      <c r="D64" s="1">
        <v>677</v>
      </c>
      <c r="E64" s="1" t="s">
        <v>64</v>
      </c>
      <c r="F64" s="1">
        <v>61</v>
      </c>
      <c r="G64" s="1" t="s">
        <v>66</v>
      </c>
      <c r="H64" s="2">
        <v>77</v>
      </c>
      <c r="I64" s="2">
        <v>462</v>
      </c>
      <c r="J64" s="14">
        <f t="shared" si="2"/>
        <v>0</v>
      </c>
      <c r="K64" s="15">
        <f t="shared" si="16"/>
        <v>0</v>
      </c>
      <c r="L64" s="15"/>
      <c r="M64" s="1">
        <v>0</v>
      </c>
      <c r="N64" s="1">
        <v>0</v>
      </c>
      <c r="O64" s="17">
        <f t="shared" si="14"/>
        <v>0</v>
      </c>
      <c r="P64" s="1"/>
      <c r="Q64" s="1">
        <v>0</v>
      </c>
      <c r="R64" s="1">
        <v>0</v>
      </c>
      <c r="S64" s="17">
        <f t="shared" si="15"/>
        <v>0</v>
      </c>
      <c r="T64" s="1"/>
      <c r="U64" s="1">
        <v>0</v>
      </c>
      <c r="V64" s="1">
        <v>0</v>
      </c>
      <c r="W64" s="17">
        <f t="shared" si="8"/>
        <v>0</v>
      </c>
      <c r="X64" s="1"/>
      <c r="Y64" s="1">
        <v>0</v>
      </c>
      <c r="Z64" s="20">
        <v>0</v>
      </c>
      <c r="AA64" s="2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</row>
    <row r="65" spans="1:67" x14ac:dyDescent="0.2">
      <c r="A65" s="1">
        <v>8041</v>
      </c>
      <c r="B65" s="1" t="s">
        <v>77</v>
      </c>
      <c r="C65" s="1">
        <v>72</v>
      </c>
      <c r="D65" s="1">
        <v>677</v>
      </c>
      <c r="E65" s="1" t="s">
        <v>64</v>
      </c>
      <c r="F65" s="1">
        <v>999</v>
      </c>
      <c r="G65" s="1" t="s">
        <v>67</v>
      </c>
      <c r="H65" s="2">
        <v>6.5368000000000004</v>
      </c>
      <c r="I65" s="2">
        <v>470.64960000000002</v>
      </c>
      <c r="J65" s="14">
        <f t="shared" si="2"/>
        <v>0</v>
      </c>
      <c r="K65" s="15">
        <f t="shared" si="16"/>
        <v>0</v>
      </c>
      <c r="L65" s="15"/>
      <c r="M65" s="1">
        <v>0</v>
      </c>
      <c r="N65" s="1">
        <v>0</v>
      </c>
      <c r="O65" s="17">
        <f t="shared" si="14"/>
        <v>0</v>
      </c>
      <c r="P65" s="1"/>
      <c r="Q65" s="1">
        <v>0</v>
      </c>
      <c r="R65" s="1">
        <v>0</v>
      </c>
      <c r="S65" s="17">
        <f t="shared" si="15"/>
        <v>0</v>
      </c>
      <c r="T65" s="1"/>
      <c r="U65" s="1">
        <v>0</v>
      </c>
      <c r="V65" s="1">
        <v>0</v>
      </c>
      <c r="W65" s="17">
        <f t="shared" si="8"/>
        <v>0</v>
      </c>
      <c r="X65" s="1"/>
      <c r="Y65" s="1">
        <v>0</v>
      </c>
      <c r="Z65" s="20">
        <v>0</v>
      </c>
      <c r="AA65" s="2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</row>
    <row r="66" spans="1:67" x14ac:dyDescent="0.2">
      <c r="A66" s="1">
        <v>8042</v>
      </c>
      <c r="B66" s="1" t="s">
        <v>77</v>
      </c>
      <c r="C66" s="1">
        <v>72</v>
      </c>
      <c r="D66" s="1">
        <v>677</v>
      </c>
      <c r="E66" s="1" t="s">
        <v>64</v>
      </c>
      <c r="F66" s="1">
        <v>999</v>
      </c>
      <c r="G66" s="1" t="s">
        <v>67</v>
      </c>
      <c r="H66" s="2">
        <v>6.5368000000000004</v>
      </c>
      <c r="I66" s="2">
        <v>470.64960000000002</v>
      </c>
      <c r="J66" s="14">
        <f t="shared" si="2"/>
        <v>0</v>
      </c>
      <c r="K66" s="15">
        <f t="shared" si="16"/>
        <v>0</v>
      </c>
      <c r="L66" s="15"/>
      <c r="M66" s="1">
        <v>0</v>
      </c>
      <c r="N66" s="1">
        <v>0</v>
      </c>
      <c r="O66" s="17">
        <f t="shared" si="14"/>
        <v>0</v>
      </c>
      <c r="P66" s="1"/>
      <c r="Q66" s="1">
        <v>0</v>
      </c>
      <c r="R66" s="1">
        <v>0</v>
      </c>
      <c r="S66" s="17">
        <f t="shared" si="15"/>
        <v>0</v>
      </c>
      <c r="T66" s="1"/>
      <c r="U66" s="1">
        <v>0</v>
      </c>
      <c r="V66" s="1">
        <v>0</v>
      </c>
      <c r="W66" s="17">
        <f t="shared" si="8"/>
        <v>0</v>
      </c>
      <c r="X66" s="1"/>
      <c r="Y66" s="1">
        <v>0</v>
      </c>
      <c r="Z66" s="20">
        <v>0</v>
      </c>
      <c r="AA66" s="2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</row>
    <row r="67" spans="1:67" x14ac:dyDescent="0.2">
      <c r="A67" s="1">
        <v>9099</v>
      </c>
      <c r="B67" s="1" t="s">
        <v>77</v>
      </c>
      <c r="C67" s="1">
        <v>24</v>
      </c>
      <c r="D67" s="1">
        <v>677</v>
      </c>
      <c r="E67" s="1" t="s">
        <v>64</v>
      </c>
      <c r="F67" s="1">
        <v>999</v>
      </c>
      <c r="G67" s="1" t="s">
        <v>67</v>
      </c>
      <c r="H67" s="2">
        <v>15.6492</v>
      </c>
      <c r="I67" s="2">
        <v>375.58080000000001</v>
      </c>
      <c r="J67" s="14">
        <f t="shared" si="2"/>
        <v>0</v>
      </c>
      <c r="K67" s="15">
        <f t="shared" si="16"/>
        <v>0</v>
      </c>
      <c r="L67" s="15"/>
      <c r="M67" s="1">
        <v>0</v>
      </c>
      <c r="N67" s="1">
        <v>0</v>
      </c>
      <c r="O67" s="17">
        <f t="shared" si="14"/>
        <v>0</v>
      </c>
      <c r="P67" s="1"/>
      <c r="Q67" s="1">
        <v>0</v>
      </c>
      <c r="R67" s="1">
        <v>0</v>
      </c>
      <c r="S67" s="17">
        <f t="shared" si="15"/>
        <v>0</v>
      </c>
      <c r="T67" s="1"/>
      <c r="U67" s="1">
        <v>0</v>
      </c>
      <c r="V67" s="1">
        <v>0</v>
      </c>
      <c r="W67" s="17">
        <f t="shared" si="8"/>
        <v>0</v>
      </c>
      <c r="X67" s="1"/>
      <c r="Y67" s="1">
        <v>0</v>
      </c>
      <c r="Z67" s="20">
        <v>0</v>
      </c>
      <c r="AA67" s="2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</row>
    <row r="68" spans="1:67" x14ac:dyDescent="0.2">
      <c r="A68" s="1">
        <v>47006</v>
      </c>
      <c r="B68" s="1" t="s">
        <v>72</v>
      </c>
      <c r="C68" s="1">
        <v>24</v>
      </c>
      <c r="D68" s="1">
        <v>677</v>
      </c>
      <c r="E68" s="1" t="s">
        <v>64</v>
      </c>
      <c r="F68" s="1">
        <v>998</v>
      </c>
      <c r="G68" s="1" t="s">
        <v>73</v>
      </c>
      <c r="H68" s="2">
        <v>20.635100000000001</v>
      </c>
      <c r="I68" s="2">
        <v>495.24239999999998</v>
      </c>
      <c r="J68" s="14">
        <f t="shared" si="2"/>
        <v>0</v>
      </c>
      <c r="K68" s="15">
        <f t="shared" si="16"/>
        <v>0</v>
      </c>
      <c r="L68" s="15"/>
      <c r="M68" s="1">
        <v>0</v>
      </c>
      <c r="N68" s="1">
        <v>0</v>
      </c>
      <c r="O68" s="17">
        <f t="shared" si="14"/>
        <v>0</v>
      </c>
      <c r="P68" s="1"/>
      <c r="Q68" s="1">
        <v>0</v>
      </c>
      <c r="R68" s="1">
        <v>0</v>
      </c>
      <c r="S68" s="17">
        <f t="shared" si="15"/>
        <v>0</v>
      </c>
      <c r="T68" s="1"/>
      <c r="U68" s="1">
        <v>0</v>
      </c>
      <c r="V68" s="1">
        <v>0</v>
      </c>
      <c r="W68" s="17">
        <f t="shared" si="8"/>
        <v>0</v>
      </c>
      <c r="X68" s="1"/>
      <c r="Y68" s="1">
        <v>0</v>
      </c>
      <c r="Z68" s="20">
        <v>0</v>
      </c>
      <c r="AA68" s="2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</row>
    <row r="69" spans="1:67" x14ac:dyDescent="0.2">
      <c r="A69" s="1">
        <v>47007</v>
      </c>
      <c r="B69" s="1" t="s">
        <v>157</v>
      </c>
      <c r="C69" s="1">
        <v>12</v>
      </c>
      <c r="D69" s="1">
        <v>677</v>
      </c>
      <c r="E69" s="1" t="s">
        <v>64</v>
      </c>
      <c r="F69" s="1">
        <v>1</v>
      </c>
      <c r="G69" s="1" t="s">
        <v>149</v>
      </c>
      <c r="H69" s="2">
        <v>7.68</v>
      </c>
      <c r="I69" s="2">
        <v>92.16</v>
      </c>
      <c r="J69" s="14">
        <f t="shared" si="2"/>
        <v>0</v>
      </c>
      <c r="K69" s="15">
        <f t="shared" si="16"/>
        <v>0</v>
      </c>
      <c r="L69" s="15"/>
      <c r="M69" s="1">
        <v>0</v>
      </c>
      <c r="N69" s="1">
        <v>0</v>
      </c>
      <c r="O69" s="17">
        <f t="shared" si="14"/>
        <v>0</v>
      </c>
      <c r="P69" s="1"/>
      <c r="Q69" s="1">
        <v>0</v>
      </c>
      <c r="R69" s="1">
        <v>0</v>
      </c>
      <c r="S69" s="17">
        <f t="shared" si="15"/>
        <v>0</v>
      </c>
      <c r="T69" s="1"/>
      <c r="U69" s="1">
        <v>0</v>
      </c>
      <c r="V69" s="1">
        <v>0</v>
      </c>
      <c r="W69" s="17">
        <f t="shared" si="8"/>
        <v>0</v>
      </c>
      <c r="X69" s="1"/>
      <c r="Y69" s="1">
        <v>0</v>
      </c>
      <c r="Z69" s="20">
        <v>0</v>
      </c>
      <c r="AA69" s="2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</row>
    <row r="70" spans="1:67" x14ac:dyDescent="0.2">
      <c r="A70" s="1">
        <v>47009</v>
      </c>
      <c r="B70" s="1" t="s">
        <v>130</v>
      </c>
      <c r="C70" s="1">
        <v>12</v>
      </c>
      <c r="D70" s="1">
        <v>677</v>
      </c>
      <c r="E70" s="1" t="s">
        <v>64</v>
      </c>
      <c r="F70" s="1">
        <v>61</v>
      </c>
      <c r="G70" s="1" t="s">
        <v>66</v>
      </c>
      <c r="H70" s="2">
        <v>138.47</v>
      </c>
      <c r="I70" s="2">
        <v>1661.64</v>
      </c>
      <c r="J70" s="14">
        <f t="shared" si="2"/>
        <v>0</v>
      </c>
      <c r="K70" s="15">
        <f t="shared" si="16"/>
        <v>0</v>
      </c>
      <c r="L70" s="15"/>
      <c r="M70" s="1">
        <v>0</v>
      </c>
      <c r="N70" s="1">
        <v>0</v>
      </c>
      <c r="O70" s="17">
        <f t="shared" si="14"/>
        <v>0</v>
      </c>
      <c r="P70" s="1"/>
      <c r="Q70" s="1">
        <v>0</v>
      </c>
      <c r="R70" s="1">
        <v>0</v>
      </c>
      <c r="S70" s="17">
        <f t="shared" si="15"/>
        <v>0</v>
      </c>
      <c r="T70" s="1"/>
      <c r="U70" s="1">
        <v>0</v>
      </c>
      <c r="V70" s="1">
        <v>0</v>
      </c>
      <c r="W70" s="17">
        <f t="shared" si="8"/>
        <v>0</v>
      </c>
      <c r="X70" s="1"/>
      <c r="Y70" s="1">
        <v>0</v>
      </c>
      <c r="Z70" s="20">
        <v>0</v>
      </c>
      <c r="AA70" s="2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</row>
    <row r="71" spans="1:67" x14ac:dyDescent="0.2">
      <c r="A71" s="1">
        <v>47011</v>
      </c>
      <c r="B71" s="1" t="s">
        <v>158</v>
      </c>
      <c r="C71" s="1">
        <v>24</v>
      </c>
      <c r="D71" s="1">
        <v>677</v>
      </c>
      <c r="E71" s="1" t="s">
        <v>64</v>
      </c>
      <c r="F71" s="1">
        <v>677</v>
      </c>
      <c r="G71" s="1" t="s">
        <v>84</v>
      </c>
      <c r="H71" s="2">
        <v>21.65</v>
      </c>
      <c r="I71" s="2">
        <v>519.6</v>
      </c>
      <c r="J71" s="14">
        <f t="shared" si="2"/>
        <v>0</v>
      </c>
      <c r="K71" s="15">
        <f t="shared" si="16"/>
        <v>0</v>
      </c>
      <c r="L71" s="15"/>
      <c r="M71" s="1">
        <v>0</v>
      </c>
      <c r="N71" s="1">
        <v>0</v>
      </c>
      <c r="O71" s="17">
        <f t="shared" si="14"/>
        <v>0</v>
      </c>
      <c r="P71" s="1"/>
      <c r="Q71" s="1">
        <v>0</v>
      </c>
      <c r="R71" s="1">
        <v>0</v>
      </c>
      <c r="S71" s="17">
        <f t="shared" si="15"/>
        <v>0</v>
      </c>
      <c r="T71" s="1"/>
      <c r="U71" s="1">
        <v>0</v>
      </c>
      <c r="V71" s="1">
        <v>0</v>
      </c>
      <c r="W71" s="17">
        <f t="shared" si="8"/>
        <v>0</v>
      </c>
      <c r="X71" s="1"/>
      <c r="Y71" s="1">
        <v>0</v>
      </c>
      <c r="Z71" s="20">
        <v>0</v>
      </c>
      <c r="AA71" s="2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</row>
    <row r="72" spans="1:67" x14ac:dyDescent="0.2">
      <c r="A72" s="1">
        <v>47013</v>
      </c>
      <c r="B72" s="1" t="s">
        <v>159</v>
      </c>
      <c r="C72" s="1">
        <v>4</v>
      </c>
      <c r="D72" s="1">
        <v>677</v>
      </c>
      <c r="E72" s="1" t="s">
        <v>64</v>
      </c>
      <c r="F72" s="1">
        <v>61</v>
      </c>
      <c r="G72" s="1" t="s">
        <v>66</v>
      </c>
      <c r="H72" s="2">
        <v>92.19</v>
      </c>
      <c r="I72" s="2">
        <v>368.76</v>
      </c>
      <c r="J72" s="14">
        <f t="shared" si="2"/>
        <v>0</v>
      </c>
      <c r="K72" s="15">
        <f t="shared" si="16"/>
        <v>0</v>
      </c>
      <c r="L72" s="15"/>
      <c r="M72" s="1">
        <v>0</v>
      </c>
      <c r="N72" s="1">
        <v>0</v>
      </c>
      <c r="O72" s="17">
        <f t="shared" si="14"/>
        <v>0</v>
      </c>
      <c r="P72" s="1"/>
      <c r="Q72" s="1">
        <v>0</v>
      </c>
      <c r="R72" s="1">
        <v>0</v>
      </c>
      <c r="S72" s="17">
        <f t="shared" si="15"/>
        <v>0</v>
      </c>
      <c r="T72" s="1"/>
      <c r="U72" s="1">
        <v>0</v>
      </c>
      <c r="V72" s="1">
        <v>0</v>
      </c>
      <c r="W72" s="17">
        <f t="shared" si="8"/>
        <v>0</v>
      </c>
      <c r="X72" s="1"/>
      <c r="Y72" s="1">
        <v>0</v>
      </c>
      <c r="Z72" s="20">
        <v>0</v>
      </c>
      <c r="AA72" s="2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</row>
    <row r="73" spans="1:67" x14ac:dyDescent="0.2">
      <c r="A73" s="1">
        <v>47016</v>
      </c>
      <c r="B73" s="1" t="s">
        <v>160</v>
      </c>
      <c r="C73" s="1">
        <v>12</v>
      </c>
      <c r="D73" s="1">
        <v>677</v>
      </c>
      <c r="E73" s="1" t="s">
        <v>64</v>
      </c>
      <c r="F73" s="1">
        <v>1</v>
      </c>
      <c r="G73" s="1" t="s">
        <v>149</v>
      </c>
      <c r="H73" s="2">
        <v>7.68</v>
      </c>
      <c r="I73" s="2">
        <v>92.16</v>
      </c>
      <c r="J73" s="14">
        <f t="shared" si="2"/>
        <v>0</v>
      </c>
      <c r="K73" s="15">
        <f t="shared" si="16"/>
        <v>0</v>
      </c>
      <c r="L73" s="15"/>
      <c r="M73" s="1">
        <v>0</v>
      </c>
      <c r="N73" s="1">
        <v>0</v>
      </c>
      <c r="O73" s="17">
        <f t="shared" si="14"/>
        <v>0</v>
      </c>
      <c r="P73" s="1"/>
      <c r="Q73" s="1">
        <v>0</v>
      </c>
      <c r="R73" s="1">
        <v>0</v>
      </c>
      <c r="S73" s="17">
        <f t="shared" si="15"/>
        <v>0</v>
      </c>
      <c r="T73" s="1"/>
      <c r="U73" s="1">
        <v>0</v>
      </c>
      <c r="V73" s="1">
        <v>0</v>
      </c>
      <c r="W73" s="17">
        <f t="shared" si="8"/>
        <v>0</v>
      </c>
      <c r="X73" s="1"/>
      <c r="Y73" s="1">
        <v>0</v>
      </c>
      <c r="Z73" s="20">
        <v>0</v>
      </c>
      <c r="AA73" s="2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</row>
    <row r="74" spans="1:67" x14ac:dyDescent="0.2">
      <c r="A74" s="1">
        <v>47017</v>
      </c>
      <c r="B74" s="1" t="s">
        <v>81</v>
      </c>
      <c r="C74" s="1">
        <v>6</v>
      </c>
      <c r="D74" s="1">
        <v>677</v>
      </c>
      <c r="E74" s="1" t="s">
        <v>64</v>
      </c>
      <c r="F74" s="1">
        <v>999</v>
      </c>
      <c r="G74" s="1" t="s">
        <v>67</v>
      </c>
      <c r="H74" s="2">
        <v>51.17</v>
      </c>
      <c r="I74" s="2">
        <v>307.02</v>
      </c>
      <c r="J74" s="14">
        <f t="shared" si="2"/>
        <v>0</v>
      </c>
      <c r="K74" s="15">
        <f t="shared" si="16"/>
        <v>0</v>
      </c>
      <c r="L74" s="15"/>
      <c r="M74" s="1">
        <v>0</v>
      </c>
      <c r="N74" s="1">
        <v>0</v>
      </c>
      <c r="O74" s="17">
        <f t="shared" si="14"/>
        <v>0</v>
      </c>
      <c r="P74" s="1"/>
      <c r="Q74" s="1">
        <v>0</v>
      </c>
      <c r="R74" s="1">
        <v>0</v>
      </c>
      <c r="S74" s="17">
        <f t="shared" si="15"/>
        <v>0</v>
      </c>
      <c r="T74" s="1"/>
      <c r="U74" s="1">
        <v>0</v>
      </c>
      <c r="V74" s="1">
        <v>0</v>
      </c>
      <c r="W74" s="17">
        <f t="shared" si="8"/>
        <v>0</v>
      </c>
      <c r="X74" s="1"/>
      <c r="Y74" s="1">
        <v>0</v>
      </c>
      <c r="Z74" s="20">
        <v>0</v>
      </c>
      <c r="AA74" s="2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</row>
    <row r="75" spans="1:67" x14ac:dyDescent="0.2">
      <c r="A75" s="1">
        <v>47018</v>
      </c>
      <c r="B75" s="1" t="s">
        <v>161</v>
      </c>
      <c r="C75" s="1">
        <v>6</v>
      </c>
      <c r="D75" s="1">
        <v>677</v>
      </c>
      <c r="E75" s="1" t="s">
        <v>64</v>
      </c>
      <c r="F75" s="1">
        <v>61</v>
      </c>
      <c r="G75" s="1" t="s">
        <v>66</v>
      </c>
      <c r="H75" s="2">
        <v>77.28</v>
      </c>
      <c r="I75" s="2">
        <v>463.68</v>
      </c>
      <c r="J75" s="14">
        <f t="shared" si="2"/>
        <v>0</v>
      </c>
      <c r="K75" s="15">
        <f t="shared" si="16"/>
        <v>0</v>
      </c>
      <c r="L75" s="15"/>
      <c r="M75" s="1">
        <v>0</v>
      </c>
      <c r="N75" s="1">
        <v>0</v>
      </c>
      <c r="O75" s="17">
        <f t="shared" si="14"/>
        <v>0</v>
      </c>
      <c r="P75" s="1"/>
      <c r="Q75" s="1">
        <v>0</v>
      </c>
      <c r="R75" s="1">
        <v>0</v>
      </c>
      <c r="S75" s="17">
        <f t="shared" si="15"/>
        <v>0</v>
      </c>
      <c r="T75" s="1"/>
      <c r="U75" s="1">
        <v>0</v>
      </c>
      <c r="V75" s="1">
        <v>0</v>
      </c>
      <c r="W75" s="17">
        <f t="shared" si="8"/>
        <v>0</v>
      </c>
      <c r="X75" s="1"/>
      <c r="Y75" s="1">
        <v>0</v>
      </c>
      <c r="Z75" s="20">
        <v>0</v>
      </c>
      <c r="AA75" s="2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</row>
    <row r="76" spans="1:67" x14ac:dyDescent="0.2">
      <c r="A76" s="1">
        <v>47021</v>
      </c>
      <c r="B76" s="1" t="s">
        <v>81</v>
      </c>
      <c r="C76" s="1">
        <v>10</v>
      </c>
      <c r="D76" s="1">
        <v>677</v>
      </c>
      <c r="E76" s="1" t="s">
        <v>64</v>
      </c>
      <c r="F76" s="1">
        <v>999</v>
      </c>
      <c r="G76" s="1" t="s">
        <v>67</v>
      </c>
      <c r="H76" s="2">
        <v>34.318800000000003</v>
      </c>
      <c r="I76" s="2">
        <v>343.18799999999999</v>
      </c>
      <c r="J76" s="14">
        <f t="shared" si="2"/>
        <v>0</v>
      </c>
      <c r="K76" s="15">
        <f t="shared" si="16"/>
        <v>0</v>
      </c>
      <c r="L76" s="15"/>
      <c r="M76" s="1">
        <v>0</v>
      </c>
      <c r="N76" s="1">
        <v>0</v>
      </c>
      <c r="O76" s="17">
        <f t="shared" si="14"/>
        <v>0</v>
      </c>
      <c r="P76" s="1"/>
      <c r="Q76" s="1">
        <v>0</v>
      </c>
      <c r="R76" s="1">
        <v>0</v>
      </c>
      <c r="S76" s="17">
        <f t="shared" si="15"/>
        <v>0</v>
      </c>
      <c r="T76" s="1"/>
      <c r="U76" s="1">
        <v>0</v>
      </c>
      <c r="V76" s="1">
        <v>0</v>
      </c>
      <c r="W76" s="17">
        <f t="shared" si="8"/>
        <v>0</v>
      </c>
      <c r="X76" s="1"/>
      <c r="Y76" s="1">
        <v>0</v>
      </c>
      <c r="Z76" s="20">
        <v>0</v>
      </c>
      <c r="AA76" s="2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</row>
    <row r="77" spans="1:67" x14ac:dyDescent="0.2">
      <c r="A77" s="1">
        <v>47022</v>
      </c>
      <c r="B77" s="1" t="s">
        <v>75</v>
      </c>
      <c r="C77" s="1">
        <v>10</v>
      </c>
      <c r="D77" s="1">
        <v>677</v>
      </c>
      <c r="E77" s="1" t="s">
        <v>64</v>
      </c>
      <c r="F77" s="1">
        <v>998</v>
      </c>
      <c r="G77" s="1" t="s">
        <v>73</v>
      </c>
      <c r="H77" s="2">
        <v>127.43</v>
      </c>
      <c r="I77" s="2">
        <v>1274.3</v>
      </c>
      <c r="J77" s="14">
        <f t="shared" si="2"/>
        <v>0</v>
      </c>
      <c r="K77" s="15">
        <f t="shared" si="16"/>
        <v>0</v>
      </c>
      <c r="L77" s="15"/>
      <c r="M77" s="1">
        <v>0</v>
      </c>
      <c r="N77" s="1">
        <v>0</v>
      </c>
      <c r="O77" s="17">
        <f t="shared" si="14"/>
        <v>0</v>
      </c>
      <c r="P77" s="1"/>
      <c r="Q77" s="1">
        <v>0</v>
      </c>
      <c r="R77" s="1">
        <v>0</v>
      </c>
      <c r="S77" s="17">
        <f t="shared" si="15"/>
        <v>0</v>
      </c>
      <c r="T77" s="1"/>
      <c r="U77" s="1">
        <v>0</v>
      </c>
      <c r="V77" s="1">
        <v>0</v>
      </c>
      <c r="W77" s="17">
        <f t="shared" si="8"/>
        <v>0</v>
      </c>
      <c r="X77" s="1"/>
      <c r="Y77" s="1">
        <v>0</v>
      </c>
      <c r="Z77" s="20">
        <v>0</v>
      </c>
      <c r="AA77" s="2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</row>
    <row r="78" spans="1:67" x14ac:dyDescent="0.2">
      <c r="A78" s="1">
        <v>47025</v>
      </c>
      <c r="B78" s="1" t="s">
        <v>162</v>
      </c>
      <c r="C78" s="1">
        <v>24</v>
      </c>
      <c r="D78" s="1">
        <v>677</v>
      </c>
      <c r="E78" s="1" t="s">
        <v>64</v>
      </c>
      <c r="F78" s="1">
        <v>677</v>
      </c>
      <c r="G78" s="1" t="s">
        <v>84</v>
      </c>
      <c r="H78" s="2">
        <v>48.56</v>
      </c>
      <c r="I78" s="2">
        <v>1165.44</v>
      </c>
      <c r="J78" s="14">
        <f t="shared" si="2"/>
        <v>0</v>
      </c>
      <c r="K78" s="15">
        <f t="shared" si="16"/>
        <v>0</v>
      </c>
      <c r="L78" s="15"/>
      <c r="M78" s="1">
        <v>0</v>
      </c>
      <c r="N78" s="1">
        <v>0</v>
      </c>
      <c r="O78" s="17">
        <f t="shared" si="14"/>
        <v>0</v>
      </c>
      <c r="P78" s="1"/>
      <c r="Q78" s="1">
        <v>0</v>
      </c>
      <c r="R78" s="1">
        <v>0</v>
      </c>
      <c r="S78" s="17">
        <f t="shared" si="15"/>
        <v>0</v>
      </c>
      <c r="T78" s="1"/>
      <c r="U78" s="1">
        <v>0</v>
      </c>
      <c r="V78" s="1">
        <v>0</v>
      </c>
      <c r="W78" s="17">
        <f t="shared" si="8"/>
        <v>0</v>
      </c>
      <c r="X78" s="1"/>
      <c r="Y78" s="1">
        <v>0</v>
      </c>
      <c r="Z78" s="20">
        <v>0</v>
      </c>
      <c r="AA78" s="2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</row>
    <row r="79" spans="1:67" x14ac:dyDescent="0.2">
      <c r="A79" s="1">
        <v>47028</v>
      </c>
      <c r="B79" s="1" t="s">
        <v>81</v>
      </c>
      <c r="C79" s="1">
        <v>24</v>
      </c>
      <c r="D79" s="1">
        <v>677</v>
      </c>
      <c r="E79" s="1" t="s">
        <v>64</v>
      </c>
      <c r="F79" s="1">
        <v>999</v>
      </c>
      <c r="G79" s="1" t="s">
        <v>67</v>
      </c>
      <c r="H79" s="2">
        <v>37.9</v>
      </c>
      <c r="I79" s="2">
        <v>909.6</v>
      </c>
      <c r="J79" s="14">
        <f t="shared" si="2"/>
        <v>0</v>
      </c>
      <c r="K79" s="15">
        <f t="shared" si="16"/>
        <v>0</v>
      </c>
      <c r="L79" s="15"/>
      <c r="M79" s="1">
        <v>0</v>
      </c>
      <c r="N79" s="1">
        <v>0</v>
      </c>
      <c r="O79" s="17">
        <f t="shared" si="14"/>
        <v>0</v>
      </c>
      <c r="P79" s="1"/>
      <c r="Q79" s="1">
        <v>0</v>
      </c>
      <c r="R79" s="1">
        <v>0</v>
      </c>
      <c r="S79" s="17">
        <f t="shared" si="15"/>
        <v>0</v>
      </c>
      <c r="T79" s="1"/>
      <c r="U79" s="1">
        <v>0</v>
      </c>
      <c r="V79" s="1">
        <v>0</v>
      </c>
      <c r="W79" s="17">
        <f t="shared" si="8"/>
        <v>0</v>
      </c>
      <c r="X79" s="1"/>
      <c r="Y79" s="1">
        <v>0</v>
      </c>
      <c r="Z79" s="20">
        <v>0</v>
      </c>
      <c r="AA79" s="2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</row>
    <row r="80" spans="1:67" x14ac:dyDescent="0.2">
      <c r="A80" s="1">
        <v>47030</v>
      </c>
      <c r="B80" s="1" t="s">
        <v>163</v>
      </c>
      <c r="C80" s="1">
        <v>12</v>
      </c>
      <c r="D80" s="1">
        <v>677</v>
      </c>
      <c r="E80" s="1" t="s">
        <v>64</v>
      </c>
      <c r="F80" s="1">
        <v>999</v>
      </c>
      <c r="G80" s="1" t="s">
        <v>67</v>
      </c>
      <c r="H80" s="2">
        <v>109.64</v>
      </c>
      <c r="I80" s="2">
        <v>1315.68</v>
      </c>
      <c r="J80" s="14">
        <f t="shared" si="2"/>
        <v>0</v>
      </c>
      <c r="K80" s="15">
        <f t="shared" si="16"/>
        <v>0</v>
      </c>
      <c r="L80" s="15"/>
      <c r="M80" s="1">
        <v>0</v>
      </c>
      <c r="N80" s="1">
        <v>0</v>
      </c>
      <c r="O80" s="17">
        <f t="shared" si="14"/>
        <v>0</v>
      </c>
      <c r="P80" s="1"/>
      <c r="Q80" s="1">
        <v>0</v>
      </c>
      <c r="R80" s="1">
        <v>0</v>
      </c>
      <c r="S80" s="17">
        <f t="shared" si="15"/>
        <v>0</v>
      </c>
      <c r="T80" s="1"/>
      <c r="U80" s="1">
        <v>0</v>
      </c>
      <c r="V80" s="1">
        <v>0</v>
      </c>
      <c r="W80" s="17">
        <f t="shared" si="8"/>
        <v>0</v>
      </c>
      <c r="X80" s="1"/>
      <c r="Y80" s="1">
        <v>0</v>
      </c>
      <c r="Z80" s="20">
        <v>0</v>
      </c>
      <c r="AA80" s="2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</row>
    <row r="81" spans="1:67" x14ac:dyDescent="0.2">
      <c r="A81" s="1">
        <v>47031</v>
      </c>
      <c r="B81" s="1" t="s">
        <v>164</v>
      </c>
      <c r="C81" s="1">
        <v>4</v>
      </c>
      <c r="D81" s="1">
        <v>677</v>
      </c>
      <c r="E81" s="1" t="s">
        <v>64</v>
      </c>
      <c r="F81" s="1">
        <v>61</v>
      </c>
      <c r="G81" s="1" t="s">
        <v>66</v>
      </c>
      <c r="H81" s="2">
        <v>92.19</v>
      </c>
      <c r="I81" s="2">
        <v>368.76</v>
      </c>
      <c r="J81" s="14">
        <f t="shared" si="2"/>
        <v>0</v>
      </c>
      <c r="K81" s="15">
        <f t="shared" si="16"/>
        <v>0</v>
      </c>
      <c r="L81" s="15"/>
      <c r="M81" s="1">
        <v>0</v>
      </c>
      <c r="N81" s="1">
        <v>0</v>
      </c>
      <c r="O81" s="17">
        <f t="shared" si="14"/>
        <v>0</v>
      </c>
      <c r="P81" s="1"/>
      <c r="Q81" s="1">
        <v>0</v>
      </c>
      <c r="R81" s="1">
        <v>0</v>
      </c>
      <c r="S81" s="17">
        <f t="shared" si="15"/>
        <v>0</v>
      </c>
      <c r="T81" s="1"/>
      <c r="U81" s="1">
        <v>0</v>
      </c>
      <c r="V81" s="1">
        <v>0</v>
      </c>
      <c r="W81" s="17">
        <f t="shared" si="8"/>
        <v>0</v>
      </c>
      <c r="X81" s="1"/>
      <c r="Y81" s="1">
        <v>0</v>
      </c>
      <c r="Z81" s="20">
        <v>0</v>
      </c>
      <c r="AA81" s="2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</row>
    <row r="82" spans="1:67" x14ac:dyDescent="0.2">
      <c r="A82" s="1">
        <v>47032</v>
      </c>
      <c r="B82" s="1" t="s">
        <v>81</v>
      </c>
      <c r="C82" s="1">
        <v>12</v>
      </c>
      <c r="D82" s="1">
        <v>677</v>
      </c>
      <c r="E82" s="1" t="s">
        <v>64</v>
      </c>
      <c r="F82" s="1">
        <v>999</v>
      </c>
      <c r="G82" s="1" t="s">
        <v>67</v>
      </c>
      <c r="H82" s="2">
        <v>22.49</v>
      </c>
      <c r="I82" s="2">
        <v>269.88</v>
      </c>
      <c r="J82" s="14">
        <f t="shared" si="2"/>
        <v>0</v>
      </c>
      <c r="K82" s="15">
        <f t="shared" si="16"/>
        <v>0</v>
      </c>
      <c r="L82" s="15"/>
      <c r="M82" s="1">
        <v>0</v>
      </c>
      <c r="N82" s="1">
        <v>0</v>
      </c>
      <c r="O82" s="17">
        <f t="shared" si="14"/>
        <v>0</v>
      </c>
      <c r="P82" s="1"/>
      <c r="Q82" s="1">
        <v>0</v>
      </c>
      <c r="R82" s="1">
        <v>0</v>
      </c>
      <c r="S82" s="17">
        <f t="shared" si="15"/>
        <v>0</v>
      </c>
      <c r="T82" s="1"/>
      <c r="U82" s="1">
        <v>0</v>
      </c>
      <c r="V82" s="1">
        <v>0</v>
      </c>
      <c r="W82" s="17">
        <f t="shared" si="8"/>
        <v>0</v>
      </c>
      <c r="X82" s="1"/>
      <c r="Y82" s="1">
        <v>0</v>
      </c>
      <c r="Z82" s="20">
        <v>0</v>
      </c>
      <c r="AA82" s="2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</row>
    <row r="83" spans="1:67" x14ac:dyDescent="0.2">
      <c r="A83" s="1">
        <v>47034</v>
      </c>
      <c r="B83" s="1" t="s">
        <v>81</v>
      </c>
      <c r="C83" s="1">
        <v>12</v>
      </c>
      <c r="D83" s="1">
        <v>677</v>
      </c>
      <c r="E83" s="1" t="s">
        <v>64</v>
      </c>
      <c r="F83" s="1">
        <v>999</v>
      </c>
      <c r="G83" s="1" t="s">
        <v>67</v>
      </c>
      <c r="H83" s="2">
        <v>25.038699999999999</v>
      </c>
      <c r="I83" s="2">
        <v>300.46440000000001</v>
      </c>
      <c r="J83" s="14">
        <f t="shared" si="2"/>
        <v>0</v>
      </c>
      <c r="K83" s="15">
        <f t="shared" si="16"/>
        <v>0</v>
      </c>
      <c r="L83" s="15"/>
      <c r="M83" s="1">
        <v>0</v>
      </c>
      <c r="N83" s="1">
        <v>0</v>
      </c>
      <c r="O83" s="17">
        <f t="shared" si="14"/>
        <v>0</v>
      </c>
      <c r="P83" s="1"/>
      <c r="Q83" s="1">
        <v>0</v>
      </c>
      <c r="R83" s="1">
        <v>0</v>
      </c>
      <c r="S83" s="17">
        <f t="shared" si="15"/>
        <v>0</v>
      </c>
      <c r="T83" s="1"/>
      <c r="U83" s="1">
        <v>0</v>
      </c>
      <c r="V83" s="1">
        <v>0</v>
      </c>
      <c r="W83" s="17">
        <f t="shared" si="8"/>
        <v>0</v>
      </c>
      <c r="X83" s="1"/>
      <c r="Y83" s="1">
        <v>0</v>
      </c>
      <c r="Z83" s="20">
        <v>0</v>
      </c>
      <c r="AA83" s="2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</row>
    <row r="84" spans="1:67" x14ac:dyDescent="0.2">
      <c r="A84" s="1">
        <v>47037</v>
      </c>
      <c r="B84" s="1" t="s">
        <v>81</v>
      </c>
      <c r="C84" s="1">
        <v>24</v>
      </c>
      <c r="D84" s="1">
        <v>677</v>
      </c>
      <c r="E84" s="1" t="s">
        <v>64</v>
      </c>
      <c r="F84" s="1">
        <v>999</v>
      </c>
      <c r="G84" s="1" t="s">
        <v>67</v>
      </c>
      <c r="H84" s="2">
        <v>20.088100000000001</v>
      </c>
      <c r="I84" s="2">
        <v>482.11439999999999</v>
      </c>
      <c r="J84" s="14">
        <f t="shared" si="2"/>
        <v>0</v>
      </c>
      <c r="K84" s="15">
        <f t="shared" si="16"/>
        <v>0</v>
      </c>
      <c r="L84" s="15"/>
      <c r="M84" s="1">
        <v>0</v>
      </c>
      <c r="N84" s="1">
        <v>0</v>
      </c>
      <c r="O84" s="17">
        <f t="shared" si="14"/>
        <v>0</v>
      </c>
      <c r="P84" s="1"/>
      <c r="Q84" s="1">
        <v>0</v>
      </c>
      <c r="R84" s="1">
        <v>0</v>
      </c>
      <c r="S84" s="17">
        <f t="shared" si="15"/>
        <v>0</v>
      </c>
      <c r="T84" s="1"/>
      <c r="U84" s="1">
        <v>0</v>
      </c>
      <c r="V84" s="1">
        <v>0</v>
      </c>
      <c r="W84" s="17">
        <f t="shared" si="8"/>
        <v>0</v>
      </c>
      <c r="X84" s="1"/>
      <c r="Y84" s="1">
        <v>0</v>
      </c>
      <c r="Z84" s="20">
        <v>0</v>
      </c>
      <c r="AA84" s="2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</row>
    <row r="85" spans="1:67" x14ac:dyDescent="0.2">
      <c r="A85" s="1">
        <v>47044</v>
      </c>
      <c r="B85" s="1" t="s">
        <v>81</v>
      </c>
      <c r="C85" s="1">
        <v>12</v>
      </c>
      <c r="D85" s="1">
        <v>677</v>
      </c>
      <c r="E85" s="1" t="s">
        <v>64</v>
      </c>
      <c r="F85" s="1">
        <v>999</v>
      </c>
      <c r="G85" s="1" t="s">
        <v>67</v>
      </c>
      <c r="H85" s="2">
        <v>18.04</v>
      </c>
      <c r="I85" s="2">
        <v>216.48</v>
      </c>
      <c r="J85" s="14">
        <f t="shared" si="2"/>
        <v>0</v>
      </c>
      <c r="K85" s="15">
        <f t="shared" si="16"/>
        <v>0</v>
      </c>
      <c r="L85" s="15"/>
      <c r="M85" s="1">
        <v>0</v>
      </c>
      <c r="N85" s="1">
        <v>0</v>
      </c>
      <c r="O85" s="17">
        <f t="shared" si="14"/>
        <v>0</v>
      </c>
      <c r="P85" s="1"/>
      <c r="Q85" s="1">
        <v>0</v>
      </c>
      <c r="R85" s="1">
        <v>0</v>
      </c>
      <c r="S85" s="17">
        <f t="shared" si="15"/>
        <v>0</v>
      </c>
      <c r="T85" s="1"/>
      <c r="U85" s="1">
        <v>0</v>
      </c>
      <c r="V85" s="1">
        <v>0</v>
      </c>
      <c r="W85" s="17">
        <f t="shared" si="8"/>
        <v>0</v>
      </c>
      <c r="X85" s="1"/>
      <c r="Y85" s="1">
        <v>0</v>
      </c>
      <c r="Z85" s="20">
        <v>0</v>
      </c>
      <c r="AA85" s="2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</row>
    <row r="86" spans="1:67" x14ac:dyDescent="0.2">
      <c r="A86" s="1">
        <v>47047</v>
      </c>
      <c r="B86" s="1">
        <v>47047</v>
      </c>
      <c r="C86" s="1">
        <v>15</v>
      </c>
      <c r="D86" s="1">
        <v>677</v>
      </c>
      <c r="E86" s="1" t="s">
        <v>64</v>
      </c>
      <c r="F86" s="1">
        <v>999</v>
      </c>
      <c r="G86" s="1" t="s">
        <v>67</v>
      </c>
      <c r="H86" s="2">
        <v>20.947700000000001</v>
      </c>
      <c r="I86" s="2">
        <v>314.21550000000002</v>
      </c>
      <c r="J86" s="14">
        <f t="shared" si="2"/>
        <v>0</v>
      </c>
      <c r="K86" s="15">
        <f t="shared" si="16"/>
        <v>0</v>
      </c>
      <c r="L86" s="15"/>
      <c r="M86" s="1">
        <v>0</v>
      </c>
      <c r="N86" s="1">
        <v>0</v>
      </c>
      <c r="O86" s="17">
        <f t="shared" si="14"/>
        <v>0</v>
      </c>
      <c r="P86" s="1"/>
      <c r="Q86" s="1">
        <v>0</v>
      </c>
      <c r="R86" s="1">
        <v>0</v>
      </c>
      <c r="S86" s="17">
        <f t="shared" si="15"/>
        <v>0</v>
      </c>
      <c r="T86" s="1"/>
      <c r="U86" s="1">
        <v>0</v>
      </c>
      <c r="V86" s="1">
        <v>0</v>
      </c>
      <c r="W86" s="17">
        <f t="shared" si="8"/>
        <v>0</v>
      </c>
      <c r="X86" s="1"/>
      <c r="Y86" s="1">
        <v>0</v>
      </c>
      <c r="Z86" s="20">
        <v>0</v>
      </c>
      <c r="AA86" s="2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</row>
    <row r="87" spans="1:67" x14ac:dyDescent="0.2">
      <c r="A87" s="1">
        <v>47048</v>
      </c>
      <c r="B87" s="1" t="s">
        <v>166</v>
      </c>
      <c r="C87" s="1">
        <v>4</v>
      </c>
      <c r="D87" s="1">
        <v>677</v>
      </c>
      <c r="E87" s="1" t="s">
        <v>64</v>
      </c>
      <c r="F87" s="1">
        <v>677</v>
      </c>
      <c r="G87" s="1" t="s">
        <v>84</v>
      </c>
      <c r="H87" s="2">
        <v>119.16</v>
      </c>
      <c r="I87" s="2">
        <v>476.64</v>
      </c>
      <c r="J87" s="14">
        <f t="shared" si="2"/>
        <v>0</v>
      </c>
      <c r="K87" s="15">
        <f t="shared" si="16"/>
        <v>0</v>
      </c>
      <c r="L87" s="15"/>
      <c r="M87" s="1">
        <v>0</v>
      </c>
      <c r="N87" s="1">
        <v>0</v>
      </c>
      <c r="O87" s="17">
        <f t="shared" si="14"/>
        <v>0</v>
      </c>
      <c r="P87" s="1"/>
      <c r="Q87" s="1">
        <v>0</v>
      </c>
      <c r="R87" s="1">
        <v>0</v>
      </c>
      <c r="S87" s="17">
        <f t="shared" si="15"/>
        <v>0</v>
      </c>
      <c r="T87" s="1"/>
      <c r="U87" s="1">
        <v>0</v>
      </c>
      <c r="V87" s="1">
        <v>0</v>
      </c>
      <c r="W87" s="17">
        <f t="shared" si="8"/>
        <v>0</v>
      </c>
      <c r="X87" s="1"/>
      <c r="Y87" s="1">
        <v>0</v>
      </c>
      <c r="Z87" s="20">
        <v>0</v>
      </c>
      <c r="AA87" s="2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</row>
    <row r="88" spans="1:67" x14ac:dyDescent="0.2">
      <c r="A88" s="1">
        <v>47049</v>
      </c>
      <c r="B88" s="1" t="s">
        <v>165</v>
      </c>
      <c r="C88" s="1">
        <v>12</v>
      </c>
      <c r="D88" s="1">
        <v>677</v>
      </c>
      <c r="E88" s="1" t="s">
        <v>64</v>
      </c>
      <c r="F88" s="1">
        <v>999</v>
      </c>
      <c r="G88" s="1" t="s">
        <v>67</v>
      </c>
      <c r="H88" s="2">
        <v>34.17</v>
      </c>
      <c r="I88" s="2">
        <v>410.04</v>
      </c>
      <c r="J88" s="14">
        <f t="shared" si="2"/>
        <v>0</v>
      </c>
      <c r="K88" s="15">
        <f t="shared" si="16"/>
        <v>0</v>
      </c>
      <c r="L88" s="15"/>
      <c r="M88" s="1">
        <v>0</v>
      </c>
      <c r="N88" s="1">
        <v>0</v>
      </c>
      <c r="O88" s="17">
        <f t="shared" si="14"/>
        <v>0</v>
      </c>
      <c r="P88" s="1"/>
      <c r="Q88" s="1">
        <v>0</v>
      </c>
      <c r="R88" s="1">
        <v>0</v>
      </c>
      <c r="S88" s="17">
        <f t="shared" si="15"/>
        <v>0</v>
      </c>
      <c r="T88" s="1"/>
      <c r="U88" s="1">
        <v>0</v>
      </c>
      <c r="V88" s="1">
        <v>0</v>
      </c>
      <c r="W88" s="17">
        <f t="shared" si="8"/>
        <v>0</v>
      </c>
      <c r="X88" s="1"/>
      <c r="Y88" s="1">
        <v>0</v>
      </c>
      <c r="Z88" s="20">
        <v>0</v>
      </c>
      <c r="AA88" s="2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</row>
    <row r="89" spans="1:67" x14ac:dyDescent="0.2">
      <c r="A89" s="1">
        <v>47050</v>
      </c>
      <c r="B89" s="1" t="s">
        <v>81</v>
      </c>
      <c r="C89" s="1">
        <v>24</v>
      </c>
      <c r="D89" s="1">
        <v>677</v>
      </c>
      <c r="E89" s="1" t="s">
        <v>64</v>
      </c>
      <c r="F89" s="1">
        <v>999</v>
      </c>
      <c r="G89" s="1" t="s">
        <v>67</v>
      </c>
      <c r="H89" s="2">
        <v>16.470099999999999</v>
      </c>
      <c r="I89" s="2">
        <v>395.2824</v>
      </c>
      <c r="J89" s="14">
        <f t="shared" si="2"/>
        <v>0</v>
      </c>
      <c r="K89" s="15">
        <f t="shared" si="16"/>
        <v>0</v>
      </c>
      <c r="L89" s="15"/>
      <c r="M89" s="1">
        <v>0</v>
      </c>
      <c r="N89" s="1">
        <v>0</v>
      </c>
      <c r="O89" s="17">
        <f t="shared" si="14"/>
        <v>0</v>
      </c>
      <c r="P89" s="1"/>
      <c r="Q89" s="1">
        <v>0</v>
      </c>
      <c r="R89" s="1">
        <v>0</v>
      </c>
      <c r="S89" s="17">
        <f t="shared" si="15"/>
        <v>0</v>
      </c>
      <c r="T89" s="1"/>
      <c r="U89" s="1">
        <v>0</v>
      </c>
      <c r="V89" s="1">
        <v>0</v>
      </c>
      <c r="W89" s="17">
        <f t="shared" si="8"/>
        <v>0</v>
      </c>
      <c r="X89" s="1"/>
      <c r="Y89" s="1">
        <v>0</v>
      </c>
      <c r="Z89" s="20">
        <v>0</v>
      </c>
      <c r="AA89" s="2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</row>
    <row r="90" spans="1:67" x14ac:dyDescent="0.2">
      <c r="A90" s="1">
        <v>47125</v>
      </c>
      <c r="B90" s="1" t="s">
        <v>81</v>
      </c>
      <c r="C90" s="1">
        <v>15</v>
      </c>
      <c r="D90" s="1">
        <v>677</v>
      </c>
      <c r="E90" s="1" t="s">
        <v>64</v>
      </c>
      <c r="F90" s="1">
        <v>999</v>
      </c>
      <c r="G90" s="1" t="s">
        <v>67</v>
      </c>
      <c r="H90" s="2">
        <v>37.9</v>
      </c>
      <c r="I90" s="2">
        <v>568.5</v>
      </c>
      <c r="J90" s="14">
        <f t="shared" si="2"/>
        <v>0</v>
      </c>
      <c r="K90" s="15">
        <f t="shared" si="16"/>
        <v>0</v>
      </c>
      <c r="L90" s="15"/>
      <c r="M90" s="1">
        <v>0</v>
      </c>
      <c r="N90" s="1">
        <v>0</v>
      </c>
      <c r="O90" s="17">
        <f t="shared" si="14"/>
        <v>0</v>
      </c>
      <c r="P90" s="1"/>
      <c r="Q90" s="1">
        <v>0</v>
      </c>
      <c r="R90" s="1">
        <v>0</v>
      </c>
      <c r="S90" s="17">
        <f t="shared" si="15"/>
        <v>0</v>
      </c>
      <c r="T90" s="1"/>
      <c r="U90" s="1">
        <v>0</v>
      </c>
      <c r="V90" s="1">
        <v>0</v>
      </c>
      <c r="W90" s="17">
        <f t="shared" si="8"/>
        <v>0</v>
      </c>
      <c r="X90" s="1"/>
      <c r="Y90" s="1">
        <v>0</v>
      </c>
      <c r="Z90" s="20">
        <v>0</v>
      </c>
      <c r="AA90" s="2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</row>
    <row r="91" spans="1:67" x14ac:dyDescent="0.2">
      <c r="A91" s="1">
        <v>48083</v>
      </c>
      <c r="B91" s="1" t="s">
        <v>142</v>
      </c>
      <c r="C91" s="1">
        <v>12</v>
      </c>
      <c r="D91" s="1">
        <v>677</v>
      </c>
      <c r="E91" s="1" t="s">
        <v>64</v>
      </c>
      <c r="F91" s="1">
        <v>690</v>
      </c>
      <c r="G91" s="1" t="s">
        <v>101</v>
      </c>
      <c r="H91" s="2">
        <v>54.916699999999999</v>
      </c>
      <c r="I91" s="2">
        <v>659.00040000000001</v>
      </c>
      <c r="J91" s="14">
        <f t="shared" si="2"/>
        <v>0</v>
      </c>
      <c r="K91" s="15">
        <f t="shared" si="16"/>
        <v>0</v>
      </c>
      <c r="L91" s="15"/>
      <c r="M91" s="1">
        <v>0</v>
      </c>
      <c r="N91" s="1">
        <v>0</v>
      </c>
      <c r="O91" s="17">
        <f t="shared" si="14"/>
        <v>0</v>
      </c>
      <c r="P91" s="1"/>
      <c r="Q91" s="1">
        <v>0</v>
      </c>
      <c r="R91" s="1">
        <v>0</v>
      </c>
      <c r="S91" s="17">
        <f t="shared" si="15"/>
        <v>0</v>
      </c>
      <c r="T91" s="1"/>
      <c r="U91" s="1">
        <v>0</v>
      </c>
      <c r="V91" s="1">
        <v>0</v>
      </c>
      <c r="W91" s="17">
        <f t="shared" si="8"/>
        <v>0</v>
      </c>
      <c r="X91" s="1"/>
      <c r="Y91" s="1">
        <v>0</v>
      </c>
      <c r="Z91" s="20">
        <v>0</v>
      </c>
      <c r="AA91" s="2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</row>
    <row r="92" spans="1:67" x14ac:dyDescent="0.2">
      <c r="H92" s="26"/>
      <c r="I92" s="26"/>
      <c r="J92" s="26"/>
      <c r="Z92" s="26"/>
      <c r="AA92" s="26"/>
    </row>
    <row r="93" spans="1:67" x14ac:dyDescent="0.2">
      <c r="H93" s="26"/>
      <c r="I93" s="26"/>
      <c r="J93" s="26"/>
      <c r="Z93" s="26"/>
      <c r="AA93" s="26"/>
    </row>
    <row r="94" spans="1:67" x14ac:dyDescent="0.2">
      <c r="H94" s="26"/>
      <c r="I94" s="26"/>
      <c r="J94" s="26"/>
      <c r="Z94" s="26"/>
      <c r="AA94" s="26"/>
    </row>
    <row r="95" spans="1:67" x14ac:dyDescent="0.2">
      <c r="H95" s="26"/>
      <c r="I95" s="26"/>
      <c r="J95" s="26"/>
      <c r="Z95" s="26"/>
      <c r="AA95" s="26"/>
    </row>
    <row r="96" spans="1:67" x14ac:dyDescent="0.2">
      <c r="H96" s="26"/>
      <c r="I96" s="26"/>
      <c r="J96" s="26"/>
      <c r="Z96" s="26"/>
      <c r="AA96" s="26"/>
    </row>
    <row r="97" spans="8:27" x14ac:dyDescent="0.2">
      <c r="H97" s="26"/>
      <c r="I97" s="26"/>
      <c r="J97" s="26"/>
      <c r="Z97" s="26"/>
      <c r="AA97" s="26"/>
    </row>
    <row r="98" spans="8:27" x14ac:dyDescent="0.2">
      <c r="H98" s="26"/>
      <c r="I98" s="26"/>
      <c r="J98" s="26"/>
      <c r="Z98" s="26"/>
      <c r="AA98" s="26"/>
    </row>
    <row r="99" spans="8:27" x14ac:dyDescent="0.2">
      <c r="H99" s="26"/>
      <c r="I99" s="26"/>
      <c r="J99" s="26"/>
      <c r="Z99" s="26"/>
      <c r="AA99" s="26"/>
    </row>
    <row r="100" spans="8:27" x14ac:dyDescent="0.2">
      <c r="H100" s="26"/>
      <c r="I100" s="26"/>
      <c r="J100" s="26"/>
      <c r="Z100" s="26"/>
      <c r="AA100" s="26"/>
    </row>
    <row r="101" spans="8:27" x14ac:dyDescent="0.2">
      <c r="H101" s="26"/>
      <c r="I101" s="26"/>
      <c r="J101" s="26"/>
      <c r="Z101" s="26"/>
      <c r="AA101" s="26"/>
    </row>
    <row r="102" spans="8:27" x14ac:dyDescent="0.2">
      <c r="H102" s="26"/>
      <c r="I102" s="26"/>
      <c r="J102" s="26"/>
      <c r="Z102" s="26"/>
      <c r="AA102" s="26"/>
    </row>
    <row r="103" spans="8:27" x14ac:dyDescent="0.2">
      <c r="H103" s="26"/>
      <c r="I103" s="26"/>
      <c r="J103" s="26"/>
      <c r="Z103" s="26"/>
      <c r="AA103" s="26"/>
    </row>
    <row r="104" spans="8:27" x14ac:dyDescent="0.2">
      <c r="H104" s="26"/>
      <c r="I104" s="26"/>
      <c r="J104" s="26"/>
      <c r="Z104" s="26"/>
      <c r="AA104" s="26"/>
    </row>
    <row r="105" spans="8:27" x14ac:dyDescent="0.2">
      <c r="H105" s="26"/>
      <c r="I105" s="26"/>
      <c r="J105" s="26"/>
      <c r="Z105" s="26"/>
      <c r="AA105" s="26"/>
    </row>
    <row r="106" spans="8:27" x14ac:dyDescent="0.2">
      <c r="H106" s="26"/>
      <c r="I106" s="26"/>
      <c r="J106" s="26"/>
      <c r="Z106" s="26"/>
      <c r="AA106" s="26"/>
    </row>
    <row r="107" spans="8:27" x14ac:dyDescent="0.2">
      <c r="H107" s="26"/>
      <c r="I107" s="26"/>
      <c r="J107" s="26"/>
      <c r="Z107" s="26"/>
      <c r="AA107" s="26"/>
    </row>
    <row r="108" spans="8:27" x14ac:dyDescent="0.2">
      <c r="H108" s="26"/>
      <c r="I108" s="26"/>
      <c r="J108" s="26"/>
      <c r="Z108" s="26"/>
      <c r="AA108" s="26"/>
    </row>
    <row r="109" spans="8:27" x14ac:dyDescent="0.2">
      <c r="H109" s="26"/>
      <c r="I109" s="26"/>
      <c r="J109" s="26"/>
      <c r="Z109" s="26"/>
      <c r="AA109" s="26"/>
    </row>
    <row r="110" spans="8:27" x14ac:dyDescent="0.2">
      <c r="H110" s="26"/>
      <c r="I110" s="26"/>
      <c r="J110" s="26"/>
      <c r="Z110" s="26"/>
      <c r="AA110" s="26"/>
    </row>
    <row r="111" spans="8:27" x14ac:dyDescent="0.2">
      <c r="H111" s="26"/>
      <c r="I111" s="26"/>
      <c r="J111" s="26"/>
      <c r="Z111" s="26"/>
      <c r="AA111" s="26"/>
    </row>
    <row r="112" spans="8:27" x14ac:dyDescent="0.2">
      <c r="H112" s="26"/>
      <c r="I112" s="26"/>
      <c r="J112" s="26"/>
      <c r="Z112" s="26"/>
      <c r="AA112" s="26"/>
    </row>
    <row r="113" spans="8:27" x14ac:dyDescent="0.2">
      <c r="H113" s="26"/>
      <c r="I113" s="26"/>
      <c r="J113" s="26"/>
      <c r="Z113" s="26"/>
      <c r="AA113" s="26"/>
    </row>
    <row r="114" spans="8:27" x14ac:dyDescent="0.2">
      <c r="H114" s="26"/>
      <c r="I114" s="26"/>
      <c r="J114" s="26"/>
      <c r="Z114" s="26"/>
      <c r="AA114" s="26"/>
    </row>
    <row r="115" spans="8:27" x14ac:dyDescent="0.2">
      <c r="H115" s="26"/>
      <c r="I115" s="26"/>
      <c r="J115" s="26"/>
      <c r="Z115" s="26"/>
      <c r="AA115" s="26"/>
    </row>
    <row r="116" spans="8:27" x14ac:dyDescent="0.2">
      <c r="H116" s="26"/>
      <c r="I116" s="26"/>
      <c r="J116" s="26"/>
      <c r="Z116" s="26"/>
      <c r="AA116" s="26"/>
    </row>
    <row r="117" spans="8:27" x14ac:dyDescent="0.2">
      <c r="H117" s="26"/>
      <c r="I117" s="26"/>
      <c r="J117" s="26"/>
      <c r="Z117" s="26"/>
      <c r="AA117" s="26"/>
    </row>
    <row r="118" spans="8:27" x14ac:dyDescent="0.2">
      <c r="H118" s="26"/>
      <c r="I118" s="26"/>
      <c r="J118" s="26"/>
      <c r="Z118" s="26"/>
      <c r="AA118" s="26"/>
    </row>
    <row r="119" spans="8:27" x14ac:dyDescent="0.2">
      <c r="H119" s="26"/>
      <c r="I119" s="26"/>
      <c r="J119" s="26"/>
      <c r="Z119" s="26"/>
      <c r="AA119" s="26"/>
    </row>
    <row r="120" spans="8:27" x14ac:dyDescent="0.2">
      <c r="H120" s="26"/>
      <c r="I120" s="26"/>
      <c r="J120" s="26"/>
      <c r="Z120" s="26"/>
      <c r="AA120" s="26"/>
    </row>
    <row r="121" spans="8:27" x14ac:dyDescent="0.2">
      <c r="H121" s="26"/>
      <c r="I121" s="26"/>
      <c r="J121" s="26"/>
      <c r="Z121" s="26"/>
      <c r="AA121" s="26"/>
    </row>
    <row r="122" spans="8:27" x14ac:dyDescent="0.2">
      <c r="H122" s="26"/>
      <c r="I122" s="26"/>
      <c r="J122" s="26"/>
      <c r="Z122" s="26"/>
      <c r="AA122" s="26"/>
    </row>
    <row r="123" spans="8:27" x14ac:dyDescent="0.2">
      <c r="H123" s="26"/>
      <c r="I123" s="26"/>
      <c r="J123" s="26"/>
      <c r="Z123" s="26"/>
      <c r="AA123" s="26"/>
    </row>
    <row r="124" spans="8:27" x14ac:dyDescent="0.2">
      <c r="H124" s="26"/>
      <c r="I124" s="26"/>
      <c r="J124" s="26"/>
      <c r="Z124" s="26"/>
      <c r="AA124" s="26"/>
    </row>
    <row r="125" spans="8:27" x14ac:dyDescent="0.2">
      <c r="H125" s="26"/>
      <c r="I125" s="26"/>
      <c r="J125" s="26"/>
      <c r="Z125" s="26"/>
      <c r="AA125" s="26"/>
    </row>
    <row r="126" spans="8:27" x14ac:dyDescent="0.2">
      <c r="H126" s="26"/>
      <c r="I126" s="26"/>
      <c r="J126" s="26"/>
      <c r="Z126" s="26"/>
      <c r="AA126" s="26"/>
    </row>
    <row r="127" spans="8:27" x14ac:dyDescent="0.2">
      <c r="H127" s="26"/>
      <c r="I127" s="26"/>
      <c r="J127" s="26"/>
      <c r="Z127" s="26"/>
      <c r="AA127" s="26"/>
    </row>
    <row r="128" spans="8:27" x14ac:dyDescent="0.2">
      <c r="H128" s="26"/>
      <c r="I128" s="26"/>
      <c r="J128" s="26"/>
      <c r="Z128" s="26"/>
      <c r="AA128" s="26"/>
    </row>
    <row r="129" spans="8:27" x14ac:dyDescent="0.2">
      <c r="H129" s="26"/>
      <c r="I129" s="26"/>
      <c r="J129" s="26"/>
      <c r="Z129" s="26"/>
      <c r="AA129" s="26"/>
    </row>
    <row r="130" spans="8:27" x14ac:dyDescent="0.2">
      <c r="H130" s="26"/>
      <c r="I130" s="26"/>
      <c r="J130" s="26"/>
      <c r="Z130" s="26"/>
      <c r="AA130" s="26"/>
    </row>
    <row r="131" spans="8:27" x14ac:dyDescent="0.2">
      <c r="H131" s="26"/>
      <c r="I131" s="26"/>
      <c r="J131" s="26"/>
      <c r="Z131" s="26"/>
      <c r="AA131" s="26"/>
    </row>
    <row r="132" spans="8:27" x14ac:dyDescent="0.2">
      <c r="H132" s="26"/>
      <c r="I132" s="26"/>
      <c r="J132" s="26"/>
      <c r="Z132" s="26"/>
      <c r="AA132" s="26"/>
    </row>
    <row r="133" spans="8:27" x14ac:dyDescent="0.2">
      <c r="H133" s="26"/>
      <c r="I133" s="26"/>
      <c r="J133" s="26"/>
      <c r="Z133" s="26"/>
      <c r="AA133" s="26"/>
    </row>
    <row r="134" spans="8:27" x14ac:dyDescent="0.2">
      <c r="H134" s="26"/>
      <c r="I134" s="26"/>
      <c r="J134" s="26"/>
      <c r="Z134" s="26"/>
      <c r="AA134" s="26"/>
    </row>
    <row r="135" spans="8:27" x14ac:dyDescent="0.2">
      <c r="H135" s="26"/>
      <c r="I135" s="26"/>
      <c r="J135" s="26"/>
      <c r="Z135" s="26"/>
      <c r="AA135" s="26"/>
    </row>
    <row r="136" spans="8:27" x14ac:dyDescent="0.2">
      <c r="H136" s="26"/>
      <c r="I136" s="26"/>
      <c r="J136" s="26"/>
      <c r="Z136" s="26"/>
      <c r="AA136" s="26"/>
    </row>
    <row r="137" spans="8:27" x14ac:dyDescent="0.2">
      <c r="H137" s="26"/>
      <c r="I137" s="26"/>
      <c r="J137" s="26"/>
      <c r="Z137" s="26"/>
      <c r="AA137" s="26"/>
    </row>
    <row r="138" spans="8:27" x14ac:dyDescent="0.2">
      <c r="H138" s="26"/>
      <c r="I138" s="26"/>
      <c r="J138" s="26"/>
      <c r="Z138" s="26"/>
      <c r="AA138" s="26"/>
    </row>
    <row r="139" spans="8:27" x14ac:dyDescent="0.2">
      <c r="H139" s="26"/>
      <c r="I139" s="26"/>
      <c r="J139" s="26"/>
      <c r="Z139" s="26"/>
      <c r="AA139" s="26"/>
    </row>
    <row r="140" spans="8:27" x14ac:dyDescent="0.2">
      <c r="H140" s="26"/>
      <c r="I140" s="26"/>
      <c r="J140" s="26"/>
      <c r="Z140" s="26"/>
      <c r="AA140" s="26"/>
    </row>
    <row r="141" spans="8:27" x14ac:dyDescent="0.2">
      <c r="H141" s="26"/>
      <c r="I141" s="26"/>
      <c r="J141" s="26"/>
      <c r="Z141" s="26"/>
      <c r="AA141" s="26"/>
    </row>
    <row r="142" spans="8:27" x14ac:dyDescent="0.2">
      <c r="H142" s="26"/>
      <c r="I142" s="26"/>
      <c r="J142" s="26"/>
      <c r="Z142" s="26"/>
      <c r="AA142" s="26"/>
    </row>
    <row r="143" spans="8:27" x14ac:dyDescent="0.2">
      <c r="H143" s="26"/>
      <c r="I143" s="26"/>
      <c r="J143" s="26"/>
      <c r="Z143" s="26"/>
      <c r="AA143" s="26"/>
    </row>
    <row r="144" spans="8:27" x14ac:dyDescent="0.2">
      <c r="H144" s="26"/>
      <c r="I144" s="26"/>
      <c r="J144" s="26"/>
      <c r="Z144" s="26"/>
      <c r="AA144" s="26"/>
    </row>
    <row r="145" spans="8:27" x14ac:dyDescent="0.2">
      <c r="H145" s="26"/>
      <c r="I145" s="26"/>
      <c r="J145" s="26"/>
      <c r="Z145" s="26"/>
      <c r="AA145" s="26"/>
    </row>
    <row r="146" spans="8:27" x14ac:dyDescent="0.2">
      <c r="H146" s="26"/>
      <c r="I146" s="26"/>
      <c r="J146" s="26"/>
      <c r="Z146" s="26"/>
      <c r="AA146" s="26"/>
    </row>
    <row r="147" spans="8:27" x14ac:dyDescent="0.2">
      <c r="H147" s="26"/>
      <c r="I147" s="26"/>
      <c r="J147" s="26"/>
      <c r="Z147" s="26"/>
      <c r="AA147" s="26"/>
    </row>
    <row r="148" spans="8:27" x14ac:dyDescent="0.2">
      <c r="H148" s="26"/>
      <c r="I148" s="26"/>
      <c r="J148" s="26"/>
      <c r="Z148" s="26"/>
      <c r="AA148" s="26"/>
    </row>
    <row r="149" spans="8:27" x14ac:dyDescent="0.2">
      <c r="H149" s="26"/>
      <c r="I149" s="26"/>
      <c r="J149" s="26"/>
      <c r="Z149" s="26"/>
      <c r="AA149" s="26"/>
    </row>
    <row r="150" spans="8:27" x14ac:dyDescent="0.2">
      <c r="H150" s="26"/>
      <c r="I150" s="26"/>
      <c r="J150" s="26"/>
      <c r="Z150" s="26"/>
      <c r="AA150" s="26"/>
    </row>
    <row r="151" spans="8:27" x14ac:dyDescent="0.2">
      <c r="H151" s="26"/>
      <c r="I151" s="26"/>
      <c r="J151" s="26"/>
      <c r="Z151" s="26"/>
      <c r="AA151" s="26"/>
    </row>
    <row r="152" spans="8:27" x14ac:dyDescent="0.2">
      <c r="H152" s="26"/>
      <c r="I152" s="26"/>
      <c r="J152" s="26"/>
      <c r="Z152" s="26"/>
      <c r="AA152" s="26"/>
    </row>
    <row r="153" spans="8:27" x14ac:dyDescent="0.2">
      <c r="H153" s="26"/>
      <c r="I153" s="26"/>
      <c r="J153" s="26"/>
      <c r="Z153" s="26"/>
      <c r="AA153" s="26"/>
    </row>
    <row r="154" spans="8:27" x14ac:dyDescent="0.2">
      <c r="H154" s="26"/>
      <c r="I154" s="26"/>
      <c r="J154" s="26"/>
      <c r="Z154" s="26"/>
      <c r="AA154" s="26"/>
    </row>
    <row r="155" spans="8:27" x14ac:dyDescent="0.2">
      <c r="H155" s="26"/>
      <c r="I155" s="26"/>
      <c r="J155" s="26"/>
      <c r="Z155" s="26"/>
      <c r="AA155" s="26"/>
    </row>
    <row r="156" spans="8:27" x14ac:dyDescent="0.2">
      <c r="H156" s="26"/>
      <c r="I156" s="26"/>
      <c r="J156" s="26"/>
      <c r="Z156" s="26"/>
      <c r="AA156" s="26"/>
    </row>
    <row r="157" spans="8:27" x14ac:dyDescent="0.2">
      <c r="H157" s="26"/>
      <c r="I157" s="26"/>
      <c r="J157" s="26"/>
      <c r="Z157" s="26"/>
      <c r="AA157" s="26"/>
    </row>
    <row r="158" spans="8:27" x14ac:dyDescent="0.2">
      <c r="H158" s="26"/>
      <c r="I158" s="26"/>
      <c r="J158" s="26"/>
      <c r="Z158" s="26"/>
      <c r="AA158" s="26"/>
    </row>
    <row r="159" spans="8:27" x14ac:dyDescent="0.2">
      <c r="H159" s="26"/>
      <c r="I159" s="26"/>
      <c r="J159" s="26"/>
      <c r="Z159" s="26"/>
      <c r="AA159" s="26"/>
    </row>
    <row r="160" spans="8:27" x14ac:dyDescent="0.2">
      <c r="H160" s="26"/>
      <c r="I160" s="26"/>
      <c r="J160" s="26"/>
      <c r="Z160" s="26"/>
      <c r="AA160" s="26"/>
    </row>
    <row r="161" spans="8:27" x14ac:dyDescent="0.2">
      <c r="H161" s="26"/>
      <c r="I161" s="26"/>
      <c r="J161" s="26"/>
      <c r="Z161" s="26"/>
      <c r="AA161" s="26"/>
    </row>
    <row r="162" spans="8:27" x14ac:dyDescent="0.2">
      <c r="H162" s="26"/>
      <c r="I162" s="26"/>
      <c r="J162" s="26"/>
      <c r="Z162" s="26"/>
      <c r="AA162" s="26"/>
    </row>
    <row r="163" spans="8:27" x14ac:dyDescent="0.2">
      <c r="H163" s="26"/>
      <c r="I163" s="26"/>
      <c r="J163" s="26"/>
      <c r="Z163" s="26"/>
      <c r="AA163" s="26"/>
    </row>
    <row r="164" spans="8:27" x14ac:dyDescent="0.2">
      <c r="H164" s="26"/>
      <c r="I164" s="26"/>
      <c r="J164" s="26"/>
      <c r="Z164" s="26"/>
      <c r="AA164" s="26"/>
    </row>
    <row r="165" spans="8:27" x14ac:dyDescent="0.2">
      <c r="H165" s="26"/>
      <c r="I165" s="26"/>
      <c r="J165" s="26"/>
      <c r="Z165" s="26"/>
      <c r="AA165" s="26"/>
    </row>
    <row r="166" spans="8:27" x14ac:dyDescent="0.2">
      <c r="H166" s="26"/>
      <c r="I166" s="26"/>
      <c r="J166" s="26"/>
      <c r="Z166" s="26"/>
      <c r="AA166" s="26"/>
    </row>
    <row r="167" spans="8:27" x14ac:dyDescent="0.2">
      <c r="H167" s="26"/>
      <c r="I167" s="26"/>
      <c r="J167" s="26"/>
      <c r="Z167" s="26"/>
      <c r="AA167" s="26"/>
    </row>
    <row r="168" spans="8:27" x14ac:dyDescent="0.2">
      <c r="H168" s="26"/>
      <c r="I168" s="26"/>
      <c r="J168" s="26"/>
      <c r="Z168" s="26"/>
      <c r="AA168" s="26"/>
    </row>
    <row r="169" spans="8:27" x14ac:dyDescent="0.2">
      <c r="H169" s="26"/>
      <c r="I169" s="26"/>
      <c r="J169" s="26"/>
      <c r="Z169" s="26"/>
      <c r="AA169" s="26"/>
    </row>
    <row r="170" spans="8:27" x14ac:dyDescent="0.2">
      <c r="H170" s="26"/>
      <c r="I170" s="26"/>
      <c r="J170" s="26"/>
      <c r="Z170" s="26"/>
      <c r="AA170" s="26"/>
    </row>
    <row r="171" spans="8:27" x14ac:dyDescent="0.2">
      <c r="H171" s="26"/>
      <c r="I171" s="26"/>
      <c r="J171" s="26"/>
      <c r="Z171" s="26"/>
      <c r="AA171" s="26"/>
    </row>
    <row r="172" spans="8:27" x14ac:dyDescent="0.2">
      <c r="H172" s="26"/>
      <c r="I172" s="26"/>
      <c r="J172" s="26"/>
      <c r="Z172" s="26"/>
      <c r="AA172" s="26"/>
    </row>
    <row r="173" spans="8:27" x14ac:dyDescent="0.2">
      <c r="H173" s="26"/>
      <c r="I173" s="26"/>
      <c r="J173" s="26"/>
      <c r="Z173" s="26"/>
      <c r="AA173" s="26"/>
    </row>
    <row r="174" spans="8:27" x14ac:dyDescent="0.2">
      <c r="H174" s="26"/>
      <c r="I174" s="26"/>
      <c r="J174" s="26"/>
      <c r="Z174" s="26"/>
      <c r="AA174" s="26"/>
    </row>
    <row r="175" spans="8:27" x14ac:dyDescent="0.2">
      <c r="H175" s="26"/>
      <c r="I175" s="26"/>
      <c r="J175" s="26"/>
      <c r="Z175" s="26"/>
      <c r="AA175" s="26"/>
    </row>
    <row r="176" spans="8:27" x14ac:dyDescent="0.2">
      <c r="H176" s="26"/>
      <c r="I176" s="26"/>
      <c r="J176" s="26"/>
      <c r="Z176" s="26"/>
      <c r="AA176" s="26"/>
    </row>
    <row r="177" spans="8:27" x14ac:dyDescent="0.2">
      <c r="H177" s="26"/>
      <c r="I177" s="26"/>
      <c r="J177" s="26"/>
      <c r="Z177" s="26"/>
      <c r="AA177" s="26"/>
    </row>
    <row r="178" spans="8:27" x14ac:dyDescent="0.2">
      <c r="H178" s="26"/>
      <c r="I178" s="26"/>
      <c r="J178" s="26"/>
      <c r="Z178" s="26"/>
      <c r="AA178" s="26"/>
    </row>
    <row r="179" spans="8:27" x14ac:dyDescent="0.2">
      <c r="H179" s="26"/>
      <c r="I179" s="26"/>
      <c r="J179" s="26"/>
      <c r="Z179" s="26"/>
      <c r="AA179" s="26"/>
    </row>
    <row r="180" spans="8:27" x14ac:dyDescent="0.2">
      <c r="H180" s="26"/>
      <c r="I180" s="26"/>
      <c r="J180" s="26"/>
      <c r="Z180" s="26"/>
      <c r="AA180" s="26"/>
    </row>
    <row r="181" spans="8:27" x14ac:dyDescent="0.2">
      <c r="H181" s="26"/>
      <c r="I181" s="26"/>
      <c r="J181" s="26"/>
      <c r="Z181" s="26"/>
      <c r="AA181" s="26"/>
    </row>
    <row r="182" spans="8:27" x14ac:dyDescent="0.2">
      <c r="H182" s="26"/>
      <c r="I182" s="26"/>
      <c r="J182" s="26"/>
      <c r="Z182" s="26"/>
      <c r="AA182" s="26"/>
    </row>
    <row r="183" spans="8:27" x14ac:dyDescent="0.2">
      <c r="H183" s="26"/>
      <c r="I183" s="26"/>
      <c r="J183" s="26"/>
      <c r="Z183" s="26"/>
      <c r="AA183" s="26"/>
    </row>
    <row r="184" spans="8:27" x14ac:dyDescent="0.2">
      <c r="H184" s="26"/>
      <c r="I184" s="26"/>
      <c r="J184" s="26"/>
      <c r="Z184" s="26"/>
      <c r="AA184" s="26"/>
    </row>
    <row r="185" spans="8:27" x14ac:dyDescent="0.2">
      <c r="H185" s="26"/>
      <c r="I185" s="26"/>
      <c r="J185" s="26"/>
      <c r="Z185" s="26"/>
      <c r="AA185" s="26"/>
    </row>
    <row r="186" spans="8:27" x14ac:dyDescent="0.2">
      <c r="H186" s="26"/>
      <c r="I186" s="26"/>
      <c r="J186" s="26"/>
      <c r="Z186" s="26"/>
      <c r="AA186" s="26"/>
    </row>
    <row r="187" spans="8:27" x14ac:dyDescent="0.2">
      <c r="H187" s="26"/>
      <c r="I187" s="26"/>
      <c r="J187" s="26"/>
      <c r="Z187" s="26"/>
      <c r="AA187" s="26"/>
    </row>
    <row r="188" spans="8:27" x14ac:dyDescent="0.2">
      <c r="H188" s="26"/>
      <c r="I188" s="26"/>
      <c r="J188" s="26"/>
      <c r="Z188" s="26"/>
      <c r="AA188" s="26"/>
    </row>
    <row r="189" spans="8:27" x14ac:dyDescent="0.2">
      <c r="H189" s="26"/>
      <c r="I189" s="26"/>
      <c r="J189" s="26"/>
      <c r="Z189" s="26"/>
      <c r="AA189" s="26"/>
    </row>
    <row r="190" spans="8:27" x14ac:dyDescent="0.2">
      <c r="H190" s="26"/>
      <c r="I190" s="26"/>
      <c r="J190" s="26"/>
      <c r="Z190" s="26"/>
      <c r="AA190" s="26"/>
    </row>
    <row r="191" spans="8:27" x14ac:dyDescent="0.2">
      <c r="H191" s="26"/>
      <c r="I191" s="26"/>
      <c r="J191" s="26"/>
      <c r="Z191" s="26"/>
      <c r="AA191" s="26"/>
    </row>
    <row r="192" spans="8:27" x14ac:dyDescent="0.2">
      <c r="H192" s="26"/>
      <c r="I192" s="26"/>
      <c r="J192" s="26"/>
      <c r="Z192" s="26"/>
      <c r="AA192" s="26"/>
    </row>
    <row r="193" spans="8:27" x14ac:dyDescent="0.2">
      <c r="H193" s="26"/>
      <c r="I193" s="26"/>
      <c r="J193" s="26"/>
      <c r="Z193" s="26"/>
      <c r="AA193" s="26"/>
    </row>
    <row r="194" spans="8:27" x14ac:dyDescent="0.2">
      <c r="H194" s="26"/>
      <c r="I194" s="26"/>
      <c r="J194" s="26"/>
      <c r="Z194" s="26"/>
      <c r="AA194" s="26"/>
    </row>
    <row r="195" spans="8:27" x14ac:dyDescent="0.2">
      <c r="H195" s="26"/>
      <c r="I195" s="26"/>
      <c r="J195" s="26"/>
      <c r="Z195" s="26"/>
      <c r="AA195" s="26"/>
    </row>
    <row r="196" spans="8:27" x14ac:dyDescent="0.2">
      <c r="H196" s="26"/>
      <c r="I196" s="26"/>
      <c r="J196" s="26"/>
      <c r="Z196" s="26"/>
      <c r="AA196" s="26"/>
    </row>
    <row r="197" spans="8:27" x14ac:dyDescent="0.2">
      <c r="H197" s="26"/>
      <c r="I197" s="26"/>
      <c r="J197" s="26"/>
      <c r="Z197" s="26"/>
      <c r="AA197" s="26"/>
    </row>
    <row r="198" spans="8:27" x14ac:dyDescent="0.2">
      <c r="H198" s="26"/>
      <c r="I198" s="26"/>
      <c r="J198" s="26"/>
      <c r="Z198" s="26"/>
      <c r="AA198" s="26"/>
    </row>
    <row r="199" spans="8:27" x14ac:dyDescent="0.2">
      <c r="H199" s="26"/>
      <c r="I199" s="26"/>
      <c r="J199" s="26"/>
      <c r="Z199" s="26"/>
      <c r="AA199" s="26"/>
    </row>
    <row r="200" spans="8:27" x14ac:dyDescent="0.2">
      <c r="H200" s="26"/>
      <c r="I200" s="26"/>
      <c r="J200" s="26"/>
      <c r="Z200" s="26"/>
      <c r="AA200" s="26"/>
    </row>
    <row r="201" spans="8:27" x14ac:dyDescent="0.2">
      <c r="H201" s="26"/>
      <c r="I201" s="26"/>
      <c r="J201" s="26"/>
      <c r="Z201" s="26"/>
      <c r="AA201" s="26"/>
    </row>
    <row r="202" spans="8:27" x14ac:dyDescent="0.2">
      <c r="H202" s="26"/>
      <c r="I202" s="26"/>
      <c r="J202" s="26"/>
      <c r="Z202" s="26"/>
      <c r="AA202" s="26"/>
    </row>
    <row r="203" spans="8:27" x14ac:dyDescent="0.2">
      <c r="H203" s="26"/>
      <c r="I203" s="26"/>
      <c r="J203" s="26"/>
      <c r="Z203" s="26"/>
      <c r="AA203" s="26"/>
    </row>
    <row r="204" spans="8:27" x14ac:dyDescent="0.2">
      <c r="H204" s="26"/>
      <c r="I204" s="26"/>
      <c r="J204" s="26"/>
      <c r="Z204" s="26"/>
      <c r="AA204" s="26"/>
    </row>
    <row r="205" spans="8:27" x14ac:dyDescent="0.2">
      <c r="H205" s="26"/>
      <c r="I205" s="26"/>
      <c r="J205" s="26"/>
      <c r="Z205" s="26"/>
      <c r="AA205" s="26"/>
    </row>
    <row r="206" spans="8:27" x14ac:dyDescent="0.2">
      <c r="H206" s="26"/>
      <c r="I206" s="26"/>
      <c r="J206" s="26"/>
      <c r="Z206" s="26"/>
      <c r="AA206" s="26"/>
    </row>
    <row r="207" spans="8:27" x14ac:dyDescent="0.2">
      <c r="H207" s="26"/>
      <c r="I207" s="26"/>
      <c r="J207" s="26"/>
      <c r="Z207" s="26"/>
      <c r="AA207" s="26"/>
    </row>
    <row r="208" spans="8:27" x14ac:dyDescent="0.2">
      <c r="H208" s="26"/>
      <c r="I208" s="26"/>
      <c r="J208" s="26"/>
      <c r="Z208" s="26"/>
      <c r="AA208" s="26"/>
    </row>
    <row r="209" spans="8:27" x14ac:dyDescent="0.2">
      <c r="H209" s="26"/>
      <c r="I209" s="26"/>
      <c r="J209" s="26"/>
      <c r="Z209" s="26"/>
      <c r="AA209" s="26"/>
    </row>
    <row r="210" spans="8:27" x14ac:dyDescent="0.2">
      <c r="H210" s="26"/>
      <c r="I210" s="26"/>
      <c r="J210" s="26"/>
      <c r="Z210" s="26"/>
      <c r="AA210" s="26"/>
    </row>
    <row r="211" spans="8:27" x14ac:dyDescent="0.2">
      <c r="H211" s="26"/>
      <c r="I211" s="26"/>
      <c r="J211" s="26"/>
      <c r="Z211" s="26"/>
      <c r="AA211" s="26"/>
    </row>
    <row r="212" spans="8:27" x14ac:dyDescent="0.2">
      <c r="H212" s="26"/>
      <c r="I212" s="26"/>
      <c r="J212" s="26"/>
      <c r="Z212" s="26"/>
      <c r="AA212" s="26"/>
    </row>
    <row r="213" spans="8:27" x14ac:dyDescent="0.2">
      <c r="H213" s="26"/>
      <c r="I213" s="26"/>
      <c r="J213" s="26"/>
      <c r="Z213" s="26"/>
      <c r="AA213" s="26"/>
    </row>
    <row r="214" spans="8:27" x14ac:dyDescent="0.2">
      <c r="H214" s="26"/>
      <c r="I214" s="26"/>
      <c r="J214" s="26"/>
      <c r="Z214" s="26"/>
      <c r="AA214" s="26"/>
    </row>
    <row r="215" spans="8:27" x14ac:dyDescent="0.2">
      <c r="H215" s="26"/>
      <c r="I215" s="26"/>
      <c r="J215" s="26"/>
      <c r="Z215" s="26"/>
      <c r="AA215" s="26"/>
    </row>
    <row r="216" spans="8:27" x14ac:dyDescent="0.2">
      <c r="H216" s="26"/>
      <c r="I216" s="26"/>
      <c r="J216" s="26"/>
      <c r="Z216" s="26"/>
      <c r="AA216" s="26"/>
    </row>
    <row r="217" spans="8:27" x14ac:dyDescent="0.2">
      <c r="H217" s="26"/>
      <c r="I217" s="26"/>
      <c r="J217" s="26"/>
      <c r="Z217" s="26"/>
      <c r="AA217" s="26"/>
    </row>
    <row r="218" spans="8:27" x14ac:dyDescent="0.2">
      <c r="H218" s="26"/>
      <c r="I218" s="26"/>
      <c r="J218" s="26"/>
      <c r="Z218" s="26"/>
      <c r="AA218" s="26"/>
    </row>
    <row r="219" spans="8:27" x14ac:dyDescent="0.2">
      <c r="H219" s="26"/>
      <c r="I219" s="26"/>
      <c r="J219" s="26"/>
      <c r="Z219" s="26"/>
      <c r="AA219" s="26"/>
    </row>
    <row r="220" spans="8:27" x14ac:dyDescent="0.2">
      <c r="H220" s="26"/>
      <c r="I220" s="26"/>
      <c r="J220" s="26"/>
      <c r="Z220" s="26"/>
      <c r="AA220" s="26"/>
    </row>
    <row r="221" spans="8:27" x14ac:dyDescent="0.2">
      <c r="H221" s="26"/>
      <c r="I221" s="26"/>
      <c r="J221" s="26"/>
      <c r="Z221" s="26"/>
      <c r="AA221" s="26"/>
    </row>
    <row r="222" spans="8:27" x14ac:dyDescent="0.2">
      <c r="H222" s="26"/>
      <c r="I222" s="26"/>
      <c r="J222" s="26"/>
      <c r="Z222" s="26"/>
      <c r="AA222" s="26"/>
    </row>
    <row r="223" spans="8:27" x14ac:dyDescent="0.2">
      <c r="H223" s="26"/>
      <c r="I223" s="26"/>
      <c r="J223" s="26"/>
      <c r="Z223" s="26"/>
      <c r="AA223" s="26"/>
    </row>
    <row r="224" spans="8:27" x14ac:dyDescent="0.2">
      <c r="H224" s="26"/>
      <c r="I224" s="26"/>
      <c r="J224" s="26"/>
      <c r="Z224" s="26"/>
      <c r="AA224" s="26"/>
    </row>
    <row r="225" spans="8:27" x14ac:dyDescent="0.2">
      <c r="H225" s="26"/>
      <c r="I225" s="26"/>
      <c r="J225" s="26"/>
      <c r="Z225" s="26"/>
      <c r="AA225" s="26"/>
    </row>
    <row r="226" spans="8:27" x14ac:dyDescent="0.2">
      <c r="H226" s="26"/>
      <c r="I226" s="26"/>
      <c r="J226" s="26"/>
      <c r="Z226" s="26"/>
      <c r="AA226" s="26"/>
    </row>
    <row r="227" spans="8:27" x14ac:dyDescent="0.2">
      <c r="H227" s="26"/>
      <c r="I227" s="26"/>
      <c r="J227" s="26"/>
      <c r="Z227" s="26"/>
      <c r="AA227" s="26"/>
    </row>
    <row r="228" spans="8:27" x14ac:dyDescent="0.2">
      <c r="H228" s="26"/>
      <c r="I228" s="26"/>
      <c r="J228" s="26"/>
      <c r="Z228" s="26"/>
      <c r="AA228" s="26"/>
    </row>
    <row r="229" spans="8:27" x14ac:dyDescent="0.2">
      <c r="H229" s="26"/>
      <c r="I229" s="26"/>
      <c r="J229" s="26"/>
      <c r="Z229" s="26"/>
      <c r="AA229" s="26"/>
    </row>
    <row r="230" spans="8:27" x14ac:dyDescent="0.2">
      <c r="H230" s="26"/>
      <c r="I230" s="26"/>
      <c r="J230" s="26"/>
      <c r="Z230" s="26"/>
      <c r="AA230" s="26"/>
    </row>
    <row r="231" spans="8:27" x14ac:dyDescent="0.2">
      <c r="H231" s="26"/>
      <c r="I231" s="26"/>
      <c r="J231" s="26"/>
      <c r="Z231" s="26"/>
      <c r="AA231" s="26"/>
    </row>
    <row r="232" spans="8:27" x14ac:dyDescent="0.2">
      <c r="H232" s="26"/>
      <c r="I232" s="26"/>
      <c r="J232" s="26"/>
      <c r="Z232" s="26"/>
      <c r="AA232" s="26"/>
    </row>
    <row r="233" spans="8:27" x14ac:dyDescent="0.2">
      <c r="H233" s="26"/>
      <c r="I233" s="26"/>
      <c r="J233" s="26"/>
      <c r="Z233" s="26"/>
      <c r="AA233" s="26"/>
    </row>
    <row r="234" spans="8:27" x14ac:dyDescent="0.2">
      <c r="H234" s="26"/>
      <c r="I234" s="26"/>
      <c r="J234" s="26"/>
      <c r="Z234" s="26"/>
      <c r="AA234" s="26"/>
    </row>
    <row r="235" spans="8:27" x14ac:dyDescent="0.2">
      <c r="H235" s="26"/>
      <c r="I235" s="26"/>
      <c r="J235" s="26"/>
      <c r="Z235" s="26"/>
      <c r="AA235" s="26"/>
    </row>
    <row r="236" spans="8:27" x14ac:dyDescent="0.2">
      <c r="H236" s="26"/>
      <c r="I236" s="26"/>
      <c r="J236" s="26"/>
      <c r="Z236" s="26"/>
      <c r="AA236" s="26"/>
    </row>
    <row r="237" spans="8:27" x14ac:dyDescent="0.2">
      <c r="H237" s="26"/>
      <c r="I237" s="26"/>
      <c r="J237" s="26"/>
      <c r="Z237" s="26"/>
      <c r="AA237" s="26"/>
    </row>
    <row r="238" spans="8:27" x14ac:dyDescent="0.2">
      <c r="H238" s="26"/>
      <c r="I238" s="26"/>
      <c r="J238" s="26"/>
      <c r="Z238" s="26"/>
      <c r="AA238" s="26"/>
    </row>
    <row r="239" spans="8:27" x14ac:dyDescent="0.2">
      <c r="H239" s="26"/>
      <c r="I239" s="26"/>
      <c r="J239" s="26"/>
      <c r="Z239" s="26"/>
      <c r="AA239" s="26"/>
    </row>
    <row r="240" spans="8:27" x14ac:dyDescent="0.2">
      <c r="H240" s="26"/>
      <c r="I240" s="26"/>
      <c r="J240" s="26"/>
      <c r="Z240" s="26"/>
      <c r="AA240" s="26"/>
    </row>
    <row r="241" spans="8:27" x14ac:dyDescent="0.2">
      <c r="H241" s="26"/>
      <c r="I241" s="26"/>
      <c r="J241" s="26"/>
      <c r="Z241" s="26"/>
      <c r="AA241" s="26"/>
    </row>
    <row r="242" spans="8:27" x14ac:dyDescent="0.2">
      <c r="H242" s="26"/>
      <c r="I242" s="26"/>
      <c r="J242" s="26"/>
      <c r="Z242" s="26"/>
      <c r="AA242" s="26"/>
    </row>
    <row r="243" spans="8:27" x14ac:dyDescent="0.2">
      <c r="H243" s="26"/>
      <c r="I243" s="26"/>
      <c r="J243" s="26"/>
      <c r="Z243" s="26"/>
      <c r="AA243" s="26"/>
    </row>
    <row r="244" spans="8:27" x14ac:dyDescent="0.2">
      <c r="H244" s="26"/>
      <c r="I244" s="26"/>
      <c r="J244" s="26"/>
      <c r="Z244" s="26"/>
      <c r="AA244" s="26"/>
    </row>
    <row r="245" spans="8:27" x14ac:dyDescent="0.2">
      <c r="H245" s="26"/>
      <c r="I245" s="26"/>
      <c r="J245" s="26"/>
      <c r="Z245" s="26"/>
      <c r="AA245" s="26"/>
    </row>
    <row r="246" spans="8:27" x14ac:dyDescent="0.2">
      <c r="H246" s="26"/>
      <c r="I246" s="26"/>
      <c r="J246" s="26"/>
      <c r="Z246" s="26"/>
      <c r="AA246" s="26"/>
    </row>
    <row r="247" spans="8:27" x14ac:dyDescent="0.2">
      <c r="H247" s="26"/>
      <c r="I247" s="26"/>
      <c r="J247" s="26"/>
      <c r="Z247" s="26"/>
      <c r="AA247" s="26"/>
    </row>
    <row r="248" spans="8:27" x14ac:dyDescent="0.2">
      <c r="H248" s="26"/>
      <c r="I248" s="26"/>
      <c r="J248" s="26"/>
      <c r="Z248" s="26"/>
      <c r="AA248" s="26"/>
    </row>
    <row r="249" spans="8:27" x14ac:dyDescent="0.2">
      <c r="H249" s="26"/>
      <c r="I249" s="26"/>
      <c r="J249" s="26"/>
      <c r="Z249" s="26"/>
      <c r="AA249" s="26"/>
    </row>
    <row r="250" spans="8:27" x14ac:dyDescent="0.2">
      <c r="H250" s="26"/>
      <c r="I250" s="26"/>
      <c r="J250" s="26"/>
      <c r="Z250" s="26"/>
      <c r="AA250" s="26"/>
    </row>
    <row r="251" spans="8:27" x14ac:dyDescent="0.2">
      <c r="H251" s="26"/>
      <c r="I251" s="26"/>
      <c r="J251" s="26"/>
      <c r="Z251" s="26"/>
      <c r="AA251" s="26"/>
    </row>
    <row r="252" spans="8:27" x14ac:dyDescent="0.2">
      <c r="H252" s="26"/>
      <c r="I252" s="26"/>
      <c r="J252" s="26"/>
      <c r="Z252" s="26"/>
      <c r="AA252" s="26"/>
    </row>
    <row r="253" spans="8:27" x14ac:dyDescent="0.2">
      <c r="H253" s="26"/>
      <c r="I253" s="26"/>
      <c r="J253" s="26"/>
      <c r="Z253" s="26"/>
      <c r="AA253" s="26"/>
    </row>
    <row r="254" spans="8:27" x14ac:dyDescent="0.2">
      <c r="H254" s="26"/>
      <c r="I254" s="26"/>
      <c r="J254" s="26"/>
      <c r="Z254" s="26"/>
      <c r="AA254" s="26"/>
    </row>
    <row r="255" spans="8:27" x14ac:dyDescent="0.2">
      <c r="H255" s="26"/>
      <c r="I255" s="26"/>
      <c r="J255" s="26"/>
      <c r="Z255" s="26"/>
      <c r="AA255" s="26"/>
    </row>
    <row r="256" spans="8:27" x14ac:dyDescent="0.2">
      <c r="H256" s="26"/>
      <c r="I256" s="26"/>
      <c r="J256" s="26"/>
      <c r="Z256" s="26"/>
      <c r="AA256" s="26"/>
    </row>
    <row r="257" spans="8:27" x14ac:dyDescent="0.2">
      <c r="H257" s="26"/>
      <c r="I257" s="26"/>
      <c r="J257" s="26"/>
      <c r="Z257" s="26"/>
      <c r="AA257" s="26"/>
    </row>
    <row r="258" spans="8:27" x14ac:dyDescent="0.2">
      <c r="H258" s="26"/>
      <c r="I258" s="26"/>
      <c r="J258" s="26"/>
      <c r="Z258" s="26"/>
      <c r="AA258" s="26"/>
    </row>
    <row r="259" spans="8:27" x14ac:dyDescent="0.2">
      <c r="H259" s="26"/>
      <c r="I259" s="26"/>
      <c r="J259" s="26"/>
      <c r="Z259" s="26"/>
      <c r="AA259" s="26"/>
    </row>
    <row r="260" spans="8:27" x14ac:dyDescent="0.2">
      <c r="H260" s="26"/>
      <c r="I260" s="26"/>
      <c r="J260" s="26"/>
      <c r="Z260" s="26"/>
      <c r="AA260" s="26"/>
    </row>
    <row r="261" spans="8:27" x14ac:dyDescent="0.2">
      <c r="H261" s="26"/>
      <c r="I261" s="26"/>
      <c r="J261" s="26"/>
      <c r="Z261" s="26"/>
      <c r="AA261" s="26"/>
    </row>
    <row r="262" spans="8:27" x14ac:dyDescent="0.2">
      <c r="H262" s="26"/>
      <c r="I262" s="26"/>
      <c r="J262" s="26"/>
      <c r="Z262" s="26"/>
      <c r="AA262" s="26"/>
    </row>
    <row r="263" spans="8:27" x14ac:dyDescent="0.2">
      <c r="H263" s="26"/>
      <c r="I263" s="26"/>
      <c r="J263" s="26"/>
      <c r="Z263" s="26"/>
      <c r="AA263" s="26"/>
    </row>
    <row r="264" spans="8:27" x14ac:dyDescent="0.2">
      <c r="H264" s="26"/>
      <c r="I264" s="26"/>
      <c r="J264" s="26"/>
      <c r="Z264" s="26"/>
      <c r="AA264" s="26"/>
    </row>
    <row r="265" spans="8:27" x14ac:dyDescent="0.2">
      <c r="H265" s="26"/>
      <c r="I265" s="26"/>
      <c r="J265" s="26"/>
      <c r="Z265" s="26"/>
      <c r="AA265" s="26"/>
    </row>
    <row r="266" spans="8:27" x14ac:dyDescent="0.2">
      <c r="H266" s="26"/>
      <c r="I266" s="26"/>
      <c r="J266" s="26"/>
      <c r="Z266" s="26"/>
      <c r="AA266" s="26"/>
    </row>
    <row r="267" spans="8:27" x14ac:dyDescent="0.2">
      <c r="H267" s="26"/>
      <c r="I267" s="26"/>
      <c r="J267" s="26"/>
      <c r="Z267" s="26"/>
      <c r="AA267" s="26"/>
    </row>
    <row r="268" spans="8:27" x14ac:dyDescent="0.2">
      <c r="H268" s="26"/>
      <c r="I268" s="26"/>
      <c r="J268" s="26"/>
      <c r="Z268" s="26"/>
      <c r="AA268" s="26"/>
    </row>
    <row r="269" spans="8:27" x14ac:dyDescent="0.2">
      <c r="H269" s="26"/>
      <c r="I269" s="26"/>
      <c r="J269" s="26"/>
      <c r="Z269" s="26"/>
      <c r="AA269" s="26"/>
    </row>
    <row r="270" spans="8:27" x14ac:dyDescent="0.2">
      <c r="H270" s="26"/>
      <c r="I270" s="26"/>
      <c r="J270" s="26"/>
      <c r="Z270" s="26"/>
      <c r="AA270" s="26"/>
    </row>
    <row r="271" spans="8:27" x14ac:dyDescent="0.2">
      <c r="H271" s="26"/>
      <c r="I271" s="26"/>
      <c r="J271" s="26"/>
      <c r="Z271" s="26"/>
      <c r="AA271" s="26"/>
    </row>
    <row r="272" spans="8:27" x14ac:dyDescent="0.2">
      <c r="H272" s="26"/>
      <c r="I272" s="26"/>
      <c r="J272" s="26"/>
      <c r="Z272" s="26"/>
      <c r="AA272" s="26"/>
    </row>
    <row r="273" spans="8:27" x14ac:dyDescent="0.2">
      <c r="H273" s="26"/>
      <c r="I273" s="26"/>
      <c r="J273" s="26"/>
      <c r="Z273" s="26"/>
      <c r="AA273" s="26"/>
    </row>
    <row r="274" spans="8:27" x14ac:dyDescent="0.2">
      <c r="H274" s="26"/>
      <c r="I274" s="26"/>
      <c r="J274" s="26"/>
      <c r="Z274" s="26"/>
      <c r="AA274" s="26"/>
    </row>
    <row r="275" spans="8:27" x14ac:dyDescent="0.2">
      <c r="H275" s="26"/>
      <c r="I275" s="26"/>
      <c r="J275" s="26"/>
      <c r="Z275" s="26"/>
      <c r="AA275" s="26"/>
    </row>
    <row r="276" spans="8:27" x14ac:dyDescent="0.2">
      <c r="H276" s="26"/>
      <c r="I276" s="26"/>
      <c r="J276" s="26"/>
      <c r="Z276" s="26"/>
      <c r="AA276" s="26"/>
    </row>
    <row r="277" spans="8:27" x14ac:dyDescent="0.2">
      <c r="H277" s="26"/>
      <c r="I277" s="26"/>
      <c r="J277" s="26"/>
      <c r="Z277" s="26"/>
      <c r="AA277" s="26"/>
    </row>
    <row r="278" spans="8:27" x14ac:dyDescent="0.2">
      <c r="H278" s="26"/>
      <c r="I278" s="26"/>
      <c r="J278" s="26"/>
      <c r="Z278" s="26"/>
      <c r="AA278" s="26"/>
    </row>
    <row r="279" spans="8:27" x14ac:dyDescent="0.2">
      <c r="H279" s="26"/>
      <c r="I279" s="26"/>
      <c r="J279" s="26"/>
      <c r="Z279" s="26"/>
      <c r="AA279" s="26"/>
    </row>
    <row r="280" spans="8:27" x14ac:dyDescent="0.2">
      <c r="H280" s="26"/>
      <c r="I280" s="26"/>
      <c r="J280" s="26"/>
      <c r="Z280" s="26"/>
      <c r="AA280" s="26"/>
    </row>
    <row r="281" spans="8:27" x14ac:dyDescent="0.2">
      <c r="H281" s="26"/>
      <c r="I281" s="26"/>
      <c r="J281" s="26"/>
      <c r="Z281" s="26"/>
      <c r="AA281" s="26"/>
    </row>
    <row r="282" spans="8:27" x14ac:dyDescent="0.2">
      <c r="H282" s="26"/>
      <c r="I282" s="26"/>
      <c r="J282" s="26"/>
      <c r="Z282" s="26"/>
      <c r="AA282" s="26"/>
    </row>
    <row r="283" spans="8:27" x14ac:dyDescent="0.2">
      <c r="H283" s="26"/>
      <c r="I283" s="26"/>
      <c r="J283" s="26"/>
      <c r="Z283" s="26"/>
      <c r="AA283" s="26"/>
    </row>
    <row r="284" spans="8:27" x14ac:dyDescent="0.2">
      <c r="H284" s="26"/>
      <c r="I284" s="26"/>
      <c r="J284" s="26"/>
      <c r="Z284" s="26"/>
      <c r="AA284" s="26"/>
    </row>
    <row r="285" spans="8:27" x14ac:dyDescent="0.2">
      <c r="H285" s="26"/>
      <c r="I285" s="26"/>
      <c r="J285" s="26"/>
      <c r="Z285" s="26"/>
      <c r="AA285" s="26"/>
    </row>
    <row r="286" spans="8:27" x14ac:dyDescent="0.2">
      <c r="H286" s="26"/>
      <c r="I286" s="26"/>
      <c r="J286" s="26"/>
      <c r="Z286" s="26"/>
      <c r="AA286" s="26"/>
    </row>
    <row r="287" spans="8:27" x14ac:dyDescent="0.2">
      <c r="H287" s="26"/>
      <c r="I287" s="26"/>
      <c r="J287" s="26"/>
      <c r="Z287" s="26"/>
      <c r="AA287" s="26"/>
    </row>
    <row r="288" spans="8:27" x14ac:dyDescent="0.2">
      <c r="H288" s="26"/>
      <c r="I288" s="26"/>
      <c r="J288" s="26"/>
      <c r="Z288" s="26"/>
      <c r="AA288" s="26"/>
    </row>
    <row r="289" spans="8:27" x14ac:dyDescent="0.2">
      <c r="H289" s="26"/>
      <c r="I289" s="26"/>
      <c r="J289" s="26"/>
      <c r="Z289" s="26"/>
      <c r="AA289" s="26"/>
    </row>
    <row r="290" spans="8:27" x14ac:dyDescent="0.2">
      <c r="H290" s="26"/>
      <c r="I290" s="26"/>
      <c r="J290" s="26"/>
      <c r="Z290" s="26"/>
      <c r="AA290" s="26"/>
    </row>
    <row r="291" spans="8:27" x14ac:dyDescent="0.2">
      <c r="H291" s="26"/>
      <c r="I291" s="26"/>
      <c r="J291" s="26"/>
      <c r="Z291" s="26"/>
      <c r="AA291" s="26"/>
    </row>
    <row r="292" spans="8:27" x14ac:dyDescent="0.2">
      <c r="H292" s="26"/>
      <c r="I292" s="26"/>
      <c r="J292" s="26"/>
      <c r="Z292" s="26"/>
      <c r="AA292" s="26"/>
    </row>
    <row r="293" spans="8:27" x14ac:dyDescent="0.2">
      <c r="H293" s="26"/>
      <c r="I293" s="26"/>
      <c r="J293" s="26"/>
      <c r="Z293" s="26"/>
      <c r="AA293" s="26"/>
    </row>
    <row r="294" spans="8:27" x14ac:dyDescent="0.2">
      <c r="H294" s="26"/>
      <c r="I294" s="26"/>
      <c r="J294" s="26"/>
      <c r="Z294" s="26"/>
      <c r="AA294" s="26"/>
    </row>
    <row r="295" spans="8:27" x14ac:dyDescent="0.2">
      <c r="H295" s="26"/>
      <c r="I295" s="26"/>
      <c r="J295" s="26"/>
      <c r="Z295" s="26"/>
      <c r="AA295" s="26"/>
    </row>
    <row r="296" spans="8:27" x14ac:dyDescent="0.2">
      <c r="H296" s="26"/>
      <c r="I296" s="26"/>
      <c r="J296" s="26"/>
      <c r="Z296" s="26"/>
      <c r="AA296" s="26"/>
    </row>
    <row r="297" spans="8:27" x14ac:dyDescent="0.2">
      <c r="H297" s="26"/>
      <c r="I297" s="26"/>
      <c r="J297" s="26"/>
      <c r="Z297" s="26"/>
      <c r="AA297" s="26"/>
    </row>
    <row r="298" spans="8:27" x14ac:dyDescent="0.2">
      <c r="H298" s="26"/>
      <c r="I298" s="26"/>
      <c r="J298" s="26"/>
      <c r="Z298" s="26"/>
      <c r="AA298" s="26"/>
    </row>
    <row r="299" spans="8:27" x14ac:dyDescent="0.2">
      <c r="H299" s="26"/>
      <c r="I299" s="26"/>
      <c r="J299" s="26"/>
      <c r="Z299" s="26"/>
      <c r="AA299" s="26"/>
    </row>
    <row r="300" spans="8:27" x14ac:dyDescent="0.2">
      <c r="H300" s="26"/>
      <c r="I300" s="26"/>
      <c r="J300" s="26"/>
      <c r="Z300" s="26"/>
      <c r="AA300" s="26"/>
    </row>
    <row r="301" spans="8:27" x14ac:dyDescent="0.2">
      <c r="H301" s="26"/>
      <c r="I301" s="26"/>
      <c r="J301" s="26"/>
      <c r="Z301" s="26"/>
      <c r="AA301" s="26"/>
    </row>
    <row r="302" spans="8:27" x14ac:dyDescent="0.2">
      <c r="H302" s="26"/>
      <c r="I302" s="26"/>
      <c r="J302" s="26"/>
      <c r="Z302" s="26"/>
      <c r="AA302" s="26"/>
    </row>
    <row r="303" spans="8:27" x14ac:dyDescent="0.2">
      <c r="H303" s="26"/>
      <c r="I303" s="26"/>
      <c r="J303" s="26"/>
      <c r="Z303" s="26"/>
      <c r="AA303" s="26"/>
    </row>
    <row r="304" spans="8:27" x14ac:dyDescent="0.2">
      <c r="H304" s="26"/>
      <c r="I304" s="26"/>
      <c r="J304" s="26"/>
      <c r="Z304" s="26"/>
      <c r="AA304" s="26"/>
    </row>
    <row r="305" spans="8:27" x14ac:dyDescent="0.2">
      <c r="H305" s="26"/>
      <c r="I305" s="26"/>
      <c r="J305" s="26"/>
      <c r="Z305" s="26"/>
      <c r="AA305" s="26"/>
    </row>
    <row r="306" spans="8:27" x14ac:dyDescent="0.2">
      <c r="H306" s="26"/>
      <c r="I306" s="26"/>
      <c r="J306" s="26"/>
      <c r="Z306" s="26"/>
      <c r="AA306" s="26"/>
    </row>
    <row r="307" spans="8:27" x14ac:dyDescent="0.2">
      <c r="H307" s="26"/>
      <c r="I307" s="26"/>
      <c r="J307" s="26"/>
      <c r="Z307" s="26"/>
      <c r="AA307" s="26"/>
    </row>
    <row r="308" spans="8:27" x14ac:dyDescent="0.2">
      <c r="H308" s="26"/>
      <c r="I308" s="26"/>
      <c r="J308" s="26"/>
      <c r="Z308" s="26"/>
      <c r="AA308" s="26"/>
    </row>
    <row r="309" spans="8:27" x14ac:dyDescent="0.2">
      <c r="H309" s="26"/>
      <c r="I309" s="26"/>
      <c r="J309" s="26"/>
      <c r="Z309" s="26"/>
      <c r="AA309" s="26"/>
    </row>
    <row r="310" spans="8:27" x14ac:dyDescent="0.2">
      <c r="H310" s="26"/>
      <c r="I310" s="26"/>
      <c r="J310" s="26"/>
      <c r="Z310" s="26"/>
      <c r="AA310" s="26"/>
    </row>
    <row r="311" spans="8:27" x14ac:dyDescent="0.2">
      <c r="H311" s="26"/>
      <c r="I311" s="26"/>
      <c r="J311" s="26"/>
      <c r="Z311" s="26"/>
      <c r="AA311" s="26"/>
    </row>
    <row r="312" spans="8:27" x14ac:dyDescent="0.2">
      <c r="H312" s="26"/>
      <c r="I312" s="26"/>
      <c r="J312" s="26"/>
      <c r="Z312" s="26"/>
      <c r="AA312" s="26"/>
    </row>
    <row r="313" spans="8:27" x14ac:dyDescent="0.2">
      <c r="H313" s="26"/>
      <c r="I313" s="26"/>
      <c r="J313" s="26"/>
      <c r="Z313" s="26"/>
      <c r="AA313" s="26"/>
    </row>
    <row r="314" spans="8:27" x14ac:dyDescent="0.2">
      <c r="H314" s="26"/>
      <c r="I314" s="26"/>
      <c r="J314" s="26"/>
      <c r="Z314" s="26"/>
      <c r="AA314" s="26"/>
    </row>
    <row r="315" spans="8:27" x14ac:dyDescent="0.2">
      <c r="H315" s="26"/>
      <c r="I315" s="26"/>
      <c r="J315" s="26"/>
      <c r="Z315" s="26"/>
      <c r="AA315" s="26"/>
    </row>
    <row r="316" spans="8:27" x14ac:dyDescent="0.2">
      <c r="H316" s="26"/>
      <c r="I316" s="26"/>
      <c r="J316" s="26"/>
      <c r="Z316" s="26"/>
      <c r="AA316" s="26"/>
    </row>
    <row r="317" spans="8:27" x14ac:dyDescent="0.2">
      <c r="H317" s="26"/>
      <c r="I317" s="26"/>
      <c r="J317" s="26"/>
      <c r="Z317" s="26"/>
      <c r="AA317" s="26"/>
    </row>
    <row r="318" spans="8:27" x14ac:dyDescent="0.2">
      <c r="H318" s="26"/>
      <c r="I318" s="26"/>
      <c r="J318" s="26"/>
      <c r="Z318" s="26"/>
      <c r="AA318" s="26"/>
    </row>
    <row r="319" spans="8:27" x14ac:dyDescent="0.2">
      <c r="H319" s="26"/>
      <c r="I319" s="26"/>
      <c r="J319" s="26"/>
      <c r="Z319" s="26"/>
      <c r="AA319" s="26"/>
    </row>
    <row r="320" spans="8:27" x14ac:dyDescent="0.2">
      <c r="H320" s="26"/>
      <c r="I320" s="26"/>
      <c r="J320" s="26"/>
      <c r="Z320" s="26"/>
      <c r="AA320" s="26"/>
    </row>
    <row r="321" spans="8:27" x14ac:dyDescent="0.2">
      <c r="H321" s="26"/>
      <c r="I321" s="26"/>
      <c r="J321" s="26"/>
      <c r="Z321" s="26"/>
      <c r="AA321" s="26"/>
    </row>
    <row r="322" spans="8:27" x14ac:dyDescent="0.2">
      <c r="H322" s="26"/>
      <c r="I322" s="26"/>
      <c r="J322" s="26"/>
      <c r="Z322" s="26"/>
      <c r="AA322" s="26"/>
    </row>
    <row r="323" spans="8:27" x14ac:dyDescent="0.2">
      <c r="H323" s="26"/>
      <c r="I323" s="26"/>
      <c r="J323" s="26"/>
      <c r="Z323" s="26"/>
      <c r="AA323" s="26"/>
    </row>
    <row r="324" spans="8:27" x14ac:dyDescent="0.2">
      <c r="H324" s="26"/>
      <c r="I324" s="26"/>
      <c r="J324" s="26"/>
      <c r="Z324" s="26"/>
      <c r="AA324" s="26"/>
    </row>
    <row r="325" spans="8:27" x14ac:dyDescent="0.2">
      <c r="H325" s="26"/>
      <c r="I325" s="26"/>
      <c r="J325" s="26"/>
      <c r="Z325" s="26"/>
      <c r="AA325" s="26"/>
    </row>
    <row r="326" spans="8:27" x14ac:dyDescent="0.2">
      <c r="H326" s="26"/>
      <c r="I326" s="26"/>
      <c r="J326" s="26"/>
      <c r="Z326" s="26"/>
      <c r="AA326" s="26"/>
    </row>
    <row r="327" spans="8:27" x14ac:dyDescent="0.2">
      <c r="H327" s="26"/>
      <c r="I327" s="26"/>
      <c r="J327" s="26"/>
      <c r="Z327" s="26"/>
      <c r="AA327" s="26"/>
    </row>
    <row r="328" spans="8:27" x14ac:dyDescent="0.2">
      <c r="H328" s="26"/>
      <c r="I328" s="26"/>
      <c r="J328" s="26"/>
      <c r="Z328" s="26"/>
      <c r="AA328" s="26"/>
    </row>
    <row r="329" spans="8:27" x14ac:dyDescent="0.2">
      <c r="H329" s="26"/>
      <c r="I329" s="26"/>
      <c r="J329" s="26"/>
      <c r="Z329" s="26"/>
      <c r="AA329" s="26"/>
    </row>
    <row r="330" spans="8:27" x14ac:dyDescent="0.2">
      <c r="H330" s="26"/>
      <c r="I330" s="26"/>
      <c r="J330" s="26"/>
      <c r="Z330" s="26"/>
      <c r="AA330" s="26"/>
    </row>
    <row r="331" spans="8:27" x14ac:dyDescent="0.2">
      <c r="H331" s="26"/>
      <c r="I331" s="26"/>
      <c r="J331" s="26"/>
      <c r="Z331" s="26"/>
      <c r="AA331" s="26"/>
    </row>
    <row r="332" spans="8:27" x14ac:dyDescent="0.2">
      <c r="H332" s="26"/>
      <c r="I332" s="26"/>
      <c r="J332" s="26"/>
      <c r="Z332" s="26"/>
      <c r="AA332" s="26"/>
    </row>
    <row r="333" spans="8:27" x14ac:dyDescent="0.2">
      <c r="H333" s="26"/>
      <c r="I333" s="26"/>
      <c r="J333" s="26"/>
      <c r="Z333" s="26"/>
      <c r="AA333" s="26"/>
    </row>
    <row r="334" spans="8:27" x14ac:dyDescent="0.2">
      <c r="H334" s="26"/>
      <c r="I334" s="26"/>
      <c r="J334" s="26"/>
      <c r="Z334" s="26"/>
      <c r="AA334" s="26"/>
    </row>
    <row r="335" spans="8:27" x14ac:dyDescent="0.2">
      <c r="H335" s="26"/>
      <c r="I335" s="26"/>
      <c r="J335" s="26"/>
      <c r="Z335" s="26"/>
      <c r="AA335" s="26"/>
    </row>
    <row r="336" spans="8:27" x14ac:dyDescent="0.2">
      <c r="H336" s="26"/>
      <c r="I336" s="26"/>
      <c r="J336" s="26"/>
      <c r="Z336" s="26"/>
      <c r="AA336" s="26"/>
    </row>
    <row r="337" spans="8:27" x14ac:dyDescent="0.2">
      <c r="H337" s="26"/>
      <c r="I337" s="26"/>
      <c r="J337" s="26"/>
      <c r="Z337" s="26"/>
      <c r="AA337" s="26"/>
    </row>
    <row r="338" spans="8:27" x14ac:dyDescent="0.2">
      <c r="H338" s="26"/>
      <c r="I338" s="26"/>
      <c r="J338" s="26"/>
      <c r="Z338" s="26"/>
      <c r="AA338" s="26"/>
    </row>
    <row r="339" spans="8:27" x14ac:dyDescent="0.2">
      <c r="H339" s="26"/>
      <c r="I339" s="26"/>
      <c r="J339" s="26"/>
      <c r="Z339" s="26"/>
      <c r="AA339" s="26"/>
    </row>
    <row r="340" spans="8:27" x14ac:dyDescent="0.2">
      <c r="H340" s="26"/>
      <c r="I340" s="26"/>
      <c r="J340" s="26"/>
      <c r="Z340" s="26"/>
      <c r="AA340" s="26"/>
    </row>
    <row r="341" spans="8:27" x14ac:dyDescent="0.2">
      <c r="H341" s="26"/>
      <c r="I341" s="26"/>
      <c r="J341" s="26"/>
      <c r="Z341" s="26"/>
      <c r="AA341" s="26"/>
    </row>
    <row r="342" spans="8:27" x14ac:dyDescent="0.2">
      <c r="H342" s="26"/>
      <c r="I342" s="26"/>
      <c r="J342" s="26"/>
      <c r="Z342" s="26"/>
      <c r="AA342" s="26"/>
    </row>
    <row r="343" spans="8:27" x14ac:dyDescent="0.2">
      <c r="H343" s="26"/>
      <c r="I343" s="26"/>
      <c r="J343" s="26"/>
      <c r="Z343" s="26"/>
      <c r="AA343" s="26"/>
    </row>
    <row r="344" spans="8:27" x14ac:dyDescent="0.2">
      <c r="H344" s="26"/>
      <c r="I344" s="26"/>
      <c r="J344" s="26"/>
      <c r="Z344" s="26"/>
      <c r="AA344" s="26"/>
    </row>
    <row r="345" spans="8:27" x14ac:dyDescent="0.2">
      <c r="H345" s="26"/>
      <c r="I345" s="26"/>
      <c r="J345" s="26"/>
      <c r="Z345" s="26"/>
      <c r="AA345" s="26"/>
    </row>
    <row r="346" spans="8:27" x14ac:dyDescent="0.2">
      <c r="H346" s="26"/>
      <c r="I346" s="26"/>
      <c r="J346" s="26"/>
      <c r="Z346" s="26"/>
      <c r="AA346" s="26"/>
    </row>
    <row r="347" spans="8:27" x14ac:dyDescent="0.2">
      <c r="H347" s="26"/>
      <c r="I347" s="26"/>
      <c r="J347" s="26"/>
      <c r="Z347" s="26"/>
      <c r="AA347" s="26"/>
    </row>
    <row r="348" spans="8:27" x14ac:dyDescent="0.2">
      <c r="H348" s="26"/>
      <c r="I348" s="26"/>
      <c r="J348" s="26"/>
      <c r="Z348" s="26"/>
      <c r="AA348" s="26"/>
    </row>
    <row r="349" spans="8:27" x14ac:dyDescent="0.2">
      <c r="H349" s="26"/>
      <c r="I349" s="26"/>
      <c r="J349" s="26"/>
      <c r="Z349" s="26"/>
      <c r="AA349" s="26"/>
    </row>
    <row r="350" spans="8:27" x14ac:dyDescent="0.2">
      <c r="H350" s="26"/>
      <c r="I350" s="26"/>
      <c r="J350" s="26"/>
      <c r="Z350" s="26"/>
      <c r="AA350" s="26"/>
    </row>
    <row r="351" spans="8:27" x14ac:dyDescent="0.2">
      <c r="H351" s="26"/>
      <c r="I351" s="26"/>
      <c r="J351" s="26"/>
      <c r="Z351" s="26"/>
      <c r="AA351" s="26"/>
    </row>
    <row r="352" spans="8:27" x14ac:dyDescent="0.2">
      <c r="H352" s="26"/>
      <c r="I352" s="26"/>
      <c r="J352" s="26"/>
      <c r="Z352" s="26"/>
      <c r="AA352" s="26"/>
    </row>
    <row r="353" spans="8:27" x14ac:dyDescent="0.2">
      <c r="H353" s="26"/>
      <c r="I353" s="26"/>
      <c r="J353" s="26"/>
      <c r="Z353" s="26"/>
      <c r="AA353" s="26"/>
    </row>
    <row r="354" spans="8:27" x14ac:dyDescent="0.2">
      <c r="H354" s="26"/>
      <c r="I354" s="26"/>
      <c r="J354" s="26"/>
      <c r="Z354" s="26"/>
      <c r="AA354" s="26"/>
    </row>
    <row r="355" spans="8:27" x14ac:dyDescent="0.2">
      <c r="H355" s="26"/>
      <c r="I355" s="26"/>
      <c r="J355" s="26"/>
      <c r="Z355" s="26"/>
      <c r="AA355" s="26"/>
    </row>
    <row r="356" spans="8:27" x14ac:dyDescent="0.2">
      <c r="H356" s="26"/>
      <c r="I356" s="26"/>
      <c r="J356" s="26"/>
      <c r="Z356" s="26"/>
      <c r="AA356" s="26"/>
    </row>
    <row r="357" spans="8:27" x14ac:dyDescent="0.2">
      <c r="H357" s="26"/>
      <c r="I357" s="26"/>
      <c r="J357" s="26"/>
      <c r="Z357" s="26"/>
      <c r="AA357" s="26"/>
    </row>
    <row r="358" spans="8:27" x14ac:dyDescent="0.2">
      <c r="H358" s="26"/>
      <c r="I358" s="26"/>
      <c r="J358" s="26"/>
      <c r="Z358" s="26"/>
      <c r="AA358" s="26"/>
    </row>
    <row r="359" spans="8:27" x14ac:dyDescent="0.2">
      <c r="H359" s="26"/>
      <c r="I359" s="26"/>
      <c r="J359" s="26"/>
      <c r="Z359" s="26"/>
      <c r="AA359" s="26"/>
    </row>
    <row r="360" spans="8:27" x14ac:dyDescent="0.2">
      <c r="H360" s="26"/>
      <c r="I360" s="26"/>
      <c r="J360" s="26"/>
      <c r="Z360" s="26"/>
      <c r="AA360" s="26"/>
    </row>
    <row r="361" spans="8:27" x14ac:dyDescent="0.2">
      <c r="H361" s="26"/>
      <c r="I361" s="26"/>
      <c r="J361" s="26"/>
      <c r="Z361" s="26"/>
      <c r="AA361" s="26"/>
    </row>
    <row r="362" spans="8:27" x14ac:dyDescent="0.2">
      <c r="H362" s="26"/>
      <c r="I362" s="26"/>
      <c r="J362" s="26"/>
      <c r="Z362" s="26"/>
      <c r="AA362" s="26"/>
    </row>
    <row r="363" spans="8:27" x14ac:dyDescent="0.2">
      <c r="H363" s="26"/>
      <c r="I363" s="26"/>
      <c r="J363" s="26"/>
      <c r="Z363" s="26"/>
      <c r="AA363" s="26"/>
    </row>
    <row r="364" spans="8:27" x14ac:dyDescent="0.2">
      <c r="H364" s="26"/>
      <c r="I364" s="26"/>
      <c r="J364" s="26"/>
      <c r="Z364" s="26"/>
      <c r="AA364" s="26"/>
    </row>
    <row r="365" spans="8:27" x14ac:dyDescent="0.2">
      <c r="H365" s="26"/>
      <c r="I365" s="26"/>
      <c r="J365" s="26"/>
      <c r="Z365" s="26"/>
      <c r="AA365" s="26"/>
    </row>
    <row r="366" spans="8:27" x14ac:dyDescent="0.2">
      <c r="H366" s="26"/>
      <c r="I366" s="26"/>
      <c r="J366" s="26"/>
      <c r="Z366" s="26"/>
      <c r="AA366" s="26"/>
    </row>
    <row r="367" spans="8:27" x14ac:dyDescent="0.2">
      <c r="H367" s="26"/>
      <c r="I367" s="26"/>
      <c r="J367" s="26"/>
      <c r="Z367" s="26"/>
      <c r="AA367" s="26"/>
    </row>
    <row r="368" spans="8:27" x14ac:dyDescent="0.2">
      <c r="H368" s="26"/>
      <c r="I368" s="26"/>
      <c r="J368" s="26"/>
      <c r="Z368" s="26"/>
      <c r="AA368" s="26"/>
    </row>
    <row r="369" spans="8:27" x14ac:dyDescent="0.2">
      <c r="H369" s="26"/>
      <c r="I369" s="26"/>
      <c r="J369" s="26"/>
      <c r="Z369" s="26"/>
      <c r="AA369" s="26"/>
    </row>
    <row r="370" spans="8:27" x14ac:dyDescent="0.2">
      <c r="H370" s="26"/>
      <c r="I370" s="26"/>
      <c r="J370" s="26"/>
      <c r="Z370" s="26"/>
      <c r="AA370" s="26"/>
    </row>
    <row r="371" spans="8:27" x14ac:dyDescent="0.2">
      <c r="H371" s="26"/>
      <c r="I371" s="26"/>
      <c r="J371" s="26"/>
      <c r="Z371" s="26"/>
      <c r="AA371" s="26"/>
    </row>
    <row r="372" spans="8:27" x14ac:dyDescent="0.2">
      <c r="H372" s="26"/>
      <c r="I372" s="26"/>
      <c r="J372" s="26"/>
      <c r="Z372" s="26"/>
      <c r="AA372" s="26"/>
    </row>
    <row r="373" spans="8:27" x14ac:dyDescent="0.2">
      <c r="H373" s="26"/>
      <c r="I373" s="26"/>
      <c r="J373" s="26"/>
      <c r="Z373" s="26"/>
      <c r="AA373" s="26"/>
    </row>
    <row r="374" spans="8:27" x14ac:dyDescent="0.2">
      <c r="H374" s="26"/>
      <c r="I374" s="26"/>
      <c r="J374" s="26"/>
      <c r="Z374" s="26"/>
      <c r="AA374" s="26"/>
    </row>
    <row r="375" spans="8:27" x14ac:dyDescent="0.2">
      <c r="H375" s="26"/>
      <c r="I375" s="26"/>
      <c r="J375" s="26"/>
      <c r="Z375" s="26"/>
      <c r="AA375" s="26"/>
    </row>
    <row r="376" spans="8:27" x14ac:dyDescent="0.2">
      <c r="H376" s="26"/>
      <c r="I376" s="26"/>
      <c r="J376" s="26"/>
      <c r="Z376" s="26"/>
      <c r="AA376" s="26"/>
    </row>
    <row r="377" spans="8:27" x14ac:dyDescent="0.2">
      <c r="H377" s="26"/>
      <c r="I377" s="26"/>
      <c r="J377" s="26"/>
      <c r="Z377" s="26"/>
      <c r="AA377" s="26"/>
    </row>
    <row r="378" spans="8:27" x14ac:dyDescent="0.2">
      <c r="H378" s="26"/>
      <c r="I378" s="26"/>
      <c r="J378" s="26"/>
      <c r="Z378" s="26"/>
      <c r="AA378" s="26"/>
    </row>
    <row r="379" spans="8:27" x14ac:dyDescent="0.2">
      <c r="H379" s="26"/>
      <c r="I379" s="26"/>
      <c r="J379" s="26"/>
      <c r="Z379" s="26"/>
      <c r="AA379" s="26"/>
    </row>
    <row r="380" spans="8:27" x14ac:dyDescent="0.2">
      <c r="H380" s="26"/>
      <c r="I380" s="26"/>
      <c r="J380" s="26"/>
      <c r="Z380" s="26"/>
      <c r="AA380" s="26"/>
    </row>
    <row r="381" spans="8:27" x14ac:dyDescent="0.2">
      <c r="H381" s="26"/>
      <c r="I381" s="26"/>
      <c r="J381" s="26"/>
      <c r="Z381" s="26"/>
      <c r="AA381" s="26"/>
    </row>
    <row r="382" spans="8:27" x14ac:dyDescent="0.2">
      <c r="H382" s="26"/>
      <c r="I382" s="26"/>
      <c r="J382" s="26"/>
      <c r="Z382" s="26"/>
      <c r="AA382" s="26"/>
    </row>
    <row r="383" spans="8:27" x14ac:dyDescent="0.2">
      <c r="H383" s="26"/>
      <c r="I383" s="26"/>
      <c r="J383" s="26"/>
      <c r="Z383" s="26"/>
      <c r="AA383" s="26"/>
    </row>
    <row r="384" spans="8:27" x14ac:dyDescent="0.2">
      <c r="H384" s="26"/>
      <c r="I384" s="26"/>
      <c r="J384" s="26"/>
      <c r="Z384" s="26"/>
      <c r="AA384" s="26"/>
    </row>
    <row r="385" spans="8:27" x14ac:dyDescent="0.2">
      <c r="H385" s="26"/>
      <c r="I385" s="26"/>
      <c r="J385" s="26"/>
      <c r="Z385" s="26"/>
      <c r="AA385" s="26"/>
    </row>
    <row r="386" spans="8:27" x14ac:dyDescent="0.2">
      <c r="H386" s="26"/>
      <c r="I386" s="26"/>
      <c r="J386" s="26"/>
      <c r="Z386" s="26"/>
      <c r="AA386" s="26"/>
    </row>
    <row r="387" spans="8:27" x14ac:dyDescent="0.2">
      <c r="H387" s="26"/>
      <c r="I387" s="26"/>
      <c r="J387" s="26"/>
      <c r="Z387" s="26"/>
      <c r="AA387" s="26"/>
    </row>
    <row r="388" spans="8:27" x14ac:dyDescent="0.2">
      <c r="H388" s="26"/>
      <c r="I388" s="26"/>
      <c r="J388" s="26"/>
      <c r="Z388" s="26"/>
      <c r="AA388" s="26"/>
    </row>
    <row r="389" spans="8:27" x14ac:dyDescent="0.2">
      <c r="H389" s="26"/>
      <c r="I389" s="26"/>
      <c r="J389" s="26"/>
      <c r="Z389" s="26"/>
      <c r="AA389" s="26"/>
    </row>
    <row r="390" spans="8:27" x14ac:dyDescent="0.2">
      <c r="H390" s="26"/>
      <c r="I390" s="26"/>
      <c r="J390" s="26"/>
      <c r="Z390" s="26"/>
      <c r="AA390" s="26"/>
    </row>
    <row r="391" spans="8:27" x14ac:dyDescent="0.2">
      <c r="H391" s="26"/>
      <c r="I391" s="26"/>
      <c r="J391" s="26"/>
      <c r="Z391" s="26"/>
      <c r="AA391" s="26"/>
    </row>
    <row r="392" spans="8:27" x14ac:dyDescent="0.2">
      <c r="H392" s="26"/>
      <c r="I392" s="26"/>
      <c r="J392" s="26"/>
      <c r="Z392" s="26"/>
      <c r="AA392" s="26"/>
    </row>
    <row r="393" spans="8:27" x14ac:dyDescent="0.2">
      <c r="H393" s="26"/>
      <c r="I393" s="26"/>
      <c r="J393" s="26"/>
      <c r="Z393" s="26"/>
      <c r="AA393" s="26"/>
    </row>
    <row r="394" spans="8:27" x14ac:dyDescent="0.2">
      <c r="H394" s="26"/>
      <c r="I394" s="26"/>
      <c r="J394" s="26"/>
      <c r="Z394" s="26"/>
      <c r="AA394" s="26"/>
    </row>
    <row r="395" spans="8:27" x14ac:dyDescent="0.2">
      <c r="H395" s="26"/>
      <c r="I395" s="26"/>
      <c r="J395" s="26"/>
      <c r="Z395" s="26"/>
      <c r="AA395" s="26"/>
    </row>
    <row r="396" spans="8:27" x14ac:dyDescent="0.2">
      <c r="H396" s="26"/>
      <c r="I396" s="26"/>
      <c r="J396" s="26"/>
      <c r="Z396" s="26"/>
      <c r="AA396" s="26"/>
    </row>
    <row r="397" spans="8:27" x14ac:dyDescent="0.2">
      <c r="H397" s="26"/>
      <c r="I397" s="26"/>
      <c r="J397" s="26"/>
      <c r="Z397" s="26"/>
      <c r="AA397" s="26"/>
    </row>
    <row r="398" spans="8:27" x14ac:dyDescent="0.2">
      <c r="H398" s="26"/>
      <c r="I398" s="26"/>
      <c r="J398" s="26"/>
      <c r="Z398" s="26"/>
      <c r="AA398" s="26"/>
    </row>
    <row r="399" spans="8:27" x14ac:dyDescent="0.2">
      <c r="H399" s="26"/>
      <c r="I399" s="26"/>
      <c r="J399" s="26"/>
      <c r="Z399" s="26"/>
      <c r="AA399" s="26"/>
    </row>
    <row r="400" spans="8:27" x14ac:dyDescent="0.2">
      <c r="H400" s="26"/>
      <c r="I400" s="26"/>
      <c r="J400" s="26"/>
      <c r="Z400" s="26"/>
      <c r="AA400" s="26"/>
    </row>
    <row r="401" spans="8:27" x14ac:dyDescent="0.2">
      <c r="H401" s="26"/>
      <c r="I401" s="26"/>
      <c r="J401" s="26"/>
      <c r="Z401" s="26"/>
      <c r="AA401" s="26"/>
    </row>
    <row r="402" spans="8:27" x14ac:dyDescent="0.2">
      <c r="H402" s="26"/>
      <c r="I402" s="26"/>
      <c r="J402" s="26"/>
      <c r="Z402" s="26"/>
      <c r="AA402" s="26"/>
    </row>
    <row r="403" spans="8:27" x14ac:dyDescent="0.2">
      <c r="H403" s="26"/>
      <c r="I403" s="26"/>
      <c r="J403" s="26"/>
      <c r="Z403" s="26"/>
      <c r="AA403" s="26"/>
    </row>
    <row r="404" spans="8:27" x14ac:dyDescent="0.2">
      <c r="H404" s="26"/>
      <c r="I404" s="26"/>
      <c r="J404" s="26"/>
      <c r="Z404" s="26"/>
      <c r="AA404" s="26"/>
    </row>
    <row r="405" spans="8:27" x14ac:dyDescent="0.2">
      <c r="H405" s="26"/>
      <c r="I405" s="26"/>
      <c r="J405" s="26"/>
      <c r="Z405" s="26"/>
      <c r="AA405" s="26"/>
    </row>
    <row r="406" spans="8:27" x14ac:dyDescent="0.2">
      <c r="H406" s="26"/>
      <c r="I406" s="26"/>
      <c r="J406" s="26"/>
      <c r="Z406" s="26"/>
      <c r="AA406" s="26"/>
    </row>
    <row r="407" spans="8:27" x14ac:dyDescent="0.2">
      <c r="H407" s="26"/>
      <c r="I407" s="26"/>
      <c r="J407" s="26"/>
      <c r="Z407" s="26"/>
      <c r="AA407" s="26"/>
    </row>
    <row r="408" spans="8:27" x14ac:dyDescent="0.2">
      <c r="H408" s="26"/>
      <c r="I408" s="26"/>
      <c r="J408" s="26"/>
      <c r="Z408" s="26"/>
      <c r="AA408" s="26"/>
    </row>
    <row r="409" spans="8:27" x14ac:dyDescent="0.2">
      <c r="H409" s="26"/>
      <c r="I409" s="26"/>
      <c r="J409" s="26"/>
      <c r="Z409" s="26"/>
      <c r="AA409" s="26"/>
    </row>
    <row r="410" spans="8:27" x14ac:dyDescent="0.2">
      <c r="H410" s="26"/>
      <c r="I410" s="26"/>
      <c r="J410" s="26"/>
      <c r="Z410" s="26"/>
      <c r="AA410" s="26"/>
    </row>
    <row r="411" spans="8:27" x14ac:dyDescent="0.2">
      <c r="H411" s="26"/>
      <c r="I411" s="26"/>
      <c r="J411" s="26"/>
      <c r="Z411" s="26"/>
      <c r="AA411" s="26"/>
    </row>
    <row r="412" spans="8:27" x14ac:dyDescent="0.2">
      <c r="H412" s="26"/>
      <c r="I412" s="26"/>
      <c r="J412" s="26"/>
      <c r="Z412" s="26"/>
      <c r="AA412" s="26"/>
    </row>
    <row r="413" spans="8:27" x14ac:dyDescent="0.2">
      <c r="H413" s="26"/>
      <c r="I413" s="26"/>
      <c r="J413" s="26"/>
      <c r="Z413" s="26"/>
      <c r="AA413" s="26"/>
    </row>
    <row r="414" spans="8:27" x14ac:dyDescent="0.2">
      <c r="H414" s="26"/>
      <c r="I414" s="26"/>
      <c r="J414" s="26"/>
      <c r="Z414" s="26"/>
      <c r="AA414" s="26"/>
    </row>
    <row r="415" spans="8:27" x14ac:dyDescent="0.2">
      <c r="H415" s="26"/>
      <c r="I415" s="26"/>
      <c r="J415" s="26"/>
      <c r="Z415" s="26"/>
      <c r="AA415" s="26"/>
    </row>
    <row r="416" spans="8:27" x14ac:dyDescent="0.2">
      <c r="H416" s="26"/>
      <c r="I416" s="26"/>
      <c r="J416" s="26"/>
      <c r="Z416" s="26"/>
      <c r="AA416" s="26"/>
    </row>
    <row r="417" spans="8:27" x14ac:dyDescent="0.2">
      <c r="H417" s="26"/>
      <c r="I417" s="26"/>
      <c r="J417" s="26"/>
      <c r="Z417" s="26"/>
      <c r="AA417" s="26"/>
    </row>
    <row r="418" spans="8:27" x14ac:dyDescent="0.2">
      <c r="H418" s="26"/>
      <c r="I418" s="26"/>
      <c r="J418" s="26"/>
      <c r="Z418" s="26"/>
      <c r="AA418" s="26"/>
    </row>
    <row r="419" spans="8:27" x14ac:dyDescent="0.2">
      <c r="H419" s="26"/>
      <c r="I419" s="26"/>
      <c r="J419" s="26"/>
      <c r="Z419" s="26"/>
      <c r="AA419" s="26"/>
    </row>
    <row r="420" spans="8:27" x14ac:dyDescent="0.2">
      <c r="H420" s="26"/>
      <c r="I420" s="26"/>
      <c r="J420" s="26"/>
      <c r="Z420" s="26"/>
      <c r="AA420" s="26"/>
    </row>
    <row r="421" spans="8:27" x14ac:dyDescent="0.2">
      <c r="H421" s="26"/>
      <c r="I421" s="26"/>
      <c r="J421" s="26"/>
      <c r="Z421" s="26"/>
      <c r="AA421" s="26"/>
    </row>
    <row r="422" spans="8:27" x14ac:dyDescent="0.2">
      <c r="H422" s="26"/>
      <c r="I422" s="26"/>
      <c r="J422" s="26"/>
      <c r="Z422" s="26"/>
      <c r="AA422" s="26"/>
    </row>
    <row r="423" spans="8:27" x14ac:dyDescent="0.2">
      <c r="H423" s="26"/>
      <c r="I423" s="26"/>
      <c r="J423" s="26"/>
      <c r="Z423" s="26"/>
      <c r="AA423" s="26"/>
    </row>
    <row r="424" spans="8:27" x14ac:dyDescent="0.2">
      <c r="H424" s="26"/>
      <c r="I424" s="26"/>
      <c r="J424" s="26"/>
      <c r="Z424" s="26"/>
      <c r="AA424" s="26"/>
    </row>
    <row r="425" spans="8:27" x14ac:dyDescent="0.2">
      <c r="H425" s="26"/>
      <c r="I425" s="26"/>
      <c r="J425" s="26"/>
      <c r="Z425" s="26"/>
      <c r="AA425" s="26"/>
    </row>
    <row r="426" spans="8:27" x14ac:dyDescent="0.2">
      <c r="H426" s="26"/>
      <c r="I426" s="26"/>
      <c r="J426" s="26"/>
      <c r="Z426" s="26"/>
      <c r="AA426" s="26"/>
    </row>
    <row r="427" spans="8:27" x14ac:dyDescent="0.2">
      <c r="H427" s="26"/>
      <c r="I427" s="26"/>
      <c r="J427" s="26"/>
      <c r="Z427" s="26"/>
      <c r="AA427" s="26"/>
    </row>
    <row r="428" spans="8:27" x14ac:dyDescent="0.2">
      <c r="H428" s="26"/>
      <c r="I428" s="26"/>
      <c r="J428" s="26"/>
      <c r="Z428" s="26"/>
      <c r="AA428" s="26"/>
    </row>
    <row r="429" spans="8:27" x14ac:dyDescent="0.2">
      <c r="H429" s="26"/>
      <c r="I429" s="26"/>
      <c r="J429" s="26"/>
      <c r="Z429" s="26"/>
      <c r="AA429" s="26"/>
    </row>
    <row r="430" spans="8:27" x14ac:dyDescent="0.2">
      <c r="H430" s="26"/>
      <c r="I430" s="26"/>
      <c r="J430" s="26"/>
      <c r="Z430" s="26"/>
      <c r="AA430" s="26"/>
    </row>
    <row r="431" spans="8:27" x14ac:dyDescent="0.2">
      <c r="H431" s="26"/>
      <c r="I431" s="26"/>
      <c r="J431" s="26"/>
      <c r="Z431" s="26"/>
      <c r="AA431" s="26"/>
    </row>
    <row r="432" spans="8:27" x14ac:dyDescent="0.2">
      <c r="H432" s="26"/>
      <c r="I432" s="26"/>
      <c r="J432" s="26"/>
      <c r="Z432" s="26"/>
      <c r="AA432" s="26"/>
    </row>
    <row r="433" spans="8:27" x14ac:dyDescent="0.2">
      <c r="H433" s="26"/>
      <c r="I433" s="26"/>
      <c r="J433" s="26"/>
      <c r="Z433" s="26"/>
      <c r="AA433" s="26"/>
    </row>
    <row r="434" spans="8:27" x14ac:dyDescent="0.2">
      <c r="H434" s="26"/>
      <c r="I434" s="26"/>
      <c r="J434" s="26"/>
      <c r="Z434" s="26"/>
      <c r="AA434" s="26"/>
    </row>
    <row r="435" spans="8:27" x14ac:dyDescent="0.2">
      <c r="H435" s="26"/>
      <c r="I435" s="26"/>
      <c r="J435" s="26"/>
      <c r="Z435" s="26"/>
      <c r="AA435" s="26"/>
    </row>
    <row r="436" spans="8:27" x14ac:dyDescent="0.2">
      <c r="H436" s="26"/>
      <c r="I436" s="26"/>
      <c r="J436" s="26"/>
      <c r="Z436" s="26"/>
      <c r="AA436" s="26"/>
    </row>
    <row r="437" spans="8:27" x14ac:dyDescent="0.2">
      <c r="H437" s="26"/>
      <c r="I437" s="26"/>
      <c r="J437" s="26"/>
      <c r="Z437" s="26"/>
      <c r="AA437" s="26"/>
    </row>
    <row r="438" spans="8:27" x14ac:dyDescent="0.2">
      <c r="H438" s="26"/>
      <c r="I438" s="26"/>
      <c r="J438" s="26"/>
      <c r="Z438" s="26"/>
      <c r="AA438" s="26"/>
    </row>
    <row r="439" spans="8:27" x14ac:dyDescent="0.2">
      <c r="H439" s="26"/>
      <c r="I439" s="26"/>
      <c r="J439" s="26"/>
      <c r="Z439" s="26"/>
      <c r="AA439" s="26"/>
    </row>
    <row r="440" spans="8:27" x14ac:dyDescent="0.2">
      <c r="H440" s="26"/>
      <c r="I440" s="26"/>
      <c r="J440" s="26"/>
      <c r="Z440" s="26"/>
      <c r="AA440" s="26"/>
    </row>
    <row r="441" spans="8:27" x14ac:dyDescent="0.2">
      <c r="H441" s="26"/>
      <c r="I441" s="26"/>
      <c r="J441" s="26"/>
      <c r="Z441" s="26"/>
      <c r="AA441" s="26"/>
    </row>
    <row r="442" spans="8:27" x14ac:dyDescent="0.2">
      <c r="H442" s="26"/>
      <c r="I442" s="26"/>
      <c r="J442" s="26"/>
      <c r="Z442" s="26"/>
      <c r="AA442" s="26"/>
    </row>
    <row r="443" spans="8:27" x14ac:dyDescent="0.2">
      <c r="H443" s="26"/>
      <c r="I443" s="26"/>
      <c r="J443" s="26"/>
      <c r="Z443" s="26"/>
      <c r="AA443" s="26"/>
    </row>
    <row r="444" spans="8:27" x14ac:dyDescent="0.2">
      <c r="H444" s="26"/>
      <c r="I444" s="26"/>
      <c r="J444" s="26"/>
      <c r="Z444" s="26"/>
      <c r="AA444" s="26"/>
    </row>
    <row r="445" spans="8:27" x14ac:dyDescent="0.2">
      <c r="H445" s="26"/>
      <c r="I445" s="26"/>
      <c r="J445" s="26"/>
      <c r="Z445" s="26"/>
      <c r="AA445" s="26"/>
    </row>
    <row r="446" spans="8:27" x14ac:dyDescent="0.2">
      <c r="H446" s="26"/>
      <c r="I446" s="26"/>
      <c r="J446" s="26"/>
      <c r="Z446" s="26"/>
      <c r="AA446" s="26"/>
    </row>
    <row r="447" spans="8:27" x14ac:dyDescent="0.2">
      <c r="H447" s="26"/>
      <c r="I447" s="26"/>
      <c r="J447" s="26"/>
      <c r="Z447" s="26"/>
      <c r="AA447" s="26"/>
    </row>
    <row r="448" spans="8:27" x14ac:dyDescent="0.2">
      <c r="H448" s="26"/>
      <c r="I448" s="26"/>
      <c r="J448" s="26"/>
      <c r="Z448" s="26"/>
      <c r="AA448" s="26"/>
    </row>
    <row r="449" spans="8:27" x14ac:dyDescent="0.2">
      <c r="H449" s="26"/>
      <c r="I449" s="26"/>
      <c r="J449" s="26"/>
      <c r="Z449" s="26"/>
      <c r="AA449" s="26"/>
    </row>
    <row r="450" spans="8:27" x14ac:dyDescent="0.2">
      <c r="H450" s="26"/>
      <c r="I450" s="26"/>
      <c r="J450" s="26"/>
      <c r="Z450" s="26"/>
      <c r="AA450" s="26"/>
    </row>
    <row r="451" spans="8:27" x14ac:dyDescent="0.2">
      <c r="H451" s="26"/>
      <c r="I451" s="26"/>
      <c r="J451" s="26"/>
      <c r="Z451" s="26"/>
      <c r="AA451" s="26"/>
    </row>
    <row r="452" spans="8:27" x14ac:dyDescent="0.2">
      <c r="H452" s="26"/>
      <c r="I452" s="26"/>
      <c r="J452" s="26"/>
      <c r="Z452" s="26"/>
      <c r="AA452" s="26"/>
    </row>
    <row r="453" spans="8:27" x14ac:dyDescent="0.2">
      <c r="H453" s="26"/>
      <c r="I453" s="26"/>
      <c r="J453" s="26"/>
      <c r="Z453" s="26"/>
      <c r="AA453" s="26"/>
    </row>
    <row r="454" spans="8:27" x14ac:dyDescent="0.2">
      <c r="H454" s="26"/>
      <c r="I454" s="26"/>
      <c r="J454" s="26"/>
      <c r="Z454" s="26"/>
      <c r="AA454" s="26"/>
    </row>
    <row r="455" spans="8:27" x14ac:dyDescent="0.2">
      <c r="H455" s="26"/>
      <c r="I455" s="26"/>
      <c r="J455" s="26"/>
      <c r="Z455" s="26"/>
      <c r="AA455" s="26"/>
    </row>
    <row r="456" spans="8:27" x14ac:dyDescent="0.2">
      <c r="H456" s="26"/>
      <c r="I456" s="26"/>
      <c r="J456" s="26"/>
      <c r="Z456" s="26"/>
      <c r="AA456" s="26"/>
    </row>
    <row r="457" spans="8:27" x14ac:dyDescent="0.2">
      <c r="H457" s="26"/>
      <c r="I457" s="26"/>
      <c r="J457" s="26"/>
      <c r="Z457" s="26"/>
      <c r="AA457" s="26"/>
    </row>
    <row r="458" spans="8:27" x14ac:dyDescent="0.2">
      <c r="H458" s="26"/>
      <c r="I458" s="26"/>
      <c r="J458" s="26"/>
      <c r="Z458" s="26"/>
      <c r="AA458" s="26"/>
    </row>
    <row r="459" spans="8:27" x14ac:dyDescent="0.2">
      <c r="H459" s="26"/>
      <c r="I459" s="26"/>
      <c r="J459" s="26"/>
      <c r="Z459" s="26"/>
      <c r="AA459" s="26"/>
    </row>
    <row r="460" spans="8:27" x14ac:dyDescent="0.2">
      <c r="H460" s="26"/>
      <c r="I460" s="26"/>
      <c r="J460" s="26"/>
      <c r="Z460" s="26"/>
      <c r="AA460" s="26"/>
    </row>
    <row r="461" spans="8:27" x14ac:dyDescent="0.2">
      <c r="H461" s="26"/>
      <c r="I461" s="26"/>
      <c r="J461" s="26"/>
      <c r="Z461" s="26"/>
      <c r="AA461" s="26"/>
    </row>
    <row r="462" spans="8:27" x14ac:dyDescent="0.2">
      <c r="H462" s="26"/>
      <c r="I462" s="26"/>
      <c r="J462" s="26"/>
      <c r="Z462" s="26"/>
      <c r="AA462" s="26"/>
    </row>
    <row r="463" spans="8:27" x14ac:dyDescent="0.2">
      <c r="H463" s="26"/>
      <c r="I463" s="26"/>
      <c r="J463" s="26"/>
      <c r="Z463" s="26"/>
      <c r="AA463" s="26"/>
    </row>
    <row r="464" spans="8:27" x14ac:dyDescent="0.2">
      <c r="H464" s="26"/>
      <c r="I464" s="26"/>
      <c r="J464" s="26"/>
      <c r="Z464" s="26"/>
      <c r="AA464" s="26"/>
    </row>
    <row r="465" spans="8:27" x14ac:dyDescent="0.2">
      <c r="H465" s="26"/>
      <c r="I465" s="26"/>
      <c r="J465" s="26"/>
      <c r="Z465" s="26"/>
      <c r="AA465" s="26"/>
    </row>
    <row r="466" spans="8:27" x14ac:dyDescent="0.2">
      <c r="H466" s="26"/>
      <c r="I466" s="26"/>
      <c r="J466" s="26"/>
      <c r="Z466" s="26"/>
      <c r="AA466" s="26"/>
    </row>
    <row r="467" spans="8:27" x14ac:dyDescent="0.2">
      <c r="H467" s="26"/>
      <c r="I467" s="26"/>
      <c r="J467" s="26"/>
      <c r="Z467" s="26"/>
      <c r="AA467" s="26"/>
    </row>
    <row r="468" spans="8:27" x14ac:dyDescent="0.2">
      <c r="H468" s="26"/>
      <c r="I468" s="26"/>
      <c r="J468" s="26"/>
      <c r="Z468" s="26"/>
      <c r="AA468" s="26"/>
    </row>
    <row r="469" spans="8:27" x14ac:dyDescent="0.2">
      <c r="H469" s="26"/>
      <c r="I469" s="26"/>
      <c r="J469" s="26"/>
      <c r="Z469" s="26"/>
      <c r="AA469" s="26"/>
    </row>
    <row r="470" spans="8:27" x14ac:dyDescent="0.2">
      <c r="H470" s="26"/>
      <c r="I470" s="26"/>
      <c r="J470" s="26"/>
      <c r="Z470" s="26"/>
      <c r="AA470" s="26"/>
    </row>
    <row r="471" spans="8:27" x14ac:dyDescent="0.2">
      <c r="H471" s="26"/>
      <c r="I471" s="26"/>
      <c r="J471" s="26"/>
      <c r="Z471" s="26"/>
      <c r="AA471" s="26"/>
    </row>
    <row r="472" spans="8:27" x14ac:dyDescent="0.2">
      <c r="H472" s="26"/>
      <c r="I472" s="26"/>
      <c r="J472" s="26"/>
      <c r="Z472" s="26"/>
      <c r="AA472" s="26"/>
    </row>
    <row r="473" spans="8:27" x14ac:dyDescent="0.2">
      <c r="H473" s="26"/>
      <c r="I473" s="26"/>
      <c r="J473" s="26"/>
      <c r="Z473" s="26"/>
      <c r="AA473" s="26"/>
    </row>
    <row r="474" spans="8:27" x14ac:dyDescent="0.2">
      <c r="H474" s="26"/>
      <c r="I474" s="26"/>
      <c r="J474" s="26"/>
      <c r="Z474" s="26"/>
      <c r="AA474" s="26"/>
    </row>
    <row r="475" spans="8:27" x14ac:dyDescent="0.2">
      <c r="H475" s="26"/>
      <c r="I475" s="26"/>
      <c r="J475" s="26"/>
      <c r="Z475" s="26"/>
      <c r="AA475" s="26"/>
    </row>
    <row r="476" spans="8:27" x14ac:dyDescent="0.2">
      <c r="H476" s="26"/>
      <c r="I476" s="26"/>
      <c r="J476" s="26"/>
      <c r="Z476" s="26"/>
      <c r="AA476" s="26"/>
    </row>
    <row r="477" spans="8:27" x14ac:dyDescent="0.2">
      <c r="H477" s="26"/>
      <c r="I477" s="26"/>
      <c r="J477" s="26"/>
      <c r="Z477" s="26"/>
      <c r="AA477" s="26"/>
    </row>
    <row r="478" spans="8:27" x14ac:dyDescent="0.2">
      <c r="H478" s="26"/>
      <c r="I478" s="26"/>
      <c r="J478" s="26"/>
      <c r="Z478" s="26"/>
      <c r="AA478" s="26"/>
    </row>
    <row r="479" spans="8:27" x14ac:dyDescent="0.2">
      <c r="H479" s="26"/>
      <c r="I479" s="26"/>
      <c r="J479" s="26"/>
      <c r="Z479" s="26"/>
      <c r="AA479" s="26"/>
    </row>
    <row r="480" spans="8:27" x14ac:dyDescent="0.2">
      <c r="H480" s="26"/>
      <c r="I480" s="26"/>
      <c r="J480" s="26"/>
      <c r="Z480" s="26"/>
      <c r="AA480" s="26"/>
    </row>
    <row r="481" spans="8:27" x14ac:dyDescent="0.2">
      <c r="H481" s="26"/>
      <c r="I481" s="26"/>
      <c r="J481" s="26"/>
      <c r="Z481" s="26"/>
      <c r="AA481" s="26"/>
    </row>
    <row r="482" spans="8:27" x14ac:dyDescent="0.2">
      <c r="H482" s="26"/>
      <c r="I482" s="26"/>
      <c r="J482" s="26"/>
      <c r="Z482" s="26"/>
      <c r="AA482" s="26"/>
    </row>
    <row r="483" spans="8:27" x14ac:dyDescent="0.2">
      <c r="H483" s="26"/>
      <c r="I483" s="26"/>
      <c r="J483" s="26"/>
      <c r="Z483" s="26"/>
      <c r="AA483" s="26"/>
    </row>
    <row r="484" spans="8:27" x14ac:dyDescent="0.2">
      <c r="H484" s="26"/>
      <c r="I484" s="26"/>
      <c r="J484" s="26"/>
      <c r="Z484" s="26"/>
      <c r="AA484" s="26"/>
    </row>
    <row r="485" spans="8:27" x14ac:dyDescent="0.2">
      <c r="H485" s="26"/>
      <c r="I485" s="26"/>
      <c r="J485" s="26"/>
      <c r="Z485" s="26"/>
      <c r="AA485" s="26"/>
    </row>
    <row r="486" spans="8:27" x14ac:dyDescent="0.2">
      <c r="H486" s="26"/>
      <c r="I486" s="26"/>
      <c r="J486" s="26"/>
      <c r="Z486" s="26"/>
      <c r="AA486" s="26"/>
    </row>
    <row r="487" spans="8:27" x14ac:dyDescent="0.2">
      <c r="H487" s="26"/>
      <c r="I487" s="26"/>
      <c r="J487" s="26"/>
      <c r="Z487" s="26"/>
      <c r="AA487" s="26"/>
    </row>
    <row r="488" spans="8:27" x14ac:dyDescent="0.2">
      <c r="H488" s="26"/>
      <c r="I488" s="26"/>
      <c r="J488" s="26"/>
      <c r="Z488" s="26"/>
      <c r="AA488" s="26"/>
    </row>
    <row r="489" spans="8:27" x14ac:dyDescent="0.2">
      <c r="H489" s="26"/>
      <c r="I489" s="26"/>
      <c r="J489" s="26"/>
      <c r="Z489" s="26"/>
      <c r="AA489" s="26"/>
    </row>
    <row r="490" spans="8:27" x14ac:dyDescent="0.2">
      <c r="H490" s="26"/>
      <c r="I490" s="26"/>
      <c r="J490" s="26"/>
      <c r="Z490" s="26"/>
      <c r="AA490" s="26"/>
    </row>
    <row r="491" spans="8:27" x14ac:dyDescent="0.2">
      <c r="H491" s="26"/>
      <c r="I491" s="26"/>
      <c r="J491" s="26"/>
      <c r="Z491" s="26"/>
      <c r="AA491" s="26"/>
    </row>
    <row r="492" spans="8:27" x14ac:dyDescent="0.2">
      <c r="H492" s="26"/>
      <c r="I492" s="26"/>
      <c r="J492" s="26"/>
      <c r="Z492" s="26"/>
      <c r="AA492" s="26"/>
    </row>
    <row r="493" spans="8:27" x14ac:dyDescent="0.2">
      <c r="H493" s="26"/>
      <c r="I493" s="26"/>
      <c r="J493" s="26"/>
      <c r="Z493" s="26"/>
      <c r="AA493" s="26"/>
    </row>
    <row r="494" spans="8:27" x14ac:dyDescent="0.2">
      <c r="H494" s="26"/>
      <c r="I494" s="26"/>
      <c r="J494" s="26"/>
      <c r="Z494" s="26"/>
      <c r="AA494" s="26"/>
    </row>
    <row r="495" spans="8:27" x14ac:dyDescent="0.2">
      <c r="H495" s="26"/>
      <c r="I495" s="26"/>
      <c r="J495" s="26"/>
      <c r="Z495" s="26"/>
      <c r="AA495" s="26"/>
    </row>
    <row r="496" spans="8:27" x14ac:dyDescent="0.2">
      <c r="H496" s="26"/>
      <c r="I496" s="26"/>
      <c r="J496" s="26"/>
      <c r="Z496" s="26"/>
      <c r="AA496" s="26"/>
    </row>
    <row r="497" spans="8:27" x14ac:dyDescent="0.2">
      <c r="H497" s="26"/>
      <c r="I497" s="26"/>
      <c r="J497" s="26"/>
      <c r="Z497" s="26"/>
      <c r="AA497" s="26"/>
    </row>
    <row r="498" spans="8:27" x14ac:dyDescent="0.2">
      <c r="H498" s="26"/>
      <c r="I498" s="26"/>
      <c r="J498" s="26"/>
      <c r="Z498" s="26"/>
      <c r="AA498" s="26"/>
    </row>
    <row r="499" spans="8:27" x14ac:dyDescent="0.2">
      <c r="H499" s="26"/>
      <c r="I499" s="26"/>
      <c r="J499" s="26"/>
      <c r="Z499" s="26"/>
      <c r="AA499" s="26"/>
    </row>
    <row r="500" spans="8:27" x14ac:dyDescent="0.2">
      <c r="H500" s="26"/>
      <c r="I500" s="26"/>
      <c r="J500" s="26"/>
      <c r="Z500" s="26"/>
      <c r="AA500" s="26"/>
    </row>
    <row r="501" spans="8:27" x14ac:dyDescent="0.2">
      <c r="H501" s="26"/>
      <c r="I501" s="26"/>
      <c r="J501" s="26"/>
      <c r="Z501" s="26"/>
      <c r="AA501" s="26"/>
    </row>
    <row r="502" spans="8:27" x14ac:dyDescent="0.2">
      <c r="H502" s="26"/>
      <c r="I502" s="26"/>
      <c r="J502" s="26"/>
      <c r="Z502" s="26"/>
      <c r="AA502" s="26"/>
    </row>
    <row r="503" spans="8:27" x14ac:dyDescent="0.2">
      <c r="H503" s="26"/>
      <c r="I503" s="26"/>
      <c r="J503" s="26"/>
      <c r="Z503" s="26"/>
      <c r="AA503" s="26"/>
    </row>
    <row r="504" spans="8:27" x14ac:dyDescent="0.2">
      <c r="H504" s="26"/>
      <c r="I504" s="26"/>
      <c r="J504" s="26"/>
      <c r="Z504" s="26"/>
      <c r="AA504" s="26"/>
    </row>
    <row r="505" spans="8:27" x14ac:dyDescent="0.2">
      <c r="H505" s="26"/>
      <c r="I505" s="26"/>
      <c r="J505" s="26"/>
      <c r="Z505" s="26"/>
      <c r="AA505" s="26"/>
    </row>
    <row r="506" spans="8:27" x14ac:dyDescent="0.2">
      <c r="H506" s="26"/>
      <c r="I506" s="26"/>
      <c r="J506" s="26"/>
      <c r="Z506" s="26"/>
      <c r="AA506" s="26"/>
    </row>
    <row r="507" spans="8:27" x14ac:dyDescent="0.2">
      <c r="H507" s="26"/>
      <c r="I507" s="26"/>
      <c r="J507" s="26"/>
      <c r="Z507" s="26"/>
      <c r="AA507" s="26"/>
    </row>
    <row r="508" spans="8:27" x14ac:dyDescent="0.2">
      <c r="H508" s="26"/>
      <c r="I508" s="26"/>
      <c r="J508" s="26"/>
      <c r="Z508" s="26"/>
      <c r="AA508" s="26"/>
    </row>
    <row r="509" spans="8:27" x14ac:dyDescent="0.2">
      <c r="H509" s="26"/>
      <c r="I509" s="26"/>
      <c r="J509" s="26"/>
      <c r="Z509" s="26"/>
      <c r="AA509" s="26"/>
    </row>
    <row r="510" spans="8:27" x14ac:dyDescent="0.2">
      <c r="H510" s="26"/>
      <c r="I510" s="26"/>
      <c r="J510" s="26"/>
      <c r="Z510" s="26"/>
      <c r="AA510" s="26"/>
    </row>
    <row r="511" spans="8:27" x14ac:dyDescent="0.2">
      <c r="H511" s="26"/>
      <c r="I511" s="26"/>
      <c r="J511" s="26"/>
      <c r="Z511" s="26"/>
      <c r="AA511" s="26"/>
    </row>
    <row r="512" spans="8:27" x14ac:dyDescent="0.2">
      <c r="H512" s="26"/>
      <c r="I512" s="26"/>
      <c r="J512" s="26"/>
      <c r="Z512" s="26"/>
      <c r="AA512" s="26"/>
    </row>
    <row r="513" spans="8:27" x14ac:dyDescent="0.2">
      <c r="H513" s="26"/>
      <c r="I513" s="26"/>
      <c r="J513" s="26"/>
      <c r="Z513" s="26"/>
      <c r="AA513" s="26"/>
    </row>
    <row r="514" spans="8:27" x14ac:dyDescent="0.2">
      <c r="H514" s="26"/>
      <c r="I514" s="26"/>
      <c r="J514" s="26"/>
      <c r="Z514" s="26"/>
      <c r="AA514" s="26"/>
    </row>
    <row r="515" spans="8:27" x14ac:dyDescent="0.2">
      <c r="H515" s="26"/>
      <c r="I515" s="26"/>
      <c r="J515" s="26"/>
      <c r="Z515" s="26"/>
      <c r="AA515" s="26"/>
    </row>
    <row r="516" spans="8:27" x14ac:dyDescent="0.2">
      <c r="H516" s="26"/>
      <c r="I516" s="26"/>
      <c r="J516" s="26"/>
      <c r="Z516" s="26"/>
      <c r="AA516" s="26"/>
    </row>
    <row r="517" spans="8:27" x14ac:dyDescent="0.2">
      <c r="H517" s="26"/>
      <c r="I517" s="26"/>
      <c r="J517" s="26"/>
      <c r="Z517" s="26"/>
      <c r="AA517" s="26"/>
    </row>
    <row r="518" spans="8:27" x14ac:dyDescent="0.2">
      <c r="H518" s="26"/>
      <c r="I518" s="26"/>
      <c r="J518" s="26"/>
      <c r="Z518" s="26"/>
      <c r="AA518" s="26"/>
    </row>
    <row r="519" spans="8:27" x14ac:dyDescent="0.2">
      <c r="H519" s="26"/>
      <c r="I519" s="26"/>
      <c r="J519" s="26"/>
      <c r="Z519" s="26"/>
      <c r="AA519" s="26"/>
    </row>
    <row r="520" spans="8:27" x14ac:dyDescent="0.2">
      <c r="H520" s="26"/>
      <c r="I520" s="26"/>
      <c r="J520" s="26"/>
      <c r="Z520" s="26"/>
      <c r="AA520" s="26"/>
    </row>
    <row r="521" spans="8:27" x14ac:dyDescent="0.2">
      <c r="H521" s="26"/>
      <c r="I521" s="26"/>
      <c r="J521" s="26"/>
      <c r="Z521" s="26"/>
      <c r="AA521" s="26"/>
    </row>
    <row r="522" spans="8:27" x14ac:dyDescent="0.2">
      <c r="H522" s="26"/>
      <c r="I522" s="26"/>
      <c r="J522" s="26"/>
      <c r="Z522" s="26"/>
      <c r="AA522" s="26"/>
    </row>
    <row r="523" spans="8:27" x14ac:dyDescent="0.2">
      <c r="H523" s="26"/>
      <c r="I523" s="26"/>
      <c r="J523" s="26"/>
      <c r="Z523" s="26"/>
      <c r="AA523" s="26"/>
    </row>
    <row r="524" spans="8:27" x14ac:dyDescent="0.2">
      <c r="H524" s="26"/>
      <c r="I524" s="26"/>
      <c r="J524" s="26"/>
      <c r="Z524" s="26"/>
      <c r="AA524" s="26"/>
    </row>
    <row r="525" spans="8:27" x14ac:dyDescent="0.2">
      <c r="H525" s="26"/>
      <c r="I525" s="26"/>
      <c r="J525" s="26"/>
      <c r="Z525" s="26"/>
      <c r="AA525" s="26"/>
    </row>
    <row r="526" spans="8:27" x14ac:dyDescent="0.2">
      <c r="H526" s="26"/>
      <c r="I526" s="26"/>
      <c r="J526" s="26"/>
      <c r="Z526" s="26"/>
      <c r="AA526" s="26"/>
    </row>
    <row r="527" spans="8:27" x14ac:dyDescent="0.2">
      <c r="H527" s="26"/>
      <c r="I527" s="26"/>
      <c r="J527" s="26"/>
      <c r="Z527" s="26"/>
      <c r="AA527" s="26"/>
    </row>
    <row r="528" spans="8:27" x14ac:dyDescent="0.2">
      <c r="H528" s="26"/>
      <c r="I528" s="26"/>
      <c r="J528" s="26"/>
      <c r="Z528" s="26"/>
      <c r="AA528" s="26"/>
    </row>
    <row r="529" spans="8:27" x14ac:dyDescent="0.2">
      <c r="H529" s="26"/>
      <c r="I529" s="26"/>
      <c r="J529" s="26"/>
      <c r="Z529" s="26"/>
      <c r="AA529" s="26"/>
    </row>
    <row r="530" spans="8:27" x14ac:dyDescent="0.2">
      <c r="H530" s="26"/>
      <c r="I530" s="26"/>
      <c r="J530" s="26"/>
      <c r="Z530" s="26"/>
      <c r="AA530" s="26"/>
    </row>
    <row r="531" spans="8:27" x14ac:dyDescent="0.2">
      <c r="H531" s="26"/>
      <c r="I531" s="26"/>
      <c r="J531" s="26"/>
      <c r="Z531" s="26"/>
      <c r="AA531" s="26"/>
    </row>
    <row r="532" spans="8:27" x14ac:dyDescent="0.2">
      <c r="H532" s="26"/>
      <c r="I532" s="26"/>
      <c r="J532" s="26"/>
      <c r="Z532" s="26"/>
      <c r="AA532" s="26"/>
    </row>
    <row r="533" spans="8:27" x14ac:dyDescent="0.2">
      <c r="H533" s="26"/>
      <c r="I533" s="26"/>
      <c r="J533" s="26"/>
      <c r="Z533" s="26"/>
      <c r="AA533" s="26"/>
    </row>
    <row r="534" spans="8:27" x14ac:dyDescent="0.2">
      <c r="H534" s="26"/>
      <c r="I534" s="26"/>
      <c r="J534" s="26"/>
      <c r="Z534" s="26"/>
      <c r="AA534" s="26"/>
    </row>
    <row r="535" spans="8:27" x14ac:dyDescent="0.2">
      <c r="H535" s="26"/>
      <c r="I535" s="26"/>
      <c r="J535" s="26"/>
      <c r="Z535" s="26"/>
      <c r="AA535" s="26"/>
    </row>
    <row r="536" spans="8:27" x14ac:dyDescent="0.2">
      <c r="H536" s="26"/>
      <c r="I536" s="26"/>
      <c r="J536" s="26"/>
      <c r="Z536" s="26"/>
      <c r="AA536" s="26"/>
    </row>
    <row r="537" spans="8:27" x14ac:dyDescent="0.2">
      <c r="H537" s="26"/>
      <c r="I537" s="26"/>
      <c r="J537" s="26"/>
      <c r="Z537" s="26"/>
      <c r="AA537" s="26"/>
    </row>
    <row r="538" spans="8:27" x14ac:dyDescent="0.2">
      <c r="H538" s="26"/>
      <c r="I538" s="26"/>
      <c r="J538" s="26"/>
      <c r="Z538" s="26"/>
      <c r="AA538" s="26"/>
    </row>
    <row r="539" spans="8:27" x14ac:dyDescent="0.2">
      <c r="H539" s="26"/>
      <c r="I539" s="26"/>
      <c r="J539" s="26"/>
      <c r="Z539" s="26"/>
      <c r="AA539" s="26"/>
    </row>
    <row r="540" spans="8:27" x14ac:dyDescent="0.2">
      <c r="H540" s="26"/>
      <c r="I540" s="26"/>
      <c r="J540" s="26"/>
      <c r="Z540" s="26"/>
      <c r="AA540" s="26"/>
    </row>
    <row r="541" spans="8:27" x14ac:dyDescent="0.2">
      <c r="H541" s="26"/>
      <c r="I541" s="26"/>
      <c r="J541" s="26"/>
      <c r="Z541" s="26"/>
      <c r="AA541" s="26"/>
    </row>
    <row r="542" spans="8:27" x14ac:dyDescent="0.2">
      <c r="H542" s="26"/>
      <c r="I542" s="26"/>
      <c r="J542" s="26"/>
      <c r="Z542" s="26"/>
      <c r="AA542" s="26"/>
    </row>
    <row r="543" spans="8:27" x14ac:dyDescent="0.2">
      <c r="H543" s="26"/>
      <c r="I543" s="26"/>
      <c r="J543" s="26"/>
      <c r="Z543" s="26"/>
      <c r="AA543" s="26"/>
    </row>
    <row r="544" spans="8:27" x14ac:dyDescent="0.2">
      <c r="H544" s="26"/>
      <c r="I544" s="26"/>
      <c r="J544" s="26"/>
      <c r="Z544" s="26"/>
      <c r="AA544" s="26"/>
    </row>
    <row r="545" spans="8:27" x14ac:dyDescent="0.2">
      <c r="H545" s="26"/>
      <c r="I545" s="26"/>
      <c r="J545" s="26"/>
      <c r="Z545" s="26"/>
      <c r="AA545" s="26"/>
    </row>
    <row r="546" spans="8:27" x14ac:dyDescent="0.2">
      <c r="H546" s="26"/>
      <c r="I546" s="26"/>
      <c r="J546" s="26"/>
      <c r="Z546" s="26"/>
      <c r="AA546" s="26"/>
    </row>
    <row r="547" spans="8:27" x14ac:dyDescent="0.2">
      <c r="H547" s="26"/>
      <c r="I547" s="26"/>
      <c r="J547" s="26"/>
      <c r="Z547" s="26"/>
      <c r="AA547" s="26"/>
    </row>
    <row r="548" spans="8:27" x14ac:dyDescent="0.2">
      <c r="H548" s="26"/>
      <c r="I548" s="26"/>
      <c r="J548" s="26"/>
      <c r="Z548" s="26"/>
      <c r="AA548" s="26"/>
    </row>
    <row r="549" spans="8:27" x14ac:dyDescent="0.2">
      <c r="H549" s="26"/>
      <c r="I549" s="26"/>
      <c r="J549" s="26"/>
      <c r="Z549" s="26"/>
      <c r="AA549" s="26"/>
    </row>
    <row r="550" spans="8:27" x14ac:dyDescent="0.2">
      <c r="H550" s="26"/>
      <c r="I550" s="26"/>
      <c r="J550" s="26"/>
      <c r="Z550" s="26"/>
      <c r="AA550" s="26"/>
    </row>
    <row r="551" spans="8:27" x14ac:dyDescent="0.2">
      <c r="H551" s="26"/>
      <c r="I551" s="26"/>
      <c r="J551" s="26"/>
      <c r="Z551" s="26"/>
      <c r="AA551" s="26"/>
    </row>
    <row r="552" spans="8:27" x14ac:dyDescent="0.2">
      <c r="H552" s="26"/>
      <c r="I552" s="26"/>
      <c r="J552" s="26"/>
      <c r="Z552" s="26"/>
      <c r="AA552" s="26"/>
    </row>
    <row r="553" spans="8:27" x14ac:dyDescent="0.2">
      <c r="H553" s="26"/>
      <c r="I553" s="26"/>
      <c r="J553" s="26"/>
      <c r="Z553" s="26"/>
      <c r="AA553" s="26"/>
    </row>
    <row r="554" spans="8:27" x14ac:dyDescent="0.2">
      <c r="H554" s="26"/>
      <c r="I554" s="26"/>
      <c r="J554" s="26"/>
      <c r="Z554" s="26"/>
      <c r="AA554" s="26"/>
    </row>
    <row r="555" spans="8:27" x14ac:dyDescent="0.2">
      <c r="H555" s="26"/>
      <c r="I555" s="26"/>
      <c r="J555" s="26"/>
      <c r="Z555" s="26"/>
      <c r="AA555" s="26"/>
    </row>
    <row r="556" spans="8:27" x14ac:dyDescent="0.2">
      <c r="H556" s="26"/>
      <c r="I556" s="26"/>
      <c r="J556" s="26"/>
      <c r="Z556" s="26"/>
      <c r="AA556" s="26"/>
    </row>
    <row r="557" spans="8:27" x14ac:dyDescent="0.2">
      <c r="H557" s="26"/>
      <c r="I557" s="26"/>
      <c r="J557" s="26"/>
      <c r="Z557" s="26"/>
      <c r="AA557" s="26"/>
    </row>
    <row r="558" spans="8:27" x14ac:dyDescent="0.2">
      <c r="H558" s="26"/>
      <c r="I558" s="26"/>
      <c r="J558" s="26"/>
      <c r="Z558" s="26"/>
      <c r="AA558" s="26"/>
    </row>
    <row r="559" spans="8:27" x14ac:dyDescent="0.2">
      <c r="H559" s="26"/>
      <c r="I559" s="26"/>
      <c r="J559" s="26"/>
      <c r="Z559" s="26"/>
      <c r="AA559" s="26"/>
    </row>
    <row r="560" spans="8:27" x14ac:dyDescent="0.2">
      <c r="H560" s="26"/>
      <c r="I560" s="26"/>
      <c r="J560" s="26"/>
      <c r="Z560" s="26"/>
      <c r="AA560" s="26"/>
    </row>
    <row r="561" spans="8:27" x14ac:dyDescent="0.2">
      <c r="H561" s="26"/>
      <c r="I561" s="26"/>
      <c r="J561" s="26"/>
      <c r="Z561" s="26"/>
      <c r="AA561" s="26"/>
    </row>
    <row r="562" spans="8:27" x14ac:dyDescent="0.2">
      <c r="H562" s="26"/>
      <c r="I562" s="26"/>
      <c r="J562" s="26"/>
      <c r="Z562" s="26"/>
      <c r="AA562" s="26"/>
    </row>
    <row r="563" spans="8:27" x14ac:dyDescent="0.2">
      <c r="H563" s="26"/>
      <c r="I563" s="26"/>
      <c r="J563" s="26"/>
      <c r="Z563" s="26"/>
      <c r="AA563" s="26"/>
    </row>
    <row r="564" spans="8:27" x14ac:dyDescent="0.2">
      <c r="H564" s="26"/>
      <c r="I564" s="26"/>
      <c r="J564" s="26"/>
      <c r="Z564" s="26"/>
      <c r="AA564" s="26"/>
    </row>
    <row r="565" spans="8:27" x14ac:dyDescent="0.2">
      <c r="H565" s="26"/>
      <c r="I565" s="26"/>
      <c r="J565" s="26"/>
      <c r="Z565" s="26"/>
      <c r="AA565" s="26"/>
    </row>
    <row r="566" spans="8:27" x14ac:dyDescent="0.2">
      <c r="H566" s="26"/>
      <c r="I566" s="26"/>
      <c r="J566" s="26"/>
      <c r="Z566" s="26"/>
      <c r="AA566" s="26"/>
    </row>
    <row r="567" spans="8:27" x14ac:dyDescent="0.2">
      <c r="H567" s="26"/>
      <c r="I567" s="26"/>
      <c r="J567" s="26"/>
      <c r="Z567" s="26"/>
      <c r="AA567" s="26"/>
    </row>
    <row r="568" spans="8:27" x14ac:dyDescent="0.2">
      <c r="H568" s="26"/>
      <c r="I568" s="26"/>
      <c r="J568" s="26"/>
      <c r="Z568" s="26"/>
      <c r="AA568" s="26"/>
    </row>
    <row r="569" spans="8:27" x14ac:dyDescent="0.2">
      <c r="H569" s="26"/>
      <c r="I569" s="26"/>
      <c r="J569" s="26"/>
      <c r="Z569" s="26"/>
      <c r="AA569" s="26"/>
    </row>
    <row r="570" spans="8:27" x14ac:dyDescent="0.2">
      <c r="H570" s="26"/>
      <c r="I570" s="26"/>
      <c r="J570" s="26"/>
      <c r="Z570" s="26"/>
      <c r="AA570" s="26"/>
    </row>
    <row r="571" spans="8:27" x14ac:dyDescent="0.2">
      <c r="H571" s="26"/>
      <c r="I571" s="26"/>
      <c r="J571" s="26"/>
      <c r="Z571" s="26"/>
      <c r="AA571" s="26"/>
    </row>
    <row r="572" spans="8:27" x14ac:dyDescent="0.2">
      <c r="H572" s="26"/>
      <c r="I572" s="26"/>
      <c r="J572" s="26"/>
      <c r="Z572" s="26"/>
      <c r="AA572" s="26"/>
    </row>
    <row r="573" spans="8:27" x14ac:dyDescent="0.2">
      <c r="H573" s="26"/>
      <c r="I573" s="26"/>
      <c r="J573" s="26"/>
      <c r="Z573" s="26"/>
      <c r="AA573" s="26"/>
    </row>
    <row r="574" spans="8:27" x14ac:dyDescent="0.2">
      <c r="H574" s="26"/>
      <c r="I574" s="26"/>
      <c r="J574" s="26"/>
      <c r="Z574" s="26"/>
      <c r="AA574" s="26"/>
    </row>
    <row r="575" spans="8:27" x14ac:dyDescent="0.2">
      <c r="H575" s="26"/>
      <c r="I575" s="26"/>
      <c r="J575" s="26"/>
      <c r="Z575" s="26"/>
      <c r="AA575" s="26"/>
    </row>
    <row r="576" spans="8:27" x14ac:dyDescent="0.2">
      <c r="H576" s="26"/>
      <c r="I576" s="26"/>
      <c r="J576" s="26"/>
      <c r="Z576" s="26"/>
      <c r="AA576" s="26"/>
    </row>
    <row r="577" spans="8:27" x14ac:dyDescent="0.2">
      <c r="H577" s="26"/>
      <c r="I577" s="26"/>
      <c r="J577" s="26"/>
      <c r="Z577" s="26"/>
      <c r="AA577" s="26"/>
    </row>
    <row r="578" spans="8:27" x14ac:dyDescent="0.2">
      <c r="H578" s="26"/>
      <c r="I578" s="26"/>
      <c r="J578" s="26"/>
      <c r="Z578" s="26"/>
      <c r="AA578" s="26"/>
    </row>
    <row r="579" spans="8:27" x14ac:dyDescent="0.2">
      <c r="H579" s="26"/>
      <c r="I579" s="26"/>
      <c r="J579" s="26"/>
      <c r="Z579" s="26"/>
      <c r="AA579" s="26"/>
    </row>
    <row r="580" spans="8:27" x14ac:dyDescent="0.2">
      <c r="H580" s="26"/>
      <c r="I580" s="26"/>
      <c r="J580" s="26"/>
      <c r="Z580" s="26"/>
      <c r="AA580" s="26"/>
    </row>
    <row r="581" spans="8:27" x14ac:dyDescent="0.2">
      <c r="H581" s="26"/>
      <c r="I581" s="26"/>
      <c r="J581" s="26"/>
      <c r="Z581" s="26"/>
      <c r="AA581" s="26"/>
    </row>
    <row r="582" spans="8:27" x14ac:dyDescent="0.2">
      <c r="H582" s="26"/>
      <c r="I582" s="26"/>
      <c r="J582" s="26"/>
      <c r="Z582" s="26"/>
      <c r="AA582" s="26"/>
    </row>
    <row r="583" spans="8:27" x14ac:dyDescent="0.2">
      <c r="H583" s="26"/>
      <c r="I583" s="26"/>
      <c r="J583" s="26"/>
      <c r="Z583" s="26"/>
      <c r="AA583" s="26"/>
    </row>
    <row r="584" spans="8:27" x14ac:dyDescent="0.2">
      <c r="H584" s="26"/>
      <c r="I584" s="26"/>
      <c r="J584" s="26"/>
      <c r="Z584" s="26"/>
      <c r="AA584" s="26"/>
    </row>
    <row r="585" spans="8:27" x14ac:dyDescent="0.2">
      <c r="H585" s="26"/>
      <c r="I585" s="26"/>
      <c r="J585" s="26"/>
      <c r="Z585" s="26"/>
      <c r="AA585" s="26"/>
    </row>
    <row r="586" spans="8:27" x14ac:dyDescent="0.2">
      <c r="H586" s="26"/>
      <c r="I586" s="26"/>
      <c r="J586" s="26"/>
      <c r="Z586" s="26"/>
      <c r="AA586" s="26"/>
    </row>
    <row r="587" spans="8:27" x14ac:dyDescent="0.2">
      <c r="H587" s="26"/>
      <c r="I587" s="26"/>
      <c r="J587" s="26"/>
      <c r="Z587" s="26"/>
      <c r="AA587" s="26"/>
    </row>
    <row r="588" spans="8:27" x14ac:dyDescent="0.2">
      <c r="H588" s="26"/>
      <c r="I588" s="26"/>
      <c r="J588" s="26"/>
      <c r="Z588" s="26"/>
      <c r="AA588" s="26"/>
    </row>
    <row r="589" spans="8:27" x14ac:dyDescent="0.2">
      <c r="H589" s="26"/>
      <c r="I589" s="26"/>
      <c r="J589" s="26"/>
      <c r="Z589" s="26"/>
      <c r="AA589" s="26"/>
    </row>
    <row r="590" spans="8:27" x14ac:dyDescent="0.2">
      <c r="H590" s="26"/>
      <c r="I590" s="26"/>
      <c r="J590" s="26"/>
      <c r="Z590" s="26"/>
      <c r="AA590" s="26"/>
    </row>
    <row r="591" spans="8:27" x14ac:dyDescent="0.2">
      <c r="H591" s="26"/>
      <c r="I591" s="26"/>
      <c r="J591" s="26"/>
      <c r="Z591" s="26"/>
      <c r="AA591" s="26"/>
    </row>
    <row r="592" spans="8:27" x14ac:dyDescent="0.2">
      <c r="H592" s="26"/>
      <c r="I592" s="26"/>
      <c r="J592" s="26"/>
      <c r="Z592" s="26"/>
      <c r="AA592" s="26"/>
    </row>
    <row r="593" spans="8:27" x14ac:dyDescent="0.2">
      <c r="H593" s="26"/>
      <c r="I593" s="26"/>
      <c r="J593" s="26"/>
      <c r="Z593" s="26"/>
      <c r="AA593" s="26"/>
    </row>
    <row r="594" spans="8:27" x14ac:dyDescent="0.2">
      <c r="H594" s="26"/>
      <c r="I594" s="26"/>
      <c r="J594" s="26"/>
      <c r="Z594" s="26"/>
      <c r="AA594" s="26"/>
    </row>
    <row r="595" spans="8:27" x14ac:dyDescent="0.2">
      <c r="H595" s="26"/>
      <c r="I595" s="26"/>
      <c r="J595" s="26"/>
      <c r="Z595" s="26"/>
      <c r="AA595" s="26"/>
    </row>
    <row r="596" spans="8:27" x14ac:dyDescent="0.2">
      <c r="H596" s="26"/>
      <c r="I596" s="26"/>
      <c r="J596" s="26"/>
      <c r="Z596" s="26"/>
      <c r="AA596" s="26"/>
    </row>
    <row r="597" spans="8:27" x14ac:dyDescent="0.2">
      <c r="H597" s="26"/>
      <c r="I597" s="26"/>
      <c r="J597" s="26"/>
      <c r="Z597" s="26"/>
      <c r="AA597" s="26"/>
    </row>
    <row r="598" spans="8:27" x14ac:dyDescent="0.2">
      <c r="H598" s="26"/>
      <c r="I598" s="26"/>
      <c r="J598" s="26"/>
      <c r="Z598" s="26"/>
      <c r="AA598" s="26"/>
    </row>
    <row r="599" spans="8:27" x14ac:dyDescent="0.2">
      <c r="H599" s="26"/>
      <c r="I599" s="26"/>
      <c r="J599" s="26"/>
      <c r="Z599" s="26"/>
      <c r="AA599" s="26"/>
    </row>
    <row r="600" spans="8:27" x14ac:dyDescent="0.2">
      <c r="H600" s="26"/>
      <c r="I600" s="26"/>
      <c r="J600" s="26"/>
      <c r="Z600" s="26"/>
      <c r="AA600" s="26"/>
    </row>
    <row r="601" spans="8:27" x14ac:dyDescent="0.2">
      <c r="H601" s="26"/>
      <c r="I601" s="26"/>
      <c r="J601" s="26"/>
      <c r="Z601" s="26"/>
      <c r="AA601" s="26"/>
    </row>
    <row r="602" spans="8:27" x14ac:dyDescent="0.2">
      <c r="H602" s="26"/>
      <c r="I602" s="26"/>
      <c r="J602" s="26"/>
      <c r="Z602" s="26"/>
      <c r="AA602" s="26"/>
    </row>
    <row r="603" spans="8:27" x14ac:dyDescent="0.2">
      <c r="H603" s="26"/>
      <c r="I603" s="26"/>
      <c r="J603" s="26"/>
      <c r="Z603" s="26"/>
      <c r="AA603" s="26"/>
    </row>
    <row r="604" spans="8:27" x14ac:dyDescent="0.2">
      <c r="H604" s="26"/>
      <c r="I604" s="26"/>
      <c r="J604" s="26"/>
      <c r="Z604" s="26"/>
      <c r="AA604" s="26"/>
    </row>
    <row r="605" spans="8:27" x14ac:dyDescent="0.2">
      <c r="H605" s="26"/>
      <c r="I605" s="26"/>
      <c r="J605" s="26"/>
      <c r="Z605" s="26"/>
      <c r="AA605" s="26"/>
    </row>
    <row r="606" spans="8:27" x14ac:dyDescent="0.2">
      <c r="H606" s="26"/>
      <c r="I606" s="26"/>
      <c r="J606" s="26"/>
      <c r="Z606" s="26"/>
      <c r="AA606" s="26"/>
    </row>
    <row r="607" spans="8:27" x14ac:dyDescent="0.2">
      <c r="H607" s="26"/>
      <c r="I607" s="26"/>
      <c r="J607" s="26"/>
      <c r="Z607" s="26"/>
      <c r="AA607" s="26"/>
    </row>
    <row r="608" spans="8:27" x14ac:dyDescent="0.2">
      <c r="H608" s="26"/>
      <c r="I608" s="26"/>
      <c r="J608" s="26"/>
      <c r="Z608" s="26"/>
      <c r="AA608" s="26"/>
    </row>
    <row r="609" spans="8:27" x14ac:dyDescent="0.2">
      <c r="H609" s="26"/>
      <c r="I609" s="26"/>
      <c r="J609" s="26"/>
      <c r="Z609" s="26"/>
      <c r="AA609" s="26"/>
    </row>
    <row r="610" spans="8:27" x14ac:dyDescent="0.2">
      <c r="H610" s="26"/>
      <c r="I610" s="26"/>
      <c r="J610" s="26"/>
      <c r="Z610" s="26"/>
      <c r="AA610" s="26"/>
    </row>
    <row r="611" spans="8:27" x14ac:dyDescent="0.2">
      <c r="H611" s="26"/>
      <c r="I611" s="26"/>
      <c r="J611" s="26"/>
      <c r="Z611" s="26"/>
      <c r="AA611" s="26"/>
    </row>
    <row r="612" spans="8:27" x14ac:dyDescent="0.2">
      <c r="H612" s="26"/>
      <c r="I612" s="26"/>
      <c r="J612" s="26"/>
      <c r="Z612" s="26"/>
      <c r="AA612" s="26"/>
    </row>
    <row r="613" spans="8:27" x14ac:dyDescent="0.2">
      <c r="H613" s="26"/>
      <c r="I613" s="26"/>
      <c r="J613" s="26"/>
      <c r="Z613" s="26"/>
      <c r="AA613" s="26"/>
    </row>
    <row r="614" spans="8:27" x14ac:dyDescent="0.2">
      <c r="H614" s="26"/>
      <c r="I614" s="26"/>
      <c r="J614" s="26"/>
      <c r="Z614" s="26"/>
      <c r="AA614" s="26"/>
    </row>
    <row r="615" spans="8:27" x14ac:dyDescent="0.2">
      <c r="H615" s="26"/>
      <c r="I615" s="26"/>
      <c r="J615" s="26"/>
      <c r="Z615" s="26"/>
      <c r="AA615" s="26"/>
    </row>
    <row r="616" spans="8:27" x14ac:dyDescent="0.2">
      <c r="H616" s="26"/>
      <c r="I616" s="26"/>
      <c r="J616" s="26"/>
      <c r="Z616" s="26"/>
      <c r="AA616" s="26"/>
    </row>
    <row r="617" spans="8:27" x14ac:dyDescent="0.2">
      <c r="H617" s="26"/>
      <c r="I617" s="26"/>
      <c r="J617" s="26"/>
      <c r="Z617" s="26"/>
      <c r="AA617" s="26"/>
    </row>
    <row r="618" spans="8:27" x14ac:dyDescent="0.2">
      <c r="H618" s="26"/>
      <c r="I618" s="26"/>
      <c r="J618" s="26"/>
      <c r="Z618" s="26"/>
      <c r="AA618" s="26"/>
    </row>
    <row r="619" spans="8:27" x14ac:dyDescent="0.2">
      <c r="H619" s="26"/>
      <c r="I619" s="26"/>
      <c r="J619" s="26"/>
      <c r="Z619" s="26"/>
      <c r="AA619" s="26"/>
    </row>
    <row r="620" spans="8:27" x14ac:dyDescent="0.2">
      <c r="H620" s="26"/>
      <c r="I620" s="26"/>
      <c r="J620" s="26"/>
      <c r="Z620" s="26"/>
      <c r="AA620" s="26"/>
    </row>
    <row r="621" spans="8:27" x14ac:dyDescent="0.2">
      <c r="H621" s="26"/>
      <c r="I621" s="26"/>
      <c r="J621" s="26"/>
      <c r="Z621" s="26"/>
      <c r="AA621" s="26"/>
    </row>
    <row r="622" spans="8:27" x14ac:dyDescent="0.2">
      <c r="H622" s="26"/>
      <c r="I622" s="26"/>
      <c r="J622" s="26"/>
      <c r="Z622" s="26"/>
      <c r="AA622" s="26"/>
    </row>
    <row r="623" spans="8:27" x14ac:dyDescent="0.2">
      <c r="H623" s="26"/>
      <c r="I623" s="26"/>
      <c r="J623" s="26"/>
      <c r="Z623" s="26"/>
      <c r="AA623" s="26"/>
    </row>
    <row r="624" spans="8:27" x14ac:dyDescent="0.2">
      <c r="H624" s="26"/>
      <c r="I624" s="26"/>
      <c r="J624" s="26"/>
      <c r="Z624" s="26"/>
      <c r="AA624" s="26"/>
    </row>
    <row r="625" spans="8:27" x14ac:dyDescent="0.2">
      <c r="H625" s="26"/>
      <c r="I625" s="26"/>
      <c r="J625" s="26"/>
      <c r="Z625" s="26"/>
      <c r="AA625" s="26"/>
    </row>
    <row r="626" spans="8:27" x14ac:dyDescent="0.2">
      <c r="H626" s="26"/>
      <c r="I626" s="26"/>
      <c r="J626" s="26"/>
      <c r="Z626" s="26"/>
      <c r="AA626" s="26"/>
    </row>
    <row r="627" spans="8:27" x14ac:dyDescent="0.2">
      <c r="H627" s="26"/>
      <c r="I627" s="26"/>
      <c r="J627" s="26"/>
      <c r="Z627" s="26"/>
      <c r="AA627" s="26"/>
    </row>
    <row r="628" spans="8:27" x14ac:dyDescent="0.2">
      <c r="H628" s="26"/>
      <c r="I628" s="26"/>
      <c r="J628" s="26"/>
      <c r="Z628" s="26"/>
      <c r="AA628" s="26"/>
    </row>
    <row r="629" spans="8:27" x14ac:dyDescent="0.2">
      <c r="H629" s="26"/>
      <c r="I629" s="26"/>
      <c r="J629" s="26"/>
      <c r="Z629" s="26"/>
      <c r="AA629" s="26"/>
    </row>
    <row r="630" spans="8:27" x14ac:dyDescent="0.2">
      <c r="H630" s="26"/>
      <c r="I630" s="26"/>
      <c r="J630" s="26"/>
      <c r="Z630" s="26"/>
      <c r="AA630" s="26"/>
    </row>
    <row r="631" spans="8:27" x14ac:dyDescent="0.2">
      <c r="H631" s="26"/>
      <c r="I631" s="26"/>
      <c r="J631" s="26"/>
      <c r="Z631" s="26"/>
      <c r="AA631" s="26"/>
    </row>
    <row r="632" spans="8:27" x14ac:dyDescent="0.2">
      <c r="H632" s="26"/>
      <c r="I632" s="26"/>
      <c r="J632" s="26"/>
      <c r="Z632" s="26"/>
      <c r="AA632" s="26"/>
    </row>
    <row r="633" spans="8:27" x14ac:dyDescent="0.2">
      <c r="H633" s="26"/>
      <c r="I633" s="26"/>
      <c r="J633" s="26"/>
      <c r="Z633" s="26"/>
      <c r="AA633" s="26"/>
    </row>
    <row r="634" spans="8:27" x14ac:dyDescent="0.2">
      <c r="H634" s="26"/>
      <c r="I634" s="26"/>
      <c r="J634" s="26"/>
      <c r="Z634" s="26"/>
      <c r="AA634" s="26"/>
    </row>
    <row r="635" spans="8:27" x14ac:dyDescent="0.2">
      <c r="H635" s="26"/>
      <c r="I635" s="26"/>
      <c r="J635" s="26"/>
      <c r="Z635" s="26"/>
      <c r="AA635" s="26"/>
    </row>
    <row r="636" spans="8:27" x14ac:dyDescent="0.2">
      <c r="H636" s="26"/>
      <c r="I636" s="26"/>
      <c r="J636" s="26"/>
      <c r="Z636" s="26"/>
      <c r="AA636" s="26"/>
    </row>
    <row r="637" spans="8:27" x14ac:dyDescent="0.2">
      <c r="H637" s="26"/>
      <c r="I637" s="26"/>
      <c r="J637" s="26"/>
      <c r="Z637" s="26"/>
      <c r="AA637" s="26"/>
    </row>
    <row r="638" spans="8:27" x14ac:dyDescent="0.2">
      <c r="H638" s="26"/>
      <c r="I638" s="26"/>
      <c r="J638" s="26"/>
      <c r="Z638" s="26"/>
      <c r="AA638" s="26"/>
    </row>
    <row r="639" spans="8:27" x14ac:dyDescent="0.2">
      <c r="H639" s="26"/>
      <c r="I639" s="26"/>
      <c r="J639" s="26"/>
      <c r="Z639" s="26"/>
      <c r="AA639" s="26"/>
    </row>
    <row r="640" spans="8:27" x14ac:dyDescent="0.2">
      <c r="H640" s="26"/>
      <c r="I640" s="26"/>
      <c r="J640" s="26"/>
      <c r="Z640" s="26"/>
      <c r="AA640" s="26"/>
    </row>
    <row r="641" spans="8:27" x14ac:dyDescent="0.2">
      <c r="H641" s="26"/>
      <c r="I641" s="26"/>
      <c r="J641" s="26"/>
      <c r="Z641" s="26"/>
      <c r="AA641" s="26"/>
    </row>
    <row r="642" spans="8:27" x14ac:dyDescent="0.2">
      <c r="H642" s="26"/>
      <c r="I642" s="26"/>
      <c r="J642" s="26"/>
      <c r="Z642" s="26"/>
      <c r="AA642" s="26"/>
    </row>
    <row r="643" spans="8:27" x14ac:dyDescent="0.2">
      <c r="H643" s="26"/>
      <c r="I643" s="26"/>
      <c r="J643" s="26"/>
      <c r="Z643" s="26"/>
      <c r="AA643" s="26"/>
    </row>
    <row r="644" spans="8:27" x14ac:dyDescent="0.2">
      <c r="H644" s="26"/>
      <c r="I644" s="26"/>
      <c r="J644" s="26"/>
      <c r="Z644" s="26"/>
      <c r="AA644" s="26"/>
    </row>
    <row r="645" spans="8:27" x14ac:dyDescent="0.2">
      <c r="H645" s="26"/>
      <c r="I645" s="26"/>
      <c r="J645" s="26"/>
      <c r="Z645" s="26"/>
      <c r="AA645" s="26"/>
    </row>
    <row r="646" spans="8:27" x14ac:dyDescent="0.2">
      <c r="H646" s="26"/>
      <c r="I646" s="26"/>
      <c r="J646" s="26"/>
      <c r="Z646" s="26"/>
      <c r="AA646" s="26"/>
    </row>
    <row r="647" spans="8:27" x14ac:dyDescent="0.2">
      <c r="H647" s="26"/>
      <c r="I647" s="26"/>
      <c r="J647" s="26"/>
      <c r="Z647" s="26"/>
      <c r="AA647" s="26"/>
    </row>
    <row r="648" spans="8:27" x14ac:dyDescent="0.2">
      <c r="H648" s="26"/>
      <c r="I648" s="26"/>
      <c r="J648" s="26"/>
      <c r="Z648" s="26"/>
      <c r="AA648" s="26"/>
    </row>
    <row r="649" spans="8:27" x14ac:dyDescent="0.2">
      <c r="H649" s="26"/>
      <c r="I649" s="26"/>
      <c r="J649" s="26"/>
      <c r="Z649" s="26"/>
      <c r="AA649" s="26"/>
    </row>
    <row r="650" spans="8:27" x14ac:dyDescent="0.2">
      <c r="H650" s="26"/>
      <c r="I650" s="26"/>
      <c r="J650" s="26"/>
      <c r="Z650" s="26"/>
      <c r="AA650" s="26"/>
    </row>
    <row r="651" spans="8:27" x14ac:dyDescent="0.2">
      <c r="H651" s="26"/>
      <c r="I651" s="26"/>
      <c r="J651" s="26"/>
      <c r="Z651" s="26"/>
      <c r="AA651" s="26"/>
    </row>
    <row r="652" spans="8:27" x14ac:dyDescent="0.2">
      <c r="H652" s="26"/>
      <c r="I652" s="26"/>
      <c r="J652" s="26"/>
      <c r="Z652" s="26"/>
      <c r="AA652" s="26"/>
    </row>
    <row r="653" spans="8:27" x14ac:dyDescent="0.2">
      <c r="H653" s="26"/>
      <c r="I653" s="26"/>
      <c r="J653" s="26"/>
      <c r="Z653" s="26"/>
      <c r="AA653" s="26"/>
    </row>
    <row r="654" spans="8:27" x14ac:dyDescent="0.2">
      <c r="H654" s="26"/>
      <c r="I654" s="26"/>
      <c r="J654" s="26"/>
      <c r="Z654" s="26"/>
      <c r="AA654" s="26"/>
    </row>
    <row r="655" spans="8:27" x14ac:dyDescent="0.2">
      <c r="H655" s="26"/>
      <c r="I655" s="26"/>
      <c r="J655" s="26"/>
      <c r="Z655" s="26"/>
      <c r="AA655" s="26"/>
    </row>
    <row r="656" spans="8:27" x14ac:dyDescent="0.2">
      <c r="H656" s="26"/>
      <c r="I656" s="26"/>
      <c r="J656" s="26"/>
      <c r="Z656" s="26"/>
      <c r="AA656" s="26"/>
    </row>
    <row r="657" spans="8:27" x14ac:dyDescent="0.2">
      <c r="H657" s="26"/>
      <c r="I657" s="26"/>
      <c r="J657" s="26"/>
      <c r="Z657" s="26"/>
      <c r="AA657" s="26"/>
    </row>
    <row r="658" spans="8:27" x14ac:dyDescent="0.2">
      <c r="H658" s="26"/>
      <c r="I658" s="26"/>
      <c r="J658" s="26"/>
      <c r="Z658" s="26"/>
      <c r="AA658" s="26"/>
    </row>
    <row r="659" spans="8:27" x14ac:dyDescent="0.2">
      <c r="H659" s="26"/>
      <c r="I659" s="26"/>
      <c r="J659" s="26"/>
      <c r="Z659" s="26"/>
      <c r="AA659" s="26"/>
    </row>
    <row r="660" spans="8:27" x14ac:dyDescent="0.2">
      <c r="H660" s="26"/>
      <c r="I660" s="26"/>
      <c r="J660" s="26"/>
      <c r="Z660" s="26"/>
      <c r="AA660" s="26"/>
    </row>
    <row r="661" spans="8:27" x14ac:dyDescent="0.2">
      <c r="H661" s="26"/>
      <c r="I661" s="26"/>
      <c r="J661" s="26"/>
      <c r="Z661" s="26"/>
      <c r="AA661" s="26"/>
    </row>
    <row r="662" spans="8:27" x14ac:dyDescent="0.2">
      <c r="H662" s="26"/>
      <c r="I662" s="26"/>
      <c r="J662" s="26"/>
      <c r="Z662" s="26"/>
      <c r="AA662" s="26"/>
    </row>
    <row r="663" spans="8:27" x14ac:dyDescent="0.2">
      <c r="H663" s="26"/>
      <c r="I663" s="26"/>
      <c r="J663" s="26"/>
      <c r="Z663" s="26"/>
      <c r="AA663" s="26"/>
    </row>
    <row r="664" spans="8:27" x14ac:dyDescent="0.2">
      <c r="H664" s="26"/>
      <c r="I664" s="26"/>
      <c r="J664" s="26"/>
      <c r="Z664" s="26"/>
      <c r="AA664" s="26"/>
    </row>
    <row r="665" spans="8:27" x14ac:dyDescent="0.2">
      <c r="H665" s="26"/>
      <c r="I665" s="26"/>
      <c r="J665" s="26"/>
      <c r="Z665" s="26"/>
      <c r="AA665" s="26"/>
    </row>
    <row r="666" spans="8:27" x14ac:dyDescent="0.2">
      <c r="H666" s="26"/>
      <c r="I666" s="26"/>
      <c r="J666" s="26"/>
      <c r="Z666" s="26"/>
      <c r="AA666" s="26"/>
    </row>
    <row r="667" spans="8:27" x14ac:dyDescent="0.2">
      <c r="H667" s="26"/>
      <c r="I667" s="26"/>
      <c r="J667" s="26"/>
      <c r="Z667" s="26"/>
      <c r="AA667" s="26"/>
    </row>
    <row r="668" spans="8:27" x14ac:dyDescent="0.2">
      <c r="H668" s="26"/>
      <c r="I668" s="26"/>
      <c r="J668" s="26"/>
      <c r="Z668" s="26"/>
      <c r="AA668" s="26"/>
    </row>
    <row r="669" spans="8:27" x14ac:dyDescent="0.2">
      <c r="H669" s="26"/>
      <c r="I669" s="26"/>
      <c r="J669" s="26"/>
      <c r="Z669" s="26"/>
      <c r="AA669" s="26"/>
    </row>
    <row r="670" spans="8:27" x14ac:dyDescent="0.2">
      <c r="H670" s="26"/>
      <c r="I670" s="26"/>
      <c r="J670" s="26"/>
      <c r="Z670" s="26"/>
      <c r="AA670" s="26"/>
    </row>
    <row r="671" spans="8:27" x14ac:dyDescent="0.2">
      <c r="H671" s="26"/>
      <c r="I671" s="26"/>
      <c r="J671" s="26"/>
      <c r="Z671" s="26"/>
      <c r="AA671" s="26"/>
    </row>
    <row r="672" spans="8:27" x14ac:dyDescent="0.2">
      <c r="H672" s="26"/>
      <c r="I672" s="26"/>
      <c r="J672" s="26"/>
      <c r="Z672" s="26"/>
      <c r="AA672" s="26"/>
    </row>
    <row r="673" spans="8:27" x14ac:dyDescent="0.2">
      <c r="H673" s="26"/>
      <c r="I673" s="26"/>
      <c r="J673" s="26"/>
      <c r="Z673" s="26"/>
      <c r="AA673" s="26"/>
    </row>
    <row r="674" spans="8:27" x14ac:dyDescent="0.2">
      <c r="H674" s="26"/>
      <c r="I674" s="26"/>
      <c r="J674" s="26"/>
      <c r="Z674" s="26"/>
      <c r="AA674" s="26"/>
    </row>
    <row r="675" spans="8:27" x14ac:dyDescent="0.2">
      <c r="H675" s="26"/>
      <c r="I675" s="26"/>
      <c r="J675" s="26"/>
      <c r="Z675" s="26"/>
      <c r="AA675" s="26"/>
    </row>
    <row r="676" spans="8:27" x14ac:dyDescent="0.2">
      <c r="H676" s="26"/>
      <c r="I676" s="26"/>
      <c r="J676" s="26"/>
      <c r="Z676" s="26"/>
      <c r="AA676" s="26"/>
    </row>
    <row r="677" spans="8:27" x14ac:dyDescent="0.2">
      <c r="H677" s="26"/>
      <c r="I677" s="26"/>
      <c r="J677" s="26"/>
      <c r="Z677" s="26"/>
      <c r="AA677" s="26"/>
    </row>
    <row r="678" spans="8:27" x14ac:dyDescent="0.2">
      <c r="H678" s="26"/>
      <c r="I678" s="26"/>
      <c r="J678" s="26"/>
      <c r="Z678" s="26"/>
      <c r="AA678" s="26"/>
    </row>
    <row r="679" spans="8:27" x14ac:dyDescent="0.2">
      <c r="H679" s="26"/>
      <c r="I679" s="26"/>
      <c r="J679" s="26"/>
      <c r="Z679" s="26"/>
      <c r="AA679" s="26"/>
    </row>
    <row r="680" spans="8:27" x14ac:dyDescent="0.2">
      <c r="H680" s="26"/>
      <c r="I680" s="26"/>
      <c r="J680" s="26"/>
      <c r="Z680" s="26"/>
      <c r="AA680" s="26"/>
    </row>
    <row r="681" spans="8:27" x14ac:dyDescent="0.2">
      <c r="H681" s="26"/>
      <c r="I681" s="26"/>
      <c r="J681" s="26"/>
      <c r="Z681" s="26"/>
      <c r="AA681" s="26"/>
    </row>
    <row r="682" spans="8:27" x14ac:dyDescent="0.2">
      <c r="H682" s="26"/>
      <c r="I682" s="26"/>
      <c r="J682" s="26"/>
      <c r="Z682" s="26"/>
      <c r="AA682" s="26"/>
    </row>
    <row r="683" spans="8:27" x14ac:dyDescent="0.2">
      <c r="H683" s="26"/>
      <c r="I683" s="26"/>
      <c r="J683" s="26"/>
      <c r="Z683" s="26"/>
      <c r="AA683" s="26"/>
    </row>
    <row r="684" spans="8:27" x14ac:dyDescent="0.2">
      <c r="H684" s="26"/>
      <c r="I684" s="26"/>
      <c r="J684" s="26"/>
      <c r="Z684" s="26"/>
      <c r="AA684" s="26"/>
    </row>
    <row r="685" spans="8:27" x14ac:dyDescent="0.2">
      <c r="H685" s="26"/>
      <c r="I685" s="26"/>
      <c r="J685" s="26"/>
      <c r="Z685" s="26"/>
      <c r="AA685" s="26"/>
    </row>
    <row r="686" spans="8:27" x14ac:dyDescent="0.2">
      <c r="H686" s="26"/>
      <c r="I686" s="26"/>
      <c r="J686" s="26"/>
      <c r="Z686" s="26"/>
      <c r="AA686" s="26"/>
    </row>
    <row r="687" spans="8:27" x14ac:dyDescent="0.2">
      <c r="H687" s="26"/>
      <c r="I687" s="26"/>
      <c r="J687" s="26"/>
      <c r="Z687" s="26"/>
      <c r="AA687" s="26"/>
    </row>
    <row r="688" spans="8:27" x14ac:dyDescent="0.2">
      <c r="H688" s="26"/>
      <c r="I688" s="26"/>
      <c r="J688" s="26"/>
      <c r="Z688" s="26"/>
      <c r="AA688" s="26"/>
    </row>
    <row r="689" spans="8:27" x14ac:dyDescent="0.2">
      <c r="H689" s="26"/>
      <c r="I689" s="26"/>
      <c r="J689" s="26"/>
      <c r="Z689" s="26"/>
      <c r="AA689" s="26"/>
    </row>
    <row r="690" spans="8:27" x14ac:dyDescent="0.2">
      <c r="H690" s="26"/>
      <c r="I690" s="26"/>
      <c r="J690" s="26"/>
      <c r="Z690" s="26"/>
      <c r="AA690" s="26"/>
    </row>
    <row r="691" spans="8:27" x14ac:dyDescent="0.2">
      <c r="H691" s="26"/>
      <c r="I691" s="26"/>
      <c r="J691" s="26"/>
      <c r="Z691" s="26"/>
      <c r="AA691" s="26"/>
    </row>
    <row r="692" spans="8:27" x14ac:dyDescent="0.2">
      <c r="H692" s="26"/>
      <c r="I692" s="26"/>
      <c r="J692" s="26"/>
      <c r="Z692" s="26"/>
      <c r="AA692" s="26"/>
    </row>
    <row r="693" spans="8:27" x14ac:dyDescent="0.2">
      <c r="H693" s="26"/>
      <c r="I693" s="26"/>
      <c r="J693" s="26"/>
      <c r="Z693" s="26"/>
      <c r="AA693" s="26"/>
    </row>
    <row r="694" spans="8:27" x14ac:dyDescent="0.2">
      <c r="H694" s="26"/>
      <c r="I694" s="26"/>
      <c r="J694" s="26"/>
      <c r="Z694" s="26"/>
      <c r="AA694" s="26"/>
    </row>
    <row r="695" spans="8:27" x14ac:dyDescent="0.2">
      <c r="H695" s="26"/>
      <c r="I695" s="26"/>
      <c r="J695" s="26"/>
      <c r="Z695" s="26"/>
      <c r="AA695" s="26"/>
    </row>
    <row r="696" spans="8:27" x14ac:dyDescent="0.2">
      <c r="H696" s="26"/>
      <c r="I696" s="26"/>
      <c r="J696" s="26"/>
      <c r="Z696" s="26"/>
      <c r="AA696" s="26"/>
    </row>
    <row r="697" spans="8:27" x14ac:dyDescent="0.2">
      <c r="H697" s="26"/>
      <c r="I697" s="26"/>
      <c r="J697" s="26"/>
      <c r="Z697" s="26"/>
      <c r="AA697" s="26"/>
    </row>
    <row r="698" spans="8:27" x14ac:dyDescent="0.2">
      <c r="H698" s="26"/>
      <c r="I698" s="26"/>
      <c r="J698" s="26"/>
      <c r="Z698" s="26"/>
      <c r="AA698" s="26"/>
    </row>
    <row r="699" spans="8:27" x14ac:dyDescent="0.2">
      <c r="H699" s="26"/>
      <c r="I699" s="26"/>
      <c r="J699" s="26"/>
      <c r="Z699" s="26"/>
      <c r="AA699" s="26"/>
    </row>
    <row r="700" spans="8:27" x14ac:dyDescent="0.2">
      <c r="H700" s="26"/>
      <c r="I700" s="26"/>
      <c r="J700" s="26"/>
      <c r="Z700" s="26"/>
      <c r="AA700" s="26"/>
    </row>
    <row r="701" spans="8:27" x14ac:dyDescent="0.2">
      <c r="H701" s="26"/>
      <c r="I701" s="26"/>
      <c r="J701" s="26"/>
      <c r="Z701" s="26"/>
      <c r="AA701" s="26"/>
    </row>
    <row r="702" spans="8:27" x14ac:dyDescent="0.2">
      <c r="H702" s="26"/>
      <c r="I702" s="26"/>
      <c r="J702" s="26"/>
      <c r="Z702" s="26"/>
      <c r="AA702" s="26"/>
    </row>
    <row r="703" spans="8:27" x14ac:dyDescent="0.2">
      <c r="H703" s="26"/>
      <c r="I703" s="26"/>
      <c r="J703" s="26"/>
      <c r="Z703" s="26"/>
      <c r="AA703" s="26"/>
    </row>
    <row r="704" spans="8:27" x14ac:dyDescent="0.2">
      <c r="H704" s="26"/>
      <c r="I704" s="26"/>
      <c r="J704" s="26"/>
      <c r="Z704" s="26"/>
      <c r="AA704" s="26"/>
    </row>
    <row r="705" spans="8:27" x14ac:dyDescent="0.2">
      <c r="H705" s="26"/>
      <c r="I705" s="26"/>
      <c r="J705" s="26"/>
      <c r="Z705" s="26"/>
      <c r="AA705" s="26"/>
    </row>
    <row r="706" spans="8:27" x14ac:dyDescent="0.2">
      <c r="H706" s="26"/>
      <c r="I706" s="26"/>
      <c r="J706" s="26"/>
      <c r="Z706" s="26"/>
      <c r="AA706" s="26"/>
    </row>
    <row r="707" spans="8:27" x14ac:dyDescent="0.2">
      <c r="H707" s="26"/>
      <c r="I707" s="26"/>
      <c r="J707" s="26"/>
      <c r="Z707" s="26"/>
      <c r="AA707" s="26"/>
    </row>
    <row r="708" spans="8:27" x14ac:dyDescent="0.2">
      <c r="H708" s="26"/>
      <c r="I708" s="26"/>
      <c r="J708" s="26"/>
      <c r="Z708" s="26"/>
      <c r="AA708" s="26"/>
    </row>
    <row r="709" spans="8:27" x14ac:dyDescent="0.2">
      <c r="H709" s="26"/>
      <c r="I709" s="26"/>
      <c r="J709" s="26"/>
      <c r="Z709" s="26"/>
      <c r="AA709" s="26"/>
    </row>
    <row r="710" spans="8:27" x14ac:dyDescent="0.2">
      <c r="H710" s="26"/>
      <c r="I710" s="26"/>
      <c r="J710" s="26"/>
      <c r="Z710" s="26"/>
      <c r="AA710" s="26"/>
    </row>
    <row r="711" spans="8:27" x14ac:dyDescent="0.2">
      <c r="H711" s="26"/>
      <c r="I711" s="26"/>
      <c r="J711" s="26"/>
      <c r="Z711" s="26"/>
      <c r="AA711" s="26"/>
    </row>
    <row r="712" spans="8:27" x14ac:dyDescent="0.2">
      <c r="H712" s="26"/>
      <c r="I712" s="26"/>
      <c r="J712" s="26"/>
      <c r="Z712" s="26"/>
      <c r="AA712" s="26"/>
    </row>
    <row r="713" spans="8:27" x14ac:dyDescent="0.2">
      <c r="H713" s="26"/>
      <c r="I713" s="26"/>
      <c r="J713" s="26"/>
      <c r="Z713" s="26"/>
      <c r="AA713" s="26"/>
    </row>
    <row r="714" spans="8:27" x14ac:dyDescent="0.2">
      <c r="H714" s="26"/>
      <c r="I714" s="26"/>
      <c r="J714" s="26"/>
      <c r="Z714" s="26"/>
      <c r="AA714" s="26"/>
    </row>
    <row r="715" spans="8:27" x14ac:dyDescent="0.2">
      <c r="H715" s="26"/>
      <c r="I715" s="26"/>
      <c r="J715" s="26"/>
      <c r="Z715" s="26"/>
      <c r="AA715" s="26"/>
    </row>
    <row r="716" spans="8:27" x14ac:dyDescent="0.2">
      <c r="H716" s="26"/>
      <c r="I716" s="26"/>
      <c r="J716" s="26"/>
      <c r="Z716" s="26"/>
      <c r="AA716" s="26"/>
    </row>
    <row r="717" spans="8:27" x14ac:dyDescent="0.2">
      <c r="H717" s="26"/>
      <c r="I717" s="26"/>
      <c r="J717" s="26"/>
      <c r="Z717" s="26"/>
      <c r="AA717" s="26"/>
    </row>
    <row r="718" spans="8:27" x14ac:dyDescent="0.2">
      <c r="H718" s="26"/>
      <c r="I718" s="26"/>
      <c r="J718" s="26"/>
      <c r="Z718" s="26"/>
      <c r="AA718" s="26"/>
    </row>
    <row r="719" spans="8:27" x14ac:dyDescent="0.2">
      <c r="H719" s="26"/>
      <c r="I719" s="26"/>
      <c r="J719" s="26"/>
      <c r="Z719" s="26"/>
      <c r="AA719" s="26"/>
    </row>
    <row r="720" spans="8:27" x14ac:dyDescent="0.2">
      <c r="H720" s="26"/>
      <c r="I720" s="26"/>
      <c r="J720" s="26"/>
      <c r="Z720" s="26"/>
      <c r="AA720" s="26"/>
    </row>
    <row r="721" spans="8:27" x14ac:dyDescent="0.2">
      <c r="H721" s="26"/>
      <c r="I721" s="26"/>
      <c r="J721" s="26"/>
      <c r="Z721" s="26"/>
      <c r="AA721" s="26"/>
    </row>
    <row r="722" spans="8:27" x14ac:dyDescent="0.2">
      <c r="H722" s="26"/>
      <c r="I722" s="26"/>
      <c r="J722" s="26"/>
      <c r="Z722" s="26"/>
      <c r="AA722" s="26"/>
    </row>
    <row r="723" spans="8:27" x14ac:dyDescent="0.2">
      <c r="H723" s="26"/>
      <c r="I723" s="26"/>
      <c r="J723" s="26"/>
      <c r="Z723" s="26"/>
      <c r="AA723" s="26"/>
    </row>
    <row r="724" spans="8:27" x14ac:dyDescent="0.2">
      <c r="H724" s="26"/>
      <c r="I724" s="26"/>
      <c r="J724" s="26"/>
      <c r="Z724" s="26"/>
      <c r="AA724" s="26"/>
    </row>
    <row r="725" spans="8:27" x14ac:dyDescent="0.2">
      <c r="H725" s="26"/>
      <c r="I725" s="26"/>
      <c r="J725" s="26"/>
      <c r="Z725" s="26"/>
      <c r="AA725" s="26"/>
    </row>
    <row r="726" spans="8:27" x14ac:dyDescent="0.2">
      <c r="H726" s="26"/>
      <c r="I726" s="26"/>
      <c r="J726" s="26"/>
      <c r="Z726" s="26"/>
      <c r="AA726" s="26"/>
    </row>
    <row r="727" spans="8:27" x14ac:dyDescent="0.2">
      <c r="H727" s="26"/>
      <c r="I727" s="26"/>
      <c r="J727" s="26"/>
      <c r="Z727" s="26"/>
      <c r="AA727" s="26"/>
    </row>
    <row r="728" spans="8:27" x14ac:dyDescent="0.2">
      <c r="H728" s="26"/>
      <c r="I728" s="26"/>
      <c r="J728" s="26"/>
      <c r="Z728" s="26"/>
      <c r="AA728" s="26"/>
    </row>
    <row r="729" spans="8:27" x14ac:dyDescent="0.2">
      <c r="H729" s="26"/>
      <c r="I729" s="26"/>
      <c r="J729" s="26"/>
      <c r="Z729" s="26"/>
      <c r="AA729" s="26"/>
    </row>
    <row r="730" spans="8:27" x14ac:dyDescent="0.2">
      <c r="H730" s="26"/>
      <c r="I730" s="26"/>
      <c r="J730" s="26"/>
      <c r="Z730" s="26"/>
      <c r="AA730" s="26"/>
    </row>
    <row r="731" spans="8:27" x14ac:dyDescent="0.2">
      <c r="H731" s="26"/>
      <c r="I731" s="26"/>
      <c r="J731" s="26"/>
      <c r="Z731" s="26"/>
      <c r="AA731" s="26"/>
    </row>
    <row r="732" spans="8:27" x14ac:dyDescent="0.2">
      <c r="H732" s="26"/>
      <c r="I732" s="26"/>
      <c r="J732" s="26"/>
      <c r="Z732" s="26"/>
      <c r="AA732" s="26"/>
    </row>
    <row r="733" spans="8:27" x14ac:dyDescent="0.2">
      <c r="H733" s="26"/>
      <c r="I733" s="26"/>
      <c r="J733" s="26"/>
      <c r="Z733" s="26"/>
      <c r="AA733" s="26"/>
    </row>
    <row r="734" spans="8:27" x14ac:dyDescent="0.2">
      <c r="H734" s="26"/>
      <c r="I734" s="26"/>
      <c r="J734" s="26"/>
      <c r="Z734" s="26"/>
      <c r="AA734" s="26"/>
    </row>
    <row r="735" spans="8:27" x14ac:dyDescent="0.2">
      <c r="H735" s="26"/>
      <c r="I735" s="26"/>
      <c r="J735" s="26"/>
      <c r="Z735" s="26"/>
      <c r="AA735" s="26"/>
    </row>
    <row r="736" spans="8:27" x14ac:dyDescent="0.2">
      <c r="H736" s="26"/>
      <c r="I736" s="26"/>
      <c r="J736" s="26"/>
      <c r="Z736" s="26"/>
      <c r="AA736" s="26"/>
    </row>
    <row r="737" spans="8:27" x14ac:dyDescent="0.2">
      <c r="H737" s="26"/>
      <c r="I737" s="26"/>
      <c r="J737" s="26"/>
      <c r="Z737" s="26"/>
      <c r="AA737" s="26"/>
    </row>
    <row r="738" spans="8:27" x14ac:dyDescent="0.2">
      <c r="H738" s="26"/>
      <c r="I738" s="26"/>
      <c r="J738" s="26"/>
      <c r="Z738" s="26"/>
      <c r="AA738" s="26"/>
    </row>
    <row r="739" spans="8:27" x14ac:dyDescent="0.2">
      <c r="H739" s="26"/>
      <c r="I739" s="26"/>
      <c r="J739" s="26"/>
      <c r="Z739" s="26"/>
      <c r="AA739" s="26"/>
    </row>
    <row r="740" spans="8:27" x14ac:dyDescent="0.2">
      <c r="H740" s="26"/>
      <c r="I740" s="26"/>
      <c r="J740" s="26"/>
      <c r="Z740" s="26"/>
      <c r="AA740" s="26"/>
    </row>
    <row r="741" spans="8:27" x14ac:dyDescent="0.2">
      <c r="H741" s="26"/>
      <c r="I741" s="26"/>
      <c r="J741" s="26"/>
      <c r="Z741" s="26"/>
      <c r="AA741" s="26"/>
    </row>
    <row r="742" spans="8:27" x14ac:dyDescent="0.2">
      <c r="H742" s="26"/>
      <c r="I742" s="26"/>
      <c r="J742" s="26"/>
      <c r="Z742" s="26"/>
      <c r="AA742" s="26"/>
    </row>
    <row r="743" spans="8:27" x14ac:dyDescent="0.2">
      <c r="H743" s="26"/>
      <c r="I743" s="26"/>
      <c r="J743" s="26"/>
      <c r="Z743" s="26"/>
      <c r="AA743" s="26"/>
    </row>
    <row r="744" spans="8:27" x14ac:dyDescent="0.2">
      <c r="H744" s="26"/>
      <c r="I744" s="26"/>
      <c r="J744" s="26"/>
      <c r="Z744" s="26"/>
      <c r="AA744" s="26"/>
    </row>
    <row r="745" spans="8:27" x14ac:dyDescent="0.2">
      <c r="H745" s="26"/>
      <c r="I745" s="26"/>
      <c r="J745" s="26"/>
      <c r="Z745" s="26"/>
      <c r="AA745" s="26"/>
    </row>
    <row r="746" spans="8:27" x14ac:dyDescent="0.2">
      <c r="H746" s="26"/>
      <c r="I746" s="26"/>
      <c r="J746" s="26"/>
      <c r="Z746" s="26"/>
      <c r="AA746" s="26"/>
    </row>
    <row r="747" spans="8:27" x14ac:dyDescent="0.2">
      <c r="H747" s="26"/>
      <c r="I747" s="26"/>
      <c r="J747" s="26"/>
      <c r="Z747" s="26"/>
      <c r="AA747" s="26"/>
    </row>
    <row r="748" spans="8:27" x14ac:dyDescent="0.2">
      <c r="H748" s="26"/>
      <c r="I748" s="26"/>
      <c r="J748" s="26"/>
      <c r="Z748" s="26"/>
      <c r="AA748" s="26"/>
    </row>
    <row r="749" spans="8:27" x14ac:dyDescent="0.2">
      <c r="H749" s="26"/>
      <c r="I749" s="26"/>
      <c r="J749" s="26"/>
      <c r="Z749" s="26"/>
      <c r="AA749" s="26"/>
    </row>
    <row r="750" spans="8:27" x14ac:dyDescent="0.2">
      <c r="H750" s="26"/>
      <c r="I750" s="26"/>
      <c r="J750" s="26"/>
      <c r="Z750" s="26"/>
      <c r="AA750" s="26"/>
    </row>
    <row r="751" spans="8:27" x14ac:dyDescent="0.2">
      <c r="H751" s="26"/>
      <c r="I751" s="26"/>
      <c r="J751" s="26"/>
      <c r="Z751" s="26"/>
      <c r="AA751" s="26"/>
    </row>
    <row r="752" spans="8:27" x14ac:dyDescent="0.2">
      <c r="H752" s="26"/>
      <c r="I752" s="26"/>
      <c r="J752" s="26"/>
      <c r="Z752" s="26"/>
      <c r="AA752" s="26"/>
    </row>
    <row r="753" spans="8:27" x14ac:dyDescent="0.2">
      <c r="H753" s="26"/>
      <c r="I753" s="26"/>
      <c r="J753" s="26"/>
      <c r="Z753" s="26"/>
      <c r="AA753" s="26"/>
    </row>
    <row r="754" spans="8:27" x14ac:dyDescent="0.2">
      <c r="H754" s="26"/>
      <c r="I754" s="26"/>
      <c r="J754" s="26"/>
      <c r="Z754" s="26"/>
      <c r="AA754" s="26"/>
    </row>
    <row r="755" spans="8:27" x14ac:dyDescent="0.2">
      <c r="H755" s="26"/>
      <c r="I755" s="26"/>
      <c r="J755" s="26"/>
      <c r="Z755" s="26"/>
      <c r="AA755" s="26"/>
    </row>
    <row r="756" spans="8:27" x14ac:dyDescent="0.2">
      <c r="H756" s="26"/>
      <c r="I756" s="26"/>
      <c r="J756" s="26"/>
      <c r="Z756" s="26"/>
      <c r="AA756" s="26"/>
    </row>
    <row r="757" spans="8:27" x14ac:dyDescent="0.2">
      <c r="H757" s="26"/>
      <c r="I757" s="26"/>
      <c r="J757" s="26"/>
      <c r="Z757" s="26"/>
      <c r="AA757" s="26"/>
    </row>
    <row r="758" spans="8:27" x14ac:dyDescent="0.2">
      <c r="H758" s="26"/>
      <c r="I758" s="26"/>
      <c r="J758" s="26"/>
      <c r="Z758" s="26"/>
      <c r="AA758" s="26"/>
    </row>
    <row r="759" spans="8:27" x14ac:dyDescent="0.2">
      <c r="H759" s="26"/>
      <c r="I759" s="26"/>
      <c r="J759" s="26"/>
      <c r="Z759" s="26"/>
      <c r="AA759" s="26"/>
    </row>
    <row r="760" spans="8:27" x14ac:dyDescent="0.2">
      <c r="H760" s="26"/>
      <c r="I760" s="26"/>
      <c r="J760" s="26"/>
      <c r="Z760" s="26"/>
      <c r="AA760" s="26"/>
    </row>
    <row r="761" spans="8:27" x14ac:dyDescent="0.2">
      <c r="H761" s="26"/>
      <c r="I761" s="26"/>
      <c r="J761" s="26"/>
      <c r="Z761" s="26"/>
      <c r="AA761" s="26"/>
    </row>
    <row r="762" spans="8:27" x14ac:dyDescent="0.2">
      <c r="H762" s="26"/>
      <c r="I762" s="26"/>
      <c r="J762" s="26"/>
      <c r="Z762" s="26"/>
      <c r="AA762" s="26"/>
    </row>
    <row r="763" spans="8:27" x14ac:dyDescent="0.2">
      <c r="H763" s="26"/>
      <c r="I763" s="26"/>
      <c r="J763" s="26"/>
      <c r="Z763" s="26"/>
      <c r="AA763" s="26"/>
    </row>
    <row r="764" spans="8:27" x14ac:dyDescent="0.2">
      <c r="H764" s="26"/>
      <c r="I764" s="26"/>
      <c r="J764" s="26"/>
      <c r="Z764" s="26"/>
      <c r="AA764" s="26"/>
    </row>
    <row r="765" spans="8:27" x14ac:dyDescent="0.2">
      <c r="H765" s="26"/>
      <c r="I765" s="26"/>
      <c r="J765" s="26"/>
      <c r="Z765" s="26"/>
      <c r="AA765" s="26"/>
    </row>
    <row r="766" spans="8:27" x14ac:dyDescent="0.2">
      <c r="H766" s="26"/>
      <c r="I766" s="26"/>
      <c r="J766" s="26"/>
      <c r="Z766" s="26"/>
      <c r="AA766" s="26"/>
    </row>
    <row r="767" spans="8:27" x14ac:dyDescent="0.2">
      <c r="H767" s="26"/>
      <c r="I767" s="26"/>
      <c r="J767" s="26"/>
      <c r="Z767" s="26"/>
      <c r="AA767" s="26"/>
    </row>
    <row r="768" spans="8:27" x14ac:dyDescent="0.2">
      <c r="H768" s="26"/>
      <c r="I768" s="26"/>
      <c r="J768" s="26"/>
      <c r="Z768" s="26"/>
      <c r="AA768" s="26"/>
    </row>
    <row r="769" spans="8:27" x14ac:dyDescent="0.2">
      <c r="H769" s="26"/>
      <c r="I769" s="26"/>
      <c r="J769" s="26"/>
      <c r="Z769" s="26"/>
      <c r="AA769" s="26"/>
    </row>
    <row r="770" spans="8:27" x14ac:dyDescent="0.2">
      <c r="H770" s="26"/>
      <c r="I770" s="26"/>
      <c r="J770" s="26"/>
      <c r="Z770" s="26"/>
      <c r="AA770" s="26"/>
    </row>
    <row r="771" spans="8:27" x14ac:dyDescent="0.2">
      <c r="H771" s="26"/>
      <c r="I771" s="26"/>
      <c r="J771" s="26"/>
      <c r="Z771" s="26"/>
      <c r="AA771" s="26"/>
    </row>
    <row r="772" spans="8:27" x14ac:dyDescent="0.2">
      <c r="H772" s="26"/>
      <c r="I772" s="26"/>
      <c r="J772" s="26"/>
      <c r="Z772" s="26"/>
      <c r="AA772" s="26"/>
    </row>
    <row r="773" spans="8:27" x14ac:dyDescent="0.2">
      <c r="H773" s="26"/>
      <c r="I773" s="26"/>
      <c r="J773" s="26"/>
      <c r="Z773" s="26"/>
      <c r="AA773" s="26"/>
    </row>
    <row r="774" spans="8:27" x14ac:dyDescent="0.2">
      <c r="H774" s="26"/>
      <c r="I774" s="26"/>
      <c r="J774" s="26"/>
      <c r="Z774" s="26"/>
      <c r="AA774" s="26"/>
    </row>
    <row r="775" spans="8:27" x14ac:dyDescent="0.2">
      <c r="H775" s="26"/>
      <c r="I775" s="26"/>
      <c r="J775" s="26"/>
      <c r="Z775" s="26"/>
      <c r="AA775" s="26"/>
    </row>
    <row r="776" spans="8:27" x14ac:dyDescent="0.2">
      <c r="H776" s="26"/>
      <c r="I776" s="26"/>
      <c r="J776" s="26"/>
      <c r="Z776" s="26"/>
      <c r="AA776" s="26"/>
    </row>
    <row r="777" spans="8:27" x14ac:dyDescent="0.2">
      <c r="H777" s="26"/>
      <c r="I777" s="26"/>
      <c r="J777" s="26"/>
      <c r="Z777" s="26"/>
      <c r="AA777" s="26"/>
    </row>
    <row r="778" spans="8:27" x14ac:dyDescent="0.2">
      <c r="H778" s="26"/>
      <c r="I778" s="26"/>
      <c r="J778" s="26"/>
      <c r="Z778" s="26"/>
      <c r="AA778" s="26"/>
    </row>
    <row r="779" spans="8:27" x14ac:dyDescent="0.2">
      <c r="H779" s="26"/>
      <c r="I779" s="26"/>
      <c r="J779" s="26"/>
      <c r="Z779" s="26"/>
      <c r="AA779" s="26"/>
    </row>
    <row r="780" spans="8:27" x14ac:dyDescent="0.2">
      <c r="H780" s="26"/>
      <c r="I780" s="26"/>
      <c r="J780" s="26"/>
      <c r="Z780" s="26"/>
      <c r="AA780" s="26"/>
    </row>
    <row r="781" spans="8:27" x14ac:dyDescent="0.2">
      <c r="H781" s="26"/>
      <c r="I781" s="26"/>
      <c r="J781" s="26"/>
      <c r="Z781" s="26"/>
      <c r="AA781" s="26"/>
    </row>
    <row r="782" spans="8:27" x14ac:dyDescent="0.2">
      <c r="H782" s="26"/>
      <c r="I782" s="26"/>
      <c r="J782" s="26"/>
      <c r="Z782" s="26"/>
      <c r="AA782" s="26"/>
    </row>
    <row r="783" spans="8:27" x14ac:dyDescent="0.2">
      <c r="H783" s="26"/>
      <c r="I783" s="26"/>
      <c r="J783" s="26"/>
      <c r="Z783" s="26"/>
      <c r="AA783" s="26"/>
    </row>
    <row r="784" spans="8:27" x14ac:dyDescent="0.2">
      <c r="H784" s="26"/>
      <c r="I784" s="26"/>
      <c r="J784" s="26"/>
      <c r="Z784" s="26"/>
      <c r="AA784" s="26"/>
    </row>
    <row r="785" spans="8:27" x14ac:dyDescent="0.2">
      <c r="H785" s="26"/>
      <c r="I785" s="26"/>
      <c r="J785" s="26"/>
      <c r="Z785" s="26"/>
      <c r="AA785" s="26"/>
    </row>
    <row r="786" spans="8:27" x14ac:dyDescent="0.2">
      <c r="H786" s="26"/>
      <c r="I786" s="26"/>
      <c r="J786" s="26"/>
      <c r="Z786" s="26"/>
      <c r="AA786" s="26"/>
    </row>
    <row r="787" spans="8:27" x14ac:dyDescent="0.2">
      <c r="H787" s="26"/>
      <c r="I787" s="26"/>
      <c r="J787" s="26"/>
      <c r="Z787" s="26"/>
      <c r="AA787" s="26"/>
    </row>
    <row r="788" spans="8:27" x14ac:dyDescent="0.2">
      <c r="H788" s="26"/>
      <c r="I788" s="26"/>
      <c r="J788" s="26"/>
      <c r="Z788" s="26"/>
      <c r="AA788" s="26"/>
    </row>
    <row r="789" spans="8:27" x14ac:dyDescent="0.2">
      <c r="H789" s="26"/>
      <c r="I789" s="26"/>
      <c r="J789" s="26"/>
      <c r="Z789" s="26"/>
      <c r="AA789" s="26"/>
    </row>
    <row r="790" spans="8:27" x14ac:dyDescent="0.2">
      <c r="H790" s="26"/>
      <c r="I790" s="26"/>
      <c r="J790" s="26"/>
      <c r="Z790" s="26"/>
      <c r="AA790" s="26"/>
    </row>
    <row r="791" spans="8:27" x14ac:dyDescent="0.2">
      <c r="H791" s="26"/>
      <c r="I791" s="26"/>
      <c r="J791" s="26"/>
      <c r="Z791" s="26"/>
      <c r="AA791" s="26"/>
    </row>
    <row r="792" spans="8:27" x14ac:dyDescent="0.2">
      <c r="H792" s="26"/>
      <c r="I792" s="26"/>
      <c r="J792" s="26"/>
      <c r="Z792" s="26"/>
      <c r="AA792" s="26"/>
    </row>
    <row r="793" spans="8:27" x14ac:dyDescent="0.2">
      <c r="H793" s="26"/>
      <c r="I793" s="26"/>
      <c r="J793" s="26"/>
      <c r="Z793" s="26"/>
      <c r="AA793" s="26"/>
    </row>
    <row r="794" spans="8:27" x14ac:dyDescent="0.2">
      <c r="H794" s="26"/>
      <c r="I794" s="26"/>
      <c r="J794" s="26"/>
      <c r="Z794" s="26"/>
      <c r="AA794" s="26"/>
    </row>
    <row r="795" spans="8:27" x14ac:dyDescent="0.2">
      <c r="H795" s="26"/>
      <c r="I795" s="26"/>
      <c r="J795" s="26"/>
      <c r="Z795" s="26"/>
      <c r="AA795" s="26"/>
    </row>
    <row r="796" spans="8:27" x14ac:dyDescent="0.2">
      <c r="H796" s="26"/>
      <c r="I796" s="26"/>
      <c r="J796" s="26"/>
      <c r="Z796" s="26"/>
      <c r="AA796" s="26"/>
    </row>
    <row r="797" spans="8:27" x14ac:dyDescent="0.2">
      <c r="H797" s="26"/>
      <c r="I797" s="26"/>
      <c r="J797" s="26"/>
      <c r="Z797" s="26"/>
      <c r="AA797" s="26"/>
    </row>
    <row r="798" spans="8:27" x14ac:dyDescent="0.2">
      <c r="H798" s="26"/>
      <c r="I798" s="26"/>
      <c r="J798" s="26"/>
      <c r="Z798" s="26"/>
      <c r="AA798" s="26"/>
    </row>
    <row r="799" spans="8:27" x14ac:dyDescent="0.2">
      <c r="H799" s="26"/>
      <c r="I799" s="26"/>
      <c r="J799" s="26"/>
      <c r="Z799" s="26"/>
      <c r="AA799" s="26"/>
    </row>
    <row r="800" spans="8:27" x14ac:dyDescent="0.2">
      <c r="H800" s="26"/>
      <c r="I800" s="26"/>
      <c r="J800" s="26"/>
      <c r="Z800" s="26"/>
      <c r="AA800" s="26"/>
    </row>
    <row r="801" spans="8:27" x14ac:dyDescent="0.2">
      <c r="H801" s="26"/>
      <c r="I801" s="26"/>
      <c r="J801" s="26"/>
      <c r="Z801" s="26"/>
      <c r="AA801" s="26"/>
    </row>
    <row r="802" spans="8:27" x14ac:dyDescent="0.2">
      <c r="H802" s="26"/>
      <c r="I802" s="26"/>
      <c r="J802" s="26"/>
      <c r="Z802" s="26"/>
      <c r="AA802" s="26"/>
    </row>
    <row r="803" spans="8:27" x14ac:dyDescent="0.2">
      <c r="H803" s="26"/>
      <c r="I803" s="26"/>
      <c r="J803" s="26"/>
      <c r="Z803" s="26"/>
      <c r="AA803" s="26"/>
    </row>
    <row r="804" spans="8:27" x14ac:dyDescent="0.2">
      <c r="H804" s="26"/>
      <c r="I804" s="26"/>
      <c r="J804" s="26"/>
      <c r="Z804" s="26"/>
      <c r="AA804" s="26"/>
    </row>
    <row r="805" spans="8:27" x14ac:dyDescent="0.2">
      <c r="H805" s="26"/>
      <c r="I805" s="26"/>
      <c r="J805" s="26"/>
      <c r="Z805" s="26"/>
      <c r="AA805" s="26"/>
    </row>
    <row r="806" spans="8:27" x14ac:dyDescent="0.2">
      <c r="H806" s="26"/>
      <c r="I806" s="26"/>
      <c r="J806" s="26"/>
      <c r="Z806" s="26"/>
      <c r="AA806" s="26"/>
    </row>
    <row r="807" spans="8:27" x14ac:dyDescent="0.2">
      <c r="H807" s="26"/>
      <c r="I807" s="26"/>
      <c r="J807" s="26"/>
      <c r="Z807" s="26"/>
      <c r="AA807" s="26"/>
    </row>
    <row r="808" spans="8:27" x14ac:dyDescent="0.2">
      <c r="H808" s="26"/>
      <c r="I808" s="26"/>
      <c r="J808" s="26"/>
      <c r="Z808" s="26"/>
      <c r="AA808" s="26"/>
    </row>
    <row r="809" spans="8:27" x14ac:dyDescent="0.2">
      <c r="H809" s="26"/>
      <c r="I809" s="26"/>
      <c r="J809" s="26"/>
      <c r="Z809" s="26"/>
      <c r="AA809" s="26"/>
    </row>
    <row r="810" spans="8:27" x14ac:dyDescent="0.2">
      <c r="H810" s="26"/>
      <c r="I810" s="26"/>
      <c r="J810" s="26"/>
      <c r="Z810" s="26"/>
      <c r="AA810" s="26"/>
    </row>
    <row r="811" spans="8:27" x14ac:dyDescent="0.2">
      <c r="H811" s="26"/>
      <c r="I811" s="26"/>
      <c r="J811" s="26"/>
      <c r="Z811" s="26"/>
      <c r="AA811" s="26"/>
    </row>
    <row r="812" spans="8:27" x14ac:dyDescent="0.2">
      <c r="H812" s="26"/>
      <c r="I812" s="26"/>
      <c r="J812" s="26"/>
      <c r="Z812" s="26"/>
      <c r="AA812" s="26"/>
    </row>
    <row r="813" spans="8:27" x14ac:dyDescent="0.2">
      <c r="H813" s="26"/>
      <c r="I813" s="26"/>
      <c r="J813" s="26"/>
      <c r="Z813" s="26"/>
      <c r="AA813" s="26"/>
    </row>
    <row r="814" spans="8:27" x14ac:dyDescent="0.2">
      <c r="H814" s="26"/>
      <c r="I814" s="26"/>
      <c r="J814" s="26"/>
      <c r="Z814" s="26"/>
      <c r="AA814" s="26"/>
    </row>
    <row r="815" spans="8:27" x14ac:dyDescent="0.2">
      <c r="H815" s="26"/>
      <c r="I815" s="26"/>
      <c r="J815" s="26"/>
      <c r="Z815" s="26"/>
      <c r="AA815" s="26"/>
    </row>
    <row r="816" spans="8:27" x14ac:dyDescent="0.2">
      <c r="H816" s="26"/>
      <c r="I816" s="26"/>
      <c r="J816" s="26"/>
      <c r="Z816" s="26"/>
      <c r="AA816" s="26"/>
    </row>
    <row r="817" spans="8:27" x14ac:dyDescent="0.2">
      <c r="H817" s="26"/>
      <c r="I817" s="26"/>
      <c r="J817" s="26"/>
      <c r="Z817" s="26"/>
      <c r="AA817" s="26"/>
    </row>
    <row r="818" spans="8:27" x14ac:dyDescent="0.2">
      <c r="H818" s="26"/>
      <c r="I818" s="26"/>
      <c r="J818" s="26"/>
      <c r="Z818" s="26"/>
      <c r="AA818" s="26"/>
    </row>
    <row r="819" spans="8:27" x14ac:dyDescent="0.2">
      <c r="H819" s="26"/>
      <c r="I819" s="26"/>
      <c r="J819" s="26"/>
      <c r="Z819" s="26"/>
      <c r="AA819" s="26"/>
    </row>
    <row r="820" spans="8:27" x14ac:dyDescent="0.2">
      <c r="H820" s="26"/>
      <c r="I820" s="26"/>
      <c r="J820" s="26"/>
      <c r="Z820" s="26"/>
      <c r="AA820" s="26"/>
    </row>
    <row r="821" spans="8:27" x14ac:dyDescent="0.2">
      <c r="H821" s="26"/>
      <c r="I821" s="26"/>
      <c r="J821" s="26"/>
      <c r="Z821" s="26"/>
      <c r="AA821" s="26"/>
    </row>
    <row r="822" spans="8:27" x14ac:dyDescent="0.2">
      <c r="H822" s="26"/>
      <c r="I822" s="26"/>
      <c r="J822" s="26"/>
      <c r="Z822" s="26"/>
      <c r="AA822" s="26"/>
    </row>
    <row r="823" spans="8:27" x14ac:dyDescent="0.2">
      <c r="H823" s="26"/>
      <c r="I823" s="26"/>
      <c r="J823" s="26"/>
      <c r="Z823" s="26"/>
      <c r="AA823" s="26"/>
    </row>
    <row r="824" spans="8:27" x14ac:dyDescent="0.2">
      <c r="H824" s="26"/>
      <c r="I824" s="26"/>
      <c r="J824" s="26"/>
      <c r="Z824" s="26"/>
      <c r="AA824" s="26"/>
    </row>
    <row r="825" spans="8:27" x14ac:dyDescent="0.2">
      <c r="H825" s="26"/>
      <c r="I825" s="26"/>
      <c r="J825" s="26"/>
      <c r="Z825" s="26"/>
      <c r="AA825" s="26"/>
    </row>
    <row r="826" spans="8:27" x14ac:dyDescent="0.2">
      <c r="H826" s="26"/>
      <c r="I826" s="26"/>
      <c r="J826" s="26"/>
      <c r="Z826" s="26"/>
      <c r="AA826" s="26"/>
    </row>
    <row r="827" spans="8:27" x14ac:dyDescent="0.2">
      <c r="H827" s="26"/>
      <c r="I827" s="26"/>
      <c r="J827" s="26"/>
      <c r="Z827" s="26"/>
      <c r="AA827" s="26"/>
    </row>
    <row r="828" spans="8:27" x14ac:dyDescent="0.2">
      <c r="H828" s="26"/>
      <c r="I828" s="26"/>
      <c r="J828" s="26"/>
      <c r="Z828" s="26"/>
      <c r="AA828" s="26"/>
    </row>
    <row r="829" spans="8:27" x14ac:dyDescent="0.2">
      <c r="H829" s="26"/>
      <c r="I829" s="26"/>
      <c r="J829" s="26"/>
      <c r="Z829" s="26"/>
      <c r="AA829" s="26"/>
    </row>
    <row r="830" spans="8:27" x14ac:dyDescent="0.2">
      <c r="H830" s="26"/>
      <c r="I830" s="26"/>
      <c r="J830" s="26"/>
      <c r="Z830" s="26"/>
      <c r="AA830" s="26"/>
    </row>
    <row r="831" spans="8:27" x14ac:dyDescent="0.2">
      <c r="H831" s="26"/>
      <c r="I831" s="26"/>
      <c r="J831" s="26"/>
      <c r="Z831" s="26"/>
      <c r="AA831" s="26"/>
    </row>
    <row r="832" spans="8:27" x14ac:dyDescent="0.2">
      <c r="H832" s="26"/>
      <c r="I832" s="26"/>
      <c r="J832" s="26"/>
      <c r="Z832" s="26"/>
      <c r="AA832" s="26"/>
    </row>
    <row r="833" spans="8:27" x14ac:dyDescent="0.2">
      <c r="H833" s="26"/>
      <c r="I833" s="26"/>
      <c r="J833" s="26"/>
      <c r="Z833" s="26"/>
      <c r="AA833" s="26"/>
    </row>
    <row r="834" spans="8:27" x14ac:dyDescent="0.2">
      <c r="H834" s="26"/>
      <c r="I834" s="26"/>
      <c r="J834" s="26"/>
      <c r="Z834" s="26"/>
      <c r="AA834" s="26"/>
    </row>
    <row r="835" spans="8:27" x14ac:dyDescent="0.2">
      <c r="H835" s="26"/>
      <c r="I835" s="26"/>
      <c r="J835" s="26"/>
      <c r="Z835" s="26"/>
      <c r="AA835" s="26"/>
    </row>
    <row r="836" spans="8:27" x14ac:dyDescent="0.2">
      <c r="H836" s="26"/>
      <c r="I836" s="26"/>
      <c r="J836" s="26"/>
      <c r="Z836" s="26"/>
      <c r="AA836" s="26"/>
    </row>
    <row r="837" spans="8:27" x14ac:dyDescent="0.2">
      <c r="H837" s="26"/>
      <c r="I837" s="26"/>
      <c r="J837" s="26"/>
      <c r="Z837" s="26"/>
      <c r="AA837" s="26"/>
    </row>
    <row r="838" spans="8:27" x14ac:dyDescent="0.2">
      <c r="H838" s="26"/>
      <c r="I838" s="26"/>
      <c r="J838" s="26"/>
      <c r="Z838" s="26"/>
      <c r="AA838" s="26"/>
    </row>
    <row r="839" spans="8:27" x14ac:dyDescent="0.2">
      <c r="H839" s="26"/>
      <c r="I839" s="26"/>
      <c r="J839" s="26"/>
      <c r="Z839" s="26"/>
      <c r="AA839" s="26"/>
    </row>
    <row r="840" spans="8:27" x14ac:dyDescent="0.2">
      <c r="H840" s="26"/>
      <c r="I840" s="26"/>
      <c r="J840" s="26"/>
      <c r="Z840" s="26"/>
      <c r="AA840" s="26"/>
    </row>
    <row r="841" spans="8:27" x14ac:dyDescent="0.2">
      <c r="H841" s="26"/>
      <c r="I841" s="26"/>
      <c r="J841" s="26"/>
      <c r="Z841" s="26"/>
      <c r="AA841" s="26"/>
    </row>
    <row r="842" spans="8:27" x14ac:dyDescent="0.2">
      <c r="H842" s="26"/>
      <c r="I842" s="26"/>
      <c r="J842" s="26"/>
      <c r="Z842" s="26"/>
      <c r="AA842" s="26"/>
    </row>
    <row r="843" spans="8:27" x14ac:dyDescent="0.2">
      <c r="H843" s="26"/>
      <c r="I843" s="26"/>
      <c r="J843" s="26"/>
      <c r="Z843" s="26"/>
      <c r="AA843" s="26"/>
    </row>
    <row r="844" spans="8:27" x14ac:dyDescent="0.2">
      <c r="H844" s="26"/>
      <c r="I844" s="26"/>
      <c r="J844" s="26"/>
      <c r="Z844" s="26"/>
      <c r="AA844" s="26"/>
    </row>
    <row r="845" spans="8:27" x14ac:dyDescent="0.2">
      <c r="H845" s="26"/>
      <c r="I845" s="26"/>
      <c r="J845" s="26"/>
      <c r="Z845" s="26"/>
      <c r="AA845" s="26"/>
    </row>
    <row r="846" spans="8:27" x14ac:dyDescent="0.2">
      <c r="H846" s="26"/>
      <c r="I846" s="26"/>
      <c r="J846" s="26"/>
      <c r="Z846" s="26"/>
      <c r="AA846" s="26"/>
    </row>
    <row r="847" spans="8:27" x14ac:dyDescent="0.2">
      <c r="H847" s="26"/>
      <c r="I847" s="26"/>
      <c r="J847" s="26"/>
      <c r="Z847" s="26"/>
      <c r="AA847" s="26"/>
    </row>
    <row r="848" spans="8:27" x14ac:dyDescent="0.2">
      <c r="H848" s="26"/>
      <c r="I848" s="26"/>
      <c r="J848" s="26"/>
      <c r="Z848" s="26"/>
      <c r="AA848" s="26"/>
    </row>
    <row r="849" spans="8:27" x14ac:dyDescent="0.2">
      <c r="H849" s="26"/>
      <c r="I849" s="26"/>
      <c r="J849" s="26"/>
      <c r="Z849" s="26"/>
      <c r="AA849" s="26"/>
    </row>
    <row r="850" spans="8:27" x14ac:dyDescent="0.2">
      <c r="H850" s="26"/>
      <c r="I850" s="26"/>
      <c r="J850" s="26"/>
      <c r="Z850" s="26"/>
      <c r="AA850" s="26"/>
    </row>
    <row r="851" spans="8:27" x14ac:dyDescent="0.2">
      <c r="H851" s="26"/>
      <c r="I851" s="26"/>
      <c r="J851" s="26"/>
      <c r="Z851" s="26"/>
      <c r="AA851" s="26"/>
    </row>
    <row r="852" spans="8:27" x14ac:dyDescent="0.2">
      <c r="H852" s="26"/>
      <c r="I852" s="26"/>
      <c r="J852" s="26"/>
      <c r="Z852" s="26"/>
      <c r="AA852" s="26"/>
    </row>
    <row r="853" spans="8:27" x14ac:dyDescent="0.2">
      <c r="H853" s="26"/>
      <c r="I853" s="26"/>
      <c r="J853" s="26"/>
      <c r="Z853" s="26"/>
      <c r="AA853" s="26"/>
    </row>
    <row r="854" spans="8:27" x14ac:dyDescent="0.2">
      <c r="H854" s="26"/>
      <c r="I854" s="26"/>
      <c r="J854" s="26"/>
      <c r="Z854" s="26"/>
      <c r="AA854" s="26"/>
    </row>
    <row r="855" spans="8:27" x14ac:dyDescent="0.2">
      <c r="H855" s="26"/>
      <c r="I855" s="26"/>
      <c r="J855" s="26"/>
      <c r="Z855" s="26"/>
      <c r="AA855" s="26"/>
    </row>
    <row r="856" spans="8:27" x14ac:dyDescent="0.2">
      <c r="H856" s="26"/>
      <c r="I856" s="26"/>
      <c r="J856" s="26"/>
      <c r="Z856" s="26"/>
      <c r="AA856" s="26"/>
    </row>
    <row r="857" spans="8:27" x14ac:dyDescent="0.2">
      <c r="H857" s="26"/>
      <c r="I857" s="26"/>
      <c r="J857" s="26"/>
      <c r="Z857" s="26"/>
      <c r="AA857" s="26"/>
    </row>
    <row r="858" spans="8:27" x14ac:dyDescent="0.2">
      <c r="H858" s="26"/>
      <c r="I858" s="26"/>
      <c r="J858" s="26"/>
      <c r="Z858" s="26"/>
      <c r="AA858" s="26"/>
    </row>
    <row r="859" spans="8:27" x14ac:dyDescent="0.2">
      <c r="H859" s="26"/>
      <c r="I859" s="26"/>
      <c r="J859" s="26"/>
      <c r="Z859" s="26"/>
      <c r="AA859" s="26"/>
    </row>
    <row r="860" spans="8:27" x14ac:dyDescent="0.2">
      <c r="H860" s="26"/>
      <c r="I860" s="26"/>
      <c r="J860" s="26"/>
      <c r="Z860" s="26"/>
      <c r="AA860" s="26"/>
    </row>
    <row r="861" spans="8:27" x14ac:dyDescent="0.2">
      <c r="H861" s="26"/>
      <c r="I861" s="26"/>
      <c r="J861" s="26"/>
      <c r="Z861" s="26"/>
      <c r="AA861" s="26"/>
    </row>
    <row r="862" spans="8:27" x14ac:dyDescent="0.2">
      <c r="H862" s="26"/>
      <c r="I862" s="26"/>
      <c r="J862" s="26"/>
      <c r="Z862" s="26"/>
      <c r="AA862" s="26"/>
    </row>
    <row r="863" spans="8:27" x14ac:dyDescent="0.2">
      <c r="H863" s="26"/>
      <c r="I863" s="26"/>
      <c r="J863" s="26"/>
      <c r="Z863" s="26"/>
      <c r="AA863" s="26"/>
    </row>
    <row r="864" spans="8:27" x14ac:dyDescent="0.2">
      <c r="H864" s="26"/>
      <c r="I864" s="26"/>
      <c r="J864" s="26"/>
      <c r="Z864" s="26"/>
      <c r="AA864" s="26"/>
    </row>
    <row r="865" spans="8:27" x14ac:dyDescent="0.2">
      <c r="H865" s="26"/>
      <c r="I865" s="26"/>
      <c r="J865" s="26"/>
      <c r="Z865" s="26"/>
      <c r="AA865" s="26"/>
    </row>
    <row r="866" spans="8:27" x14ac:dyDescent="0.2">
      <c r="H866" s="26"/>
      <c r="I866" s="26"/>
      <c r="J866" s="26"/>
      <c r="Z866" s="26"/>
      <c r="AA866" s="26"/>
    </row>
    <row r="867" spans="8:27" x14ac:dyDescent="0.2">
      <c r="H867" s="26"/>
      <c r="I867" s="26"/>
      <c r="J867" s="26"/>
      <c r="Z867" s="26"/>
      <c r="AA867" s="26"/>
    </row>
    <row r="868" spans="8:27" x14ac:dyDescent="0.2">
      <c r="H868" s="26"/>
      <c r="I868" s="26"/>
      <c r="J868" s="26"/>
      <c r="Z868" s="26"/>
      <c r="AA868" s="26"/>
    </row>
    <row r="869" spans="8:27" x14ac:dyDescent="0.2">
      <c r="H869" s="26"/>
      <c r="I869" s="26"/>
      <c r="J869" s="26"/>
      <c r="Z869" s="26"/>
      <c r="AA869" s="26"/>
    </row>
    <row r="870" spans="8:27" x14ac:dyDescent="0.2">
      <c r="H870" s="26"/>
      <c r="I870" s="26"/>
      <c r="J870" s="26"/>
      <c r="Z870" s="26"/>
      <c r="AA870" s="26"/>
    </row>
    <row r="871" spans="8:27" x14ac:dyDescent="0.2">
      <c r="H871" s="26"/>
      <c r="I871" s="26"/>
      <c r="J871" s="26"/>
      <c r="Z871" s="26"/>
      <c r="AA871" s="26"/>
    </row>
    <row r="872" spans="8:27" x14ac:dyDescent="0.2">
      <c r="H872" s="26"/>
      <c r="I872" s="26"/>
      <c r="J872" s="26"/>
      <c r="Z872" s="26"/>
      <c r="AA872" s="26"/>
    </row>
    <row r="873" spans="8:27" x14ac:dyDescent="0.2">
      <c r="H873" s="26"/>
      <c r="I873" s="26"/>
      <c r="J873" s="26"/>
      <c r="Z873" s="26"/>
      <c r="AA873" s="26"/>
    </row>
    <row r="874" spans="8:27" x14ac:dyDescent="0.2">
      <c r="H874" s="26"/>
      <c r="I874" s="26"/>
      <c r="J874" s="26"/>
      <c r="Z874" s="26"/>
      <c r="AA874" s="26"/>
    </row>
    <row r="875" spans="8:27" x14ac:dyDescent="0.2">
      <c r="H875" s="26"/>
      <c r="I875" s="26"/>
      <c r="J875" s="26"/>
      <c r="Z875" s="26"/>
      <c r="AA875" s="26"/>
    </row>
    <row r="876" spans="8:27" x14ac:dyDescent="0.2">
      <c r="H876" s="26"/>
      <c r="I876" s="26"/>
      <c r="J876" s="26"/>
      <c r="Z876" s="26"/>
      <c r="AA876" s="26"/>
    </row>
    <row r="877" spans="8:27" x14ac:dyDescent="0.2">
      <c r="H877" s="26"/>
      <c r="I877" s="26"/>
      <c r="J877" s="26"/>
      <c r="Z877" s="26"/>
      <c r="AA877" s="26"/>
    </row>
    <row r="878" spans="8:27" x14ac:dyDescent="0.2">
      <c r="H878" s="26"/>
      <c r="I878" s="26"/>
      <c r="J878" s="26"/>
      <c r="Z878" s="26"/>
      <c r="AA878" s="26"/>
    </row>
    <row r="879" spans="8:27" x14ac:dyDescent="0.2">
      <c r="H879" s="26"/>
      <c r="I879" s="26"/>
      <c r="J879" s="26"/>
      <c r="Z879" s="26"/>
      <c r="AA879" s="26"/>
    </row>
    <row r="880" spans="8:27" x14ac:dyDescent="0.2">
      <c r="H880" s="26"/>
      <c r="I880" s="26"/>
      <c r="J880" s="26"/>
      <c r="Z880" s="26"/>
      <c r="AA880" s="26"/>
    </row>
    <row r="881" spans="8:27" x14ac:dyDescent="0.2">
      <c r="H881" s="26"/>
      <c r="I881" s="26"/>
      <c r="J881" s="26"/>
      <c r="Z881" s="26"/>
      <c r="AA881" s="26"/>
    </row>
    <row r="882" spans="8:27" x14ac:dyDescent="0.2">
      <c r="H882" s="26"/>
      <c r="I882" s="26"/>
      <c r="J882" s="26"/>
      <c r="Z882" s="26"/>
      <c r="AA882" s="26"/>
    </row>
    <row r="883" spans="8:27" x14ac:dyDescent="0.2">
      <c r="H883" s="26"/>
      <c r="I883" s="26"/>
      <c r="J883" s="26"/>
      <c r="Z883" s="26"/>
      <c r="AA883" s="26"/>
    </row>
    <row r="884" spans="8:27" x14ac:dyDescent="0.2">
      <c r="H884" s="26"/>
      <c r="I884" s="26"/>
      <c r="J884" s="26"/>
      <c r="Z884" s="26"/>
      <c r="AA884" s="26"/>
    </row>
    <row r="885" spans="8:27" x14ac:dyDescent="0.2">
      <c r="H885" s="26"/>
      <c r="I885" s="26"/>
      <c r="J885" s="26"/>
      <c r="Z885" s="26"/>
      <c r="AA885" s="26"/>
    </row>
    <row r="886" spans="8:27" x14ac:dyDescent="0.2">
      <c r="H886" s="26"/>
      <c r="I886" s="26"/>
      <c r="J886" s="26"/>
      <c r="Z886" s="26"/>
      <c r="AA886" s="26"/>
    </row>
    <row r="887" spans="8:27" x14ac:dyDescent="0.2">
      <c r="H887" s="26"/>
      <c r="I887" s="26"/>
      <c r="J887" s="26"/>
      <c r="Z887" s="26"/>
      <c r="AA887" s="26"/>
    </row>
    <row r="888" spans="8:27" x14ac:dyDescent="0.2">
      <c r="H888" s="26"/>
      <c r="I888" s="26"/>
      <c r="J888" s="26"/>
      <c r="Z888" s="26"/>
      <c r="AA888" s="26"/>
    </row>
    <row r="889" spans="8:27" x14ac:dyDescent="0.2">
      <c r="H889" s="26"/>
      <c r="I889" s="26"/>
      <c r="J889" s="26"/>
      <c r="Z889" s="26"/>
      <c r="AA889" s="26"/>
    </row>
    <row r="890" spans="8:27" x14ac:dyDescent="0.2">
      <c r="H890" s="26"/>
      <c r="I890" s="26"/>
      <c r="J890" s="26"/>
      <c r="Z890" s="26"/>
      <c r="AA890" s="26"/>
    </row>
    <row r="891" spans="8:27" x14ac:dyDescent="0.2">
      <c r="H891" s="26"/>
      <c r="I891" s="26"/>
      <c r="J891" s="26"/>
      <c r="Z891" s="26"/>
      <c r="AA891" s="26"/>
    </row>
    <row r="892" spans="8:27" x14ac:dyDescent="0.2">
      <c r="H892" s="26"/>
      <c r="I892" s="26"/>
      <c r="J892" s="26"/>
      <c r="Z892" s="26"/>
      <c r="AA892" s="26"/>
    </row>
    <row r="893" spans="8:27" x14ac:dyDescent="0.2">
      <c r="H893" s="26"/>
      <c r="I893" s="26"/>
      <c r="J893" s="26"/>
      <c r="Z893" s="26"/>
      <c r="AA893" s="26"/>
    </row>
    <row r="894" spans="8:27" x14ac:dyDescent="0.2">
      <c r="H894" s="26"/>
      <c r="I894" s="26"/>
      <c r="J894" s="26"/>
      <c r="Z894" s="26"/>
      <c r="AA894" s="26"/>
    </row>
    <row r="895" spans="8:27" x14ac:dyDescent="0.2">
      <c r="H895" s="26"/>
      <c r="I895" s="26"/>
      <c r="J895" s="26"/>
      <c r="Z895" s="26"/>
      <c r="AA895" s="26"/>
    </row>
    <row r="896" spans="8:27" x14ac:dyDescent="0.2">
      <c r="H896" s="26"/>
      <c r="I896" s="26"/>
      <c r="J896" s="26"/>
      <c r="Z896" s="26"/>
      <c r="AA896" s="26"/>
    </row>
    <row r="897" spans="8:27" x14ac:dyDescent="0.2">
      <c r="H897" s="26"/>
      <c r="I897" s="26"/>
      <c r="J897" s="26"/>
      <c r="Z897" s="26"/>
      <c r="AA897" s="26"/>
    </row>
    <row r="898" spans="8:27" x14ac:dyDescent="0.2">
      <c r="H898" s="26"/>
      <c r="I898" s="26"/>
      <c r="J898" s="26"/>
      <c r="Z898" s="26"/>
      <c r="AA898" s="26"/>
    </row>
    <row r="899" spans="8:27" x14ac:dyDescent="0.2">
      <c r="H899" s="26"/>
      <c r="I899" s="26"/>
      <c r="J899" s="26"/>
      <c r="Z899" s="26"/>
      <c r="AA899" s="26"/>
    </row>
    <row r="900" spans="8:27" x14ac:dyDescent="0.2">
      <c r="H900" s="26"/>
      <c r="I900" s="26"/>
      <c r="J900" s="26"/>
      <c r="Z900" s="26"/>
      <c r="AA900" s="26"/>
    </row>
    <row r="901" spans="8:27" x14ac:dyDescent="0.2">
      <c r="H901" s="26"/>
      <c r="I901" s="26"/>
      <c r="J901" s="26"/>
      <c r="Z901" s="26"/>
      <c r="AA901" s="26"/>
    </row>
    <row r="902" spans="8:27" x14ac:dyDescent="0.2">
      <c r="H902" s="26"/>
      <c r="I902" s="26"/>
      <c r="J902" s="26"/>
      <c r="Z902" s="26"/>
      <c r="AA902" s="26"/>
    </row>
    <row r="903" spans="8:27" x14ac:dyDescent="0.2">
      <c r="H903" s="26"/>
      <c r="I903" s="26"/>
      <c r="J903" s="26"/>
      <c r="Z903" s="26"/>
      <c r="AA903" s="26"/>
    </row>
    <row r="904" spans="8:27" x14ac:dyDescent="0.2">
      <c r="H904" s="26"/>
      <c r="I904" s="26"/>
      <c r="J904" s="26"/>
      <c r="Z904" s="26"/>
      <c r="AA904" s="26"/>
    </row>
    <row r="905" spans="8:27" x14ac:dyDescent="0.2">
      <c r="H905" s="26"/>
      <c r="I905" s="26"/>
      <c r="J905" s="26"/>
      <c r="Z905" s="26"/>
      <c r="AA905" s="26"/>
    </row>
    <row r="906" spans="8:27" x14ac:dyDescent="0.2">
      <c r="H906" s="26"/>
      <c r="I906" s="26"/>
      <c r="J906" s="26"/>
      <c r="Z906" s="26"/>
      <c r="AA906" s="26"/>
    </row>
    <row r="907" spans="8:27" x14ac:dyDescent="0.2">
      <c r="H907" s="26"/>
      <c r="I907" s="26"/>
      <c r="J907" s="26"/>
      <c r="Z907" s="26"/>
      <c r="AA907" s="26"/>
    </row>
    <row r="908" spans="8:27" x14ac:dyDescent="0.2">
      <c r="H908" s="26"/>
      <c r="I908" s="26"/>
      <c r="J908" s="26"/>
      <c r="Z908" s="26"/>
      <c r="AA908" s="26"/>
    </row>
    <row r="909" spans="8:27" x14ac:dyDescent="0.2">
      <c r="H909" s="26"/>
      <c r="I909" s="26"/>
      <c r="J909" s="26"/>
      <c r="Z909" s="26"/>
      <c r="AA909" s="26"/>
    </row>
    <row r="910" spans="8:27" x14ac:dyDescent="0.2">
      <c r="H910" s="26"/>
      <c r="I910" s="26"/>
      <c r="J910" s="26"/>
      <c r="Z910" s="26"/>
      <c r="AA910" s="26"/>
    </row>
    <row r="911" spans="8:27" x14ac:dyDescent="0.2">
      <c r="H911" s="26"/>
      <c r="I911" s="26"/>
      <c r="J911" s="26"/>
      <c r="Z911" s="26"/>
      <c r="AA911" s="26"/>
    </row>
    <row r="912" spans="8:27" x14ac:dyDescent="0.2">
      <c r="H912" s="26"/>
      <c r="I912" s="26"/>
      <c r="J912" s="26"/>
      <c r="Z912" s="26"/>
      <c r="AA912" s="26"/>
    </row>
    <row r="913" spans="8:27" x14ac:dyDescent="0.2">
      <c r="H913" s="26"/>
      <c r="I913" s="26"/>
      <c r="J913" s="26"/>
      <c r="Z913" s="26"/>
      <c r="AA913" s="26"/>
    </row>
    <row r="914" spans="8:27" x14ac:dyDescent="0.2">
      <c r="H914" s="26"/>
      <c r="I914" s="26"/>
      <c r="J914" s="26"/>
      <c r="Z914" s="26"/>
      <c r="AA914" s="26"/>
    </row>
    <row r="915" spans="8:27" x14ac:dyDescent="0.2">
      <c r="H915" s="26"/>
      <c r="I915" s="26"/>
      <c r="J915" s="26"/>
      <c r="Z915" s="26"/>
      <c r="AA915" s="26"/>
    </row>
    <row r="916" spans="8:27" x14ac:dyDescent="0.2">
      <c r="H916" s="26"/>
      <c r="I916" s="26"/>
      <c r="J916" s="26"/>
      <c r="Z916" s="26"/>
      <c r="AA916" s="26"/>
    </row>
    <row r="917" spans="8:27" x14ac:dyDescent="0.2">
      <c r="H917" s="26"/>
      <c r="I917" s="26"/>
      <c r="J917" s="26"/>
      <c r="Z917" s="26"/>
      <c r="AA917" s="26"/>
    </row>
    <row r="918" spans="8:27" x14ac:dyDescent="0.2">
      <c r="H918" s="26"/>
      <c r="I918" s="26"/>
      <c r="J918" s="26"/>
      <c r="Z918" s="26"/>
      <c r="AA918" s="26"/>
    </row>
    <row r="919" spans="8:27" x14ac:dyDescent="0.2">
      <c r="H919" s="26"/>
      <c r="I919" s="26"/>
      <c r="J919" s="26"/>
      <c r="Z919" s="26"/>
      <c r="AA919" s="26"/>
    </row>
    <row r="920" spans="8:27" x14ac:dyDescent="0.2">
      <c r="H920" s="26"/>
      <c r="I920" s="26"/>
      <c r="J920" s="26"/>
      <c r="Z920" s="26"/>
      <c r="AA920" s="26"/>
    </row>
    <row r="921" spans="8:27" x14ac:dyDescent="0.2">
      <c r="H921" s="26"/>
      <c r="I921" s="26"/>
      <c r="J921" s="26"/>
      <c r="Z921" s="26"/>
      <c r="AA921" s="26"/>
    </row>
    <row r="922" spans="8:27" x14ac:dyDescent="0.2">
      <c r="H922" s="26"/>
      <c r="I922" s="26"/>
      <c r="J922" s="26"/>
      <c r="Z922" s="26"/>
      <c r="AA922" s="26"/>
    </row>
    <row r="923" spans="8:27" x14ac:dyDescent="0.2">
      <c r="H923" s="26"/>
      <c r="I923" s="26"/>
      <c r="J923" s="26"/>
      <c r="Z923" s="26"/>
      <c r="AA923" s="26"/>
    </row>
    <row r="924" spans="8:27" x14ac:dyDescent="0.2">
      <c r="H924" s="26"/>
      <c r="I924" s="26"/>
      <c r="J924" s="26"/>
      <c r="Z924" s="26"/>
      <c r="AA924" s="26"/>
    </row>
    <row r="925" spans="8:27" x14ac:dyDescent="0.2">
      <c r="H925" s="26"/>
      <c r="I925" s="26"/>
      <c r="J925" s="26"/>
      <c r="Z925" s="26"/>
      <c r="AA925" s="26"/>
    </row>
    <row r="926" spans="8:27" x14ac:dyDescent="0.2">
      <c r="H926" s="26"/>
      <c r="I926" s="26"/>
      <c r="J926" s="26"/>
      <c r="Z926" s="26"/>
      <c r="AA926" s="26"/>
    </row>
    <row r="927" spans="8:27" x14ac:dyDescent="0.2">
      <c r="H927" s="26"/>
      <c r="I927" s="26"/>
      <c r="J927" s="26"/>
      <c r="Z927" s="26"/>
      <c r="AA927" s="26"/>
    </row>
    <row r="928" spans="8:27" x14ac:dyDescent="0.2">
      <c r="H928" s="26"/>
      <c r="I928" s="26"/>
      <c r="J928" s="26"/>
      <c r="Z928" s="26"/>
      <c r="AA928" s="26"/>
    </row>
    <row r="929" spans="8:27" x14ac:dyDescent="0.2">
      <c r="H929" s="26"/>
      <c r="I929" s="26"/>
      <c r="J929" s="26"/>
      <c r="Z929" s="26"/>
      <c r="AA929" s="26"/>
    </row>
    <row r="930" spans="8:27" x14ac:dyDescent="0.2">
      <c r="H930" s="26"/>
      <c r="I930" s="26"/>
      <c r="J930" s="26"/>
      <c r="Z930" s="26"/>
      <c r="AA930" s="26"/>
    </row>
    <row r="931" spans="8:27" x14ac:dyDescent="0.2">
      <c r="H931" s="26"/>
      <c r="I931" s="26"/>
      <c r="J931" s="26"/>
      <c r="Z931" s="26"/>
      <c r="AA931" s="26"/>
    </row>
    <row r="932" spans="8:27" x14ac:dyDescent="0.2">
      <c r="H932" s="26"/>
      <c r="I932" s="26"/>
      <c r="J932" s="26"/>
      <c r="Z932" s="26"/>
      <c r="AA932" s="26"/>
    </row>
    <row r="933" spans="8:27" x14ac:dyDescent="0.2">
      <c r="H933" s="26"/>
      <c r="I933" s="26"/>
      <c r="J933" s="26"/>
      <c r="Z933" s="26"/>
      <c r="AA933" s="26"/>
    </row>
    <row r="934" spans="8:27" x14ac:dyDescent="0.2">
      <c r="H934" s="26"/>
      <c r="I934" s="26"/>
      <c r="J934" s="26"/>
      <c r="Z934" s="26"/>
      <c r="AA934" s="26"/>
    </row>
    <row r="935" spans="8:27" x14ac:dyDescent="0.2">
      <c r="H935" s="26"/>
      <c r="I935" s="26"/>
      <c r="J935" s="26"/>
      <c r="Z935" s="26"/>
      <c r="AA935" s="26"/>
    </row>
    <row r="936" spans="8:27" x14ac:dyDescent="0.2">
      <c r="H936" s="26"/>
      <c r="I936" s="26"/>
      <c r="J936" s="26"/>
      <c r="Z936" s="26"/>
      <c r="AA936" s="26"/>
    </row>
    <row r="937" spans="8:27" x14ac:dyDescent="0.2">
      <c r="H937" s="26"/>
      <c r="I937" s="26"/>
      <c r="J937" s="26"/>
      <c r="Z937" s="26"/>
      <c r="AA937" s="26"/>
    </row>
    <row r="938" spans="8:27" x14ac:dyDescent="0.2">
      <c r="H938" s="26"/>
      <c r="I938" s="26"/>
      <c r="J938" s="26"/>
      <c r="Z938" s="26"/>
      <c r="AA938" s="26"/>
    </row>
    <row r="939" spans="8:27" x14ac:dyDescent="0.2">
      <c r="H939" s="26"/>
      <c r="I939" s="26"/>
      <c r="J939" s="26"/>
      <c r="Z939" s="26"/>
      <c r="AA939" s="26"/>
    </row>
    <row r="940" spans="8:27" x14ac:dyDescent="0.2">
      <c r="H940" s="26"/>
      <c r="I940" s="26"/>
      <c r="J940" s="26"/>
      <c r="Z940" s="26"/>
      <c r="AA940" s="26"/>
    </row>
    <row r="941" spans="8:27" x14ac:dyDescent="0.2">
      <c r="H941" s="26"/>
      <c r="I941" s="26"/>
      <c r="J941" s="26"/>
      <c r="Z941" s="26"/>
      <c r="AA941" s="26"/>
    </row>
    <row r="942" spans="8:27" x14ac:dyDescent="0.2">
      <c r="H942" s="26"/>
      <c r="I942" s="26"/>
      <c r="J942" s="26"/>
      <c r="Z942" s="26"/>
      <c r="AA942" s="26"/>
    </row>
    <row r="943" spans="8:27" x14ac:dyDescent="0.2">
      <c r="H943" s="26"/>
      <c r="I943" s="26"/>
      <c r="J943" s="26"/>
      <c r="Z943" s="26"/>
      <c r="AA943" s="26"/>
    </row>
    <row r="944" spans="8:27" x14ac:dyDescent="0.2">
      <c r="H944" s="26"/>
      <c r="I944" s="26"/>
      <c r="J944" s="26"/>
      <c r="Z944" s="26"/>
      <c r="AA944" s="26"/>
    </row>
    <row r="945" spans="8:27" x14ac:dyDescent="0.2">
      <c r="H945" s="26"/>
      <c r="I945" s="26"/>
      <c r="J945" s="26"/>
      <c r="Z945" s="26"/>
      <c r="AA945" s="26"/>
    </row>
    <row r="946" spans="8:27" x14ac:dyDescent="0.2">
      <c r="H946" s="26"/>
      <c r="I946" s="26"/>
      <c r="J946" s="26"/>
      <c r="Z946" s="26"/>
      <c r="AA946" s="26"/>
    </row>
    <row r="947" spans="8:27" x14ac:dyDescent="0.2">
      <c r="H947" s="26"/>
      <c r="I947" s="26"/>
      <c r="J947" s="26"/>
      <c r="Z947" s="26"/>
      <c r="AA947" s="26"/>
    </row>
    <row r="948" spans="8:27" x14ac:dyDescent="0.2">
      <c r="H948" s="26"/>
      <c r="I948" s="26"/>
      <c r="J948" s="26"/>
      <c r="Z948" s="26"/>
      <c r="AA948" s="26"/>
    </row>
    <row r="949" spans="8:27" x14ac:dyDescent="0.2">
      <c r="H949" s="26"/>
      <c r="I949" s="26"/>
      <c r="J949" s="26"/>
      <c r="Z949" s="26"/>
      <c r="AA949" s="26"/>
    </row>
    <row r="950" spans="8:27" x14ac:dyDescent="0.2">
      <c r="H950" s="26"/>
      <c r="I950" s="26"/>
      <c r="J950" s="26"/>
      <c r="Z950" s="26"/>
      <c r="AA950" s="26"/>
    </row>
    <row r="951" spans="8:27" x14ac:dyDescent="0.2">
      <c r="H951" s="26"/>
      <c r="I951" s="26"/>
      <c r="J951" s="26"/>
      <c r="Z951" s="26"/>
      <c r="AA951" s="26"/>
    </row>
    <row r="952" spans="8:27" x14ac:dyDescent="0.2">
      <c r="H952" s="26"/>
      <c r="I952" s="26"/>
      <c r="J952" s="26"/>
      <c r="Z952" s="26"/>
      <c r="AA952" s="26"/>
    </row>
    <row r="953" spans="8:27" x14ac:dyDescent="0.2">
      <c r="H953" s="26"/>
      <c r="I953" s="26"/>
      <c r="J953" s="26"/>
      <c r="Z953" s="26"/>
      <c r="AA953" s="26"/>
    </row>
    <row r="954" spans="8:27" x14ac:dyDescent="0.2">
      <c r="H954" s="26"/>
      <c r="I954" s="26"/>
      <c r="J954" s="26"/>
      <c r="Z954" s="26"/>
      <c r="AA954" s="26"/>
    </row>
    <row r="955" spans="8:27" x14ac:dyDescent="0.2">
      <c r="H955" s="26"/>
      <c r="I955" s="26"/>
      <c r="J955" s="26"/>
      <c r="Z955" s="26"/>
      <c r="AA955" s="26"/>
    </row>
    <row r="956" spans="8:27" x14ac:dyDescent="0.2">
      <c r="H956" s="26"/>
      <c r="I956" s="26"/>
      <c r="J956" s="26"/>
      <c r="Z956" s="26"/>
      <c r="AA956" s="26"/>
    </row>
    <row r="957" spans="8:27" x14ac:dyDescent="0.2">
      <c r="H957" s="26"/>
      <c r="I957" s="26"/>
      <c r="J957" s="26"/>
      <c r="Z957" s="26"/>
      <c r="AA957" s="26"/>
    </row>
    <row r="958" spans="8:27" x14ac:dyDescent="0.2">
      <c r="H958" s="26"/>
      <c r="I958" s="26"/>
      <c r="J958" s="26"/>
      <c r="Z958" s="26"/>
      <c r="AA958" s="26"/>
    </row>
    <row r="959" spans="8:27" x14ac:dyDescent="0.2">
      <c r="H959" s="26"/>
      <c r="I959" s="26"/>
      <c r="J959" s="26"/>
      <c r="Z959" s="26"/>
      <c r="AA959" s="26"/>
    </row>
    <row r="960" spans="8:27" x14ac:dyDescent="0.2">
      <c r="H960" s="26"/>
      <c r="I960" s="26"/>
      <c r="J960" s="26"/>
      <c r="Z960" s="26"/>
      <c r="AA960" s="26"/>
    </row>
    <row r="961" spans="8:27" x14ac:dyDescent="0.2">
      <c r="H961" s="26"/>
      <c r="I961" s="26"/>
      <c r="J961" s="26"/>
      <c r="Z961" s="26"/>
      <c r="AA961" s="26"/>
    </row>
    <row r="962" spans="8:27" x14ac:dyDescent="0.2">
      <c r="H962" s="26"/>
      <c r="I962" s="26"/>
      <c r="J962" s="26"/>
      <c r="Z962" s="26"/>
      <c r="AA962" s="26"/>
    </row>
    <row r="963" spans="8:27" x14ac:dyDescent="0.2">
      <c r="H963" s="26"/>
      <c r="I963" s="26"/>
      <c r="J963" s="26"/>
      <c r="Z963" s="26"/>
      <c r="AA963" s="26"/>
    </row>
    <row r="964" spans="8:27" x14ac:dyDescent="0.2">
      <c r="H964" s="26"/>
      <c r="I964" s="26"/>
      <c r="J964" s="26"/>
      <c r="Z964" s="26"/>
      <c r="AA964" s="26"/>
    </row>
    <row r="965" spans="8:27" x14ac:dyDescent="0.2">
      <c r="H965" s="26"/>
      <c r="I965" s="26"/>
      <c r="J965" s="26"/>
      <c r="Z965" s="26"/>
      <c r="AA965" s="26"/>
    </row>
    <row r="966" spans="8:27" x14ac:dyDescent="0.2">
      <c r="H966" s="26"/>
      <c r="I966" s="26"/>
      <c r="J966" s="26"/>
      <c r="Z966" s="26"/>
      <c r="AA966" s="26"/>
    </row>
    <row r="967" spans="8:27" x14ac:dyDescent="0.2">
      <c r="H967" s="26"/>
      <c r="I967" s="26"/>
      <c r="J967" s="26"/>
      <c r="Z967" s="26"/>
      <c r="AA967" s="26"/>
    </row>
    <row r="968" spans="8:27" x14ac:dyDescent="0.2">
      <c r="H968" s="26"/>
      <c r="I968" s="26"/>
      <c r="J968" s="26"/>
      <c r="Z968" s="26"/>
      <c r="AA968" s="26"/>
    </row>
    <row r="969" spans="8:27" x14ac:dyDescent="0.2">
      <c r="H969" s="26"/>
      <c r="I969" s="26"/>
      <c r="J969" s="26"/>
      <c r="Z969" s="26"/>
      <c r="AA969" s="26"/>
    </row>
    <row r="970" spans="8:27" x14ac:dyDescent="0.2">
      <c r="H970" s="26"/>
      <c r="I970" s="26"/>
      <c r="J970" s="26"/>
      <c r="Z970" s="26"/>
      <c r="AA970" s="26"/>
    </row>
    <row r="971" spans="8:27" x14ac:dyDescent="0.2">
      <c r="H971" s="26"/>
      <c r="I971" s="26"/>
      <c r="J971" s="26"/>
      <c r="Z971" s="26"/>
      <c r="AA971" s="26"/>
    </row>
    <row r="972" spans="8:27" x14ac:dyDescent="0.2">
      <c r="H972" s="26"/>
      <c r="I972" s="26"/>
      <c r="J972" s="26"/>
      <c r="Z972" s="26"/>
      <c r="AA972" s="26"/>
    </row>
    <row r="973" spans="8:27" x14ac:dyDescent="0.2">
      <c r="H973" s="26"/>
      <c r="I973" s="26"/>
      <c r="J973" s="26"/>
      <c r="Z973" s="26"/>
      <c r="AA973" s="26"/>
    </row>
    <row r="974" spans="8:27" x14ac:dyDescent="0.2">
      <c r="H974" s="26"/>
      <c r="I974" s="26"/>
      <c r="J974" s="26"/>
      <c r="Z974" s="26"/>
      <c r="AA974" s="26"/>
    </row>
    <row r="975" spans="8:27" x14ac:dyDescent="0.2">
      <c r="H975" s="26"/>
      <c r="I975" s="26"/>
      <c r="J975" s="26"/>
      <c r="Z975" s="26"/>
      <c r="AA975" s="26"/>
    </row>
    <row r="976" spans="8:27" x14ac:dyDescent="0.2">
      <c r="H976" s="26"/>
      <c r="I976" s="26"/>
      <c r="J976" s="26"/>
      <c r="Z976" s="26"/>
      <c r="AA976" s="26"/>
    </row>
    <row r="977" spans="8:27" x14ac:dyDescent="0.2">
      <c r="H977" s="26"/>
      <c r="I977" s="26"/>
      <c r="J977" s="26"/>
      <c r="Z977" s="26"/>
      <c r="AA977" s="26"/>
    </row>
    <row r="978" spans="8:27" x14ac:dyDescent="0.2">
      <c r="H978" s="26"/>
      <c r="I978" s="26"/>
      <c r="J978" s="26"/>
      <c r="Z978" s="26"/>
      <c r="AA978" s="26"/>
    </row>
    <row r="979" spans="8:27" x14ac:dyDescent="0.2">
      <c r="H979" s="26"/>
      <c r="I979" s="26"/>
      <c r="J979" s="26"/>
      <c r="Z979" s="26"/>
      <c r="AA979" s="26"/>
    </row>
    <row r="980" spans="8:27" x14ac:dyDescent="0.2">
      <c r="H980" s="26"/>
      <c r="I980" s="26"/>
      <c r="J980" s="26"/>
      <c r="Z980" s="26"/>
      <c r="AA980" s="26"/>
    </row>
    <row r="981" spans="8:27" x14ac:dyDescent="0.2">
      <c r="H981" s="26"/>
      <c r="I981" s="26"/>
      <c r="J981" s="26"/>
      <c r="Z981" s="26"/>
      <c r="AA981" s="26"/>
    </row>
    <row r="982" spans="8:27" x14ac:dyDescent="0.2">
      <c r="H982" s="26"/>
      <c r="I982" s="26"/>
      <c r="J982" s="26"/>
      <c r="Z982" s="26"/>
      <c r="AA982" s="26"/>
    </row>
    <row r="983" spans="8:27" x14ac:dyDescent="0.2">
      <c r="H983" s="26"/>
      <c r="I983" s="26"/>
      <c r="J983" s="26"/>
      <c r="Z983" s="26"/>
      <c r="AA983" s="26"/>
    </row>
    <row r="984" spans="8:27" x14ac:dyDescent="0.2">
      <c r="H984" s="26"/>
      <c r="I984" s="26"/>
      <c r="J984" s="26"/>
      <c r="Z984" s="26"/>
      <c r="AA984" s="26"/>
    </row>
    <row r="985" spans="8:27" x14ac:dyDescent="0.2">
      <c r="H985" s="26"/>
      <c r="I985" s="26"/>
      <c r="J985" s="26"/>
      <c r="Z985" s="26"/>
      <c r="AA985" s="26"/>
    </row>
    <row r="986" spans="8:27" x14ac:dyDescent="0.2">
      <c r="H986" s="26"/>
      <c r="I986" s="26"/>
      <c r="J986" s="26"/>
      <c r="Z986" s="26"/>
      <c r="AA986" s="26"/>
    </row>
    <row r="987" spans="8:27" x14ac:dyDescent="0.2">
      <c r="H987" s="26"/>
      <c r="I987" s="26"/>
      <c r="J987" s="26"/>
      <c r="Z987" s="26"/>
      <c r="AA987" s="26"/>
    </row>
    <row r="988" spans="8:27" x14ac:dyDescent="0.2">
      <c r="H988" s="26"/>
      <c r="I988" s="26"/>
      <c r="J988" s="26"/>
      <c r="Z988" s="26"/>
      <c r="AA988" s="26"/>
    </row>
    <row r="989" spans="8:27" x14ac:dyDescent="0.2">
      <c r="H989" s="26"/>
      <c r="I989" s="26"/>
      <c r="J989" s="26"/>
      <c r="Z989" s="26"/>
      <c r="AA989" s="26"/>
    </row>
    <row r="990" spans="8:27" x14ac:dyDescent="0.2">
      <c r="H990" s="26"/>
      <c r="I990" s="26"/>
      <c r="J990" s="26"/>
      <c r="Z990" s="26"/>
      <c r="AA990" s="26"/>
    </row>
    <row r="991" spans="8:27" x14ac:dyDescent="0.2">
      <c r="H991" s="26"/>
      <c r="I991" s="26"/>
      <c r="J991" s="26"/>
      <c r="Z991" s="26"/>
      <c r="AA991" s="26"/>
    </row>
    <row r="992" spans="8:27" x14ac:dyDescent="0.2">
      <c r="H992" s="26"/>
      <c r="I992" s="26"/>
      <c r="J992" s="26"/>
      <c r="Z992" s="26"/>
      <c r="AA992" s="26"/>
    </row>
    <row r="993" spans="8:27" x14ac:dyDescent="0.2">
      <c r="H993" s="26"/>
      <c r="I993" s="26"/>
      <c r="J993" s="26"/>
      <c r="Z993" s="26"/>
      <c r="AA993" s="26"/>
    </row>
    <row r="994" spans="8:27" x14ac:dyDescent="0.2">
      <c r="H994" s="26"/>
      <c r="I994" s="26"/>
      <c r="J994" s="26"/>
      <c r="Z994" s="26"/>
      <c r="AA994" s="26"/>
    </row>
    <row r="995" spans="8:27" x14ac:dyDescent="0.2">
      <c r="H995" s="26"/>
      <c r="I995" s="26"/>
      <c r="J995" s="26"/>
      <c r="Z995" s="26"/>
      <c r="AA995" s="26"/>
    </row>
    <row r="996" spans="8:27" x14ac:dyDescent="0.2">
      <c r="H996" s="26"/>
      <c r="I996" s="26"/>
      <c r="J996" s="26"/>
      <c r="Z996" s="26"/>
      <c r="AA996" s="26"/>
    </row>
    <row r="997" spans="8:27" x14ac:dyDescent="0.2">
      <c r="H997" s="26"/>
      <c r="I997" s="26"/>
      <c r="J997" s="26"/>
      <c r="Z997" s="26"/>
      <c r="AA997" s="26"/>
    </row>
    <row r="998" spans="8:27" x14ac:dyDescent="0.2">
      <c r="H998" s="26"/>
      <c r="I998" s="26"/>
      <c r="J998" s="26"/>
      <c r="Z998" s="26"/>
      <c r="AA998" s="26"/>
    </row>
    <row r="999" spans="8:27" x14ac:dyDescent="0.2">
      <c r="H999" s="26"/>
      <c r="I999" s="26"/>
      <c r="J999" s="26"/>
      <c r="Z999" s="26"/>
      <c r="AA999" s="26"/>
    </row>
    <row r="1000" spans="8:27" x14ac:dyDescent="0.2">
      <c r="H1000" s="26"/>
      <c r="I1000" s="26"/>
      <c r="J1000" s="26"/>
      <c r="Z1000" s="26"/>
      <c r="AA1000" s="26"/>
    </row>
    <row r="1001" spans="8:27" x14ac:dyDescent="0.2">
      <c r="H1001" s="26"/>
      <c r="I1001" s="26"/>
      <c r="J1001" s="26"/>
      <c r="Z1001" s="26"/>
      <c r="AA1001" s="26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BN1002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.75" customHeight="1" x14ac:dyDescent="0.2"/>
  <cols>
    <col min="1" max="1" width="6.42578125" customWidth="1"/>
    <col min="2" max="2" width="47.42578125" customWidth="1"/>
    <col min="3" max="3" width="4.42578125" customWidth="1"/>
    <col min="4" max="4" width="8.7109375" hidden="1" customWidth="1"/>
    <col min="5" max="5" width="30.7109375" hidden="1" customWidth="1"/>
    <col min="6" max="6" width="8.28515625" hidden="1" customWidth="1"/>
    <col min="7" max="7" width="29.42578125" hidden="1" customWidth="1"/>
    <col min="8" max="8" width="9.140625" hidden="1" customWidth="1"/>
    <col min="9" max="9" width="9.85546875" customWidth="1"/>
    <col min="10" max="10" width="10.28515625" customWidth="1"/>
    <col min="11" max="11" width="10.42578125" customWidth="1"/>
    <col min="12" max="12" width="9.28515625" hidden="1" customWidth="1"/>
    <col min="13" max="13" width="11.7109375" hidden="1" customWidth="1"/>
    <col min="14" max="14" width="9.42578125" customWidth="1"/>
    <col min="15" max="15" width="9.28515625" hidden="1" customWidth="1"/>
    <col min="16" max="16" width="12.5703125" hidden="1" customWidth="1"/>
    <col min="17" max="18" width="9.42578125" hidden="1" customWidth="1"/>
    <col min="19" max="19" width="9.42578125" customWidth="1"/>
    <col min="20" max="20" width="9.28515625" hidden="1" customWidth="1"/>
    <col min="21" max="21" width="11.7109375" hidden="1" customWidth="1"/>
    <col min="22" max="23" width="9.42578125" customWidth="1"/>
    <col min="24" max="24" width="8" customWidth="1"/>
    <col min="25" max="25" width="10.42578125" customWidth="1"/>
    <col min="26" max="26" width="13.5703125" customWidth="1"/>
    <col min="27" max="27" width="9.42578125" hidden="1" customWidth="1"/>
    <col min="28" max="29" width="10.42578125" hidden="1" customWidth="1"/>
    <col min="30" max="30" width="11.7109375" hidden="1" customWidth="1"/>
    <col min="31" max="31" width="13.28515625" hidden="1" customWidth="1"/>
    <col min="32" max="32" width="9.42578125" hidden="1" customWidth="1"/>
    <col min="33" max="34" width="10.42578125" hidden="1" customWidth="1"/>
    <col min="35" max="35" width="11.7109375" hidden="1" customWidth="1"/>
    <col min="36" max="36" width="13.28515625" hidden="1" customWidth="1"/>
    <col min="37" max="37" width="9.42578125" hidden="1" customWidth="1"/>
    <col min="38" max="39" width="10.42578125" hidden="1" customWidth="1"/>
    <col min="40" max="40" width="11.7109375" hidden="1" customWidth="1"/>
    <col min="41" max="41" width="13.28515625" hidden="1" customWidth="1"/>
    <col min="42" max="42" width="9.42578125" hidden="1" customWidth="1"/>
    <col min="43" max="44" width="10.42578125" hidden="1" customWidth="1"/>
    <col min="45" max="45" width="11.7109375" hidden="1" customWidth="1"/>
    <col min="46" max="46" width="13.28515625" hidden="1" customWidth="1"/>
    <col min="47" max="47" width="9.42578125" hidden="1" customWidth="1"/>
    <col min="48" max="49" width="10.42578125" hidden="1" customWidth="1"/>
    <col min="50" max="50" width="11.7109375" hidden="1" customWidth="1"/>
    <col min="51" max="51" width="13.28515625" hidden="1" customWidth="1"/>
    <col min="52" max="52" width="9.42578125" hidden="1" customWidth="1"/>
    <col min="53" max="54" width="10.42578125" hidden="1" customWidth="1"/>
    <col min="55" max="55" width="11.7109375" hidden="1" customWidth="1"/>
    <col min="56" max="56" width="13.28515625" hidden="1" customWidth="1"/>
    <col min="57" max="57" width="9.42578125" hidden="1" customWidth="1"/>
    <col min="58" max="59" width="10.42578125" hidden="1" customWidth="1"/>
    <col min="60" max="60" width="11.7109375" hidden="1" customWidth="1"/>
    <col min="61" max="61" width="13.28515625" hidden="1" customWidth="1"/>
    <col min="62" max="62" width="9.42578125" hidden="1" customWidth="1"/>
    <col min="63" max="64" width="10.42578125" hidden="1" customWidth="1"/>
    <col min="65" max="65" width="11.7109375" hidden="1" customWidth="1"/>
    <col min="66" max="66" width="13.28515625" hidden="1" customWidth="1"/>
  </cols>
  <sheetData>
    <row r="1" spans="1:66" ht="12.75" x14ac:dyDescent="0.2">
      <c r="A1" s="1"/>
      <c r="B1" s="1"/>
      <c r="C1" s="1"/>
      <c r="D1" s="1"/>
      <c r="E1" s="1"/>
      <c r="F1" s="1"/>
      <c r="G1" s="1"/>
      <c r="H1" s="2"/>
      <c r="I1" s="2"/>
      <c r="J1" s="3">
        <f t="shared" ref="J1:K1" si="0">SUM(J3:J92)</f>
        <v>507971.24460000015</v>
      </c>
      <c r="K1" s="4">
        <f t="shared" si="0"/>
        <v>636</v>
      </c>
      <c r="L1" s="1"/>
      <c r="M1" s="1"/>
      <c r="N1" s="5">
        <f>SUM(N3:N98)</f>
        <v>198</v>
      </c>
      <c r="O1" s="1"/>
      <c r="P1" s="1"/>
      <c r="Q1" s="5"/>
      <c r="R1" s="5"/>
      <c r="S1" s="5">
        <f>SUM(S3:S98)</f>
        <v>333</v>
      </c>
      <c r="T1" s="1"/>
      <c r="U1" s="1"/>
      <c r="V1" s="5"/>
      <c r="W1" s="5">
        <f>SUM(W3:W98)</f>
        <v>105</v>
      </c>
      <c r="X1" s="6">
        <f>Z1/Y1</f>
        <v>0.67087049411209676</v>
      </c>
      <c r="Y1" s="11">
        <f t="shared" ref="Y1:Z1" si="1">SUM(Y4:Y92)</f>
        <v>1072686.7500000005</v>
      </c>
      <c r="Z1" s="11">
        <f t="shared" si="1"/>
        <v>719633.88999999955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 spans="1:66" ht="12.75" x14ac:dyDescent="0.2">
      <c r="A2" s="12" t="s">
        <v>0</v>
      </c>
      <c r="B2" s="12" t="s">
        <v>1</v>
      </c>
      <c r="C2" s="12" t="s">
        <v>2</v>
      </c>
      <c r="D2" s="12" t="s">
        <v>4</v>
      </c>
      <c r="E2" s="12" t="s">
        <v>5</v>
      </c>
      <c r="F2" s="12" t="s">
        <v>6</v>
      </c>
      <c r="G2" s="12" t="s">
        <v>7</v>
      </c>
      <c r="H2" s="13" t="s">
        <v>8</v>
      </c>
      <c r="I2" s="13" t="s">
        <v>9</v>
      </c>
      <c r="J2" s="3" t="s">
        <v>10</v>
      </c>
      <c r="K2" s="4" t="s">
        <v>11</v>
      </c>
      <c r="L2" s="12" t="s">
        <v>12</v>
      </c>
      <c r="M2" s="12" t="s">
        <v>13</v>
      </c>
      <c r="N2" s="5" t="s">
        <v>14</v>
      </c>
      <c r="O2" s="12" t="s">
        <v>15</v>
      </c>
      <c r="P2" s="12" t="s">
        <v>16</v>
      </c>
      <c r="Q2" s="5"/>
      <c r="R2" s="5"/>
      <c r="S2" s="5" t="s">
        <v>17</v>
      </c>
      <c r="T2" s="12" t="s">
        <v>18</v>
      </c>
      <c r="U2" s="12" t="s">
        <v>19</v>
      </c>
      <c r="V2" s="5"/>
      <c r="W2" s="5" t="s">
        <v>20</v>
      </c>
      <c r="X2" s="12" t="s">
        <v>21</v>
      </c>
      <c r="Y2" s="13" t="s">
        <v>22</v>
      </c>
      <c r="Z2" s="13" t="s">
        <v>23</v>
      </c>
      <c r="AA2" s="12" t="s">
        <v>24</v>
      </c>
      <c r="AB2" s="12" t="s">
        <v>25</v>
      </c>
      <c r="AC2" s="12" t="s">
        <v>26</v>
      </c>
      <c r="AD2" s="12" t="s">
        <v>27</v>
      </c>
      <c r="AE2" s="12" t="s">
        <v>28</v>
      </c>
      <c r="AF2" s="12" t="s">
        <v>29</v>
      </c>
      <c r="AG2" s="12" t="s">
        <v>30</v>
      </c>
      <c r="AH2" s="12" t="s">
        <v>31</v>
      </c>
      <c r="AI2" s="12" t="s">
        <v>32</v>
      </c>
      <c r="AJ2" s="12" t="s">
        <v>33</v>
      </c>
      <c r="AK2" s="12" t="s">
        <v>34</v>
      </c>
      <c r="AL2" s="12" t="s">
        <v>35</v>
      </c>
      <c r="AM2" s="12" t="s">
        <v>36</v>
      </c>
      <c r="AN2" s="12" t="s">
        <v>37</v>
      </c>
      <c r="AO2" s="12" t="s">
        <v>38</v>
      </c>
      <c r="AP2" s="12" t="s">
        <v>39</v>
      </c>
      <c r="AQ2" s="12" t="s">
        <v>40</v>
      </c>
      <c r="AR2" s="12" t="s">
        <v>41</v>
      </c>
      <c r="AS2" s="12" t="s">
        <v>42</v>
      </c>
      <c r="AT2" s="12" t="s">
        <v>43</v>
      </c>
      <c r="AU2" s="12" t="s">
        <v>44</v>
      </c>
      <c r="AV2" s="12" t="s">
        <v>45</v>
      </c>
      <c r="AW2" s="12" t="s">
        <v>46</v>
      </c>
      <c r="AX2" s="12" t="s">
        <v>47</v>
      </c>
      <c r="AY2" s="12" t="s">
        <v>48</v>
      </c>
      <c r="AZ2" s="12" t="s">
        <v>49</v>
      </c>
      <c r="BA2" s="12" t="s">
        <v>50</v>
      </c>
      <c r="BB2" s="12" t="s">
        <v>51</v>
      </c>
      <c r="BC2" s="12" t="s">
        <v>52</v>
      </c>
      <c r="BD2" s="12" t="s">
        <v>53</v>
      </c>
      <c r="BE2" s="12" t="s">
        <v>54</v>
      </c>
      <c r="BF2" s="12" t="s">
        <v>55</v>
      </c>
      <c r="BG2" s="12" t="s">
        <v>56</v>
      </c>
      <c r="BH2" s="12" t="s">
        <v>57</v>
      </c>
      <c r="BI2" s="12" t="s">
        <v>58</v>
      </c>
      <c r="BJ2" s="12" t="s">
        <v>59</v>
      </c>
      <c r="BK2" s="12" t="s">
        <v>60</v>
      </c>
      <c r="BL2" s="12" t="s">
        <v>61</v>
      </c>
      <c r="BM2" s="12" t="s">
        <v>62</v>
      </c>
      <c r="BN2" s="12" t="s">
        <v>63</v>
      </c>
    </row>
    <row r="3" spans="1:66" ht="12.75" x14ac:dyDescent="0.2">
      <c r="A3" s="1"/>
      <c r="B3" s="1" t="s">
        <v>168</v>
      </c>
      <c r="C3" s="1">
        <v>24</v>
      </c>
      <c r="D3" s="1"/>
      <c r="E3" s="1"/>
      <c r="F3" s="1"/>
      <c r="G3" s="1"/>
      <c r="H3" s="2"/>
      <c r="I3" s="2">
        <v>1265.8399999999999</v>
      </c>
      <c r="J3" s="14">
        <f t="shared" ref="J3:J92" si="2">K3*I3</f>
        <v>18987.599999999999</v>
      </c>
      <c r="K3" s="15">
        <f t="shared" ref="K3:K92" si="3">SUM(N3+S3+W3)</f>
        <v>15</v>
      </c>
      <c r="L3" s="1"/>
      <c r="M3" s="1"/>
      <c r="N3" s="16">
        <v>5</v>
      </c>
      <c r="O3" s="1"/>
      <c r="P3" s="1"/>
      <c r="Q3" s="17"/>
      <c r="R3" s="17"/>
      <c r="S3" s="5">
        <v>5</v>
      </c>
      <c r="T3" s="1"/>
      <c r="U3" s="1"/>
      <c r="V3" s="5"/>
      <c r="W3" s="5">
        <v>5</v>
      </c>
      <c r="X3" s="1"/>
      <c r="Y3" s="18"/>
      <c r="Z3" s="2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</row>
    <row r="4" spans="1:66" ht="12.75" x14ac:dyDescent="0.2">
      <c r="A4" s="1">
        <v>47001</v>
      </c>
      <c r="B4" s="1" t="s">
        <v>65</v>
      </c>
      <c r="C4" s="1">
        <v>16</v>
      </c>
      <c r="D4" s="1">
        <v>677</v>
      </c>
      <c r="E4" s="1" t="s">
        <v>64</v>
      </c>
      <c r="F4" s="1">
        <v>61</v>
      </c>
      <c r="G4" s="1" t="s">
        <v>66</v>
      </c>
      <c r="H4" s="2">
        <v>56.590200000000003</v>
      </c>
      <c r="I4" s="2">
        <v>905.44320000000005</v>
      </c>
      <c r="J4" s="14">
        <f t="shared" si="2"/>
        <v>110464.07040000001</v>
      </c>
      <c r="K4" s="15">
        <f t="shared" si="3"/>
        <v>122</v>
      </c>
      <c r="L4" s="1">
        <v>45.97</v>
      </c>
      <c r="M4" s="1">
        <v>10.88</v>
      </c>
      <c r="N4" s="16">
        <v>42</v>
      </c>
      <c r="O4" s="1">
        <v>57.03</v>
      </c>
      <c r="P4" s="1">
        <v>23</v>
      </c>
      <c r="Q4" s="17">
        <f t="shared" ref="Q4:Q44" si="4">O4/30*8</f>
        <v>15.208</v>
      </c>
      <c r="R4" s="17">
        <f t="shared" ref="R4:R44" si="5">P4-Q4</f>
        <v>7.7919999999999998</v>
      </c>
      <c r="S4" s="5">
        <v>60</v>
      </c>
      <c r="T4" s="1">
        <v>53.03</v>
      </c>
      <c r="U4" s="1">
        <v>38.69</v>
      </c>
      <c r="V4" s="5">
        <v>3</v>
      </c>
      <c r="W4" s="5">
        <v>20</v>
      </c>
      <c r="X4" s="1">
        <v>0</v>
      </c>
      <c r="Y4" s="18">
        <v>141277.43</v>
      </c>
      <c r="Z4" s="2">
        <v>65870.990000000005</v>
      </c>
      <c r="AA4" s="1">
        <v>195</v>
      </c>
      <c r="AB4" s="1">
        <v>185</v>
      </c>
      <c r="AC4" s="1">
        <v>235</v>
      </c>
      <c r="AD4" s="1">
        <v>182</v>
      </c>
      <c r="AE4" s="1">
        <v>133</v>
      </c>
      <c r="AF4" s="1">
        <v>0</v>
      </c>
      <c r="AG4" s="1">
        <v>0</v>
      </c>
      <c r="AH4" s="1">
        <v>50</v>
      </c>
      <c r="AI4" s="1">
        <v>52</v>
      </c>
      <c r="AJ4" s="1">
        <v>41</v>
      </c>
      <c r="AK4" s="1">
        <v>0</v>
      </c>
      <c r="AL4" s="1">
        <v>0</v>
      </c>
      <c r="AM4" s="1">
        <v>25</v>
      </c>
      <c r="AN4" s="1">
        <v>27</v>
      </c>
      <c r="AO4" s="1">
        <v>0</v>
      </c>
      <c r="AP4" s="1">
        <v>0</v>
      </c>
      <c r="AQ4" s="1">
        <v>0</v>
      </c>
      <c r="AR4" s="1">
        <v>6</v>
      </c>
      <c r="AS4" s="1">
        <v>3</v>
      </c>
      <c r="AT4" s="1">
        <v>3</v>
      </c>
      <c r="AU4" s="1">
        <v>233</v>
      </c>
      <c r="AV4" s="1">
        <v>214</v>
      </c>
      <c r="AW4" s="1">
        <v>309</v>
      </c>
      <c r="AX4" s="1">
        <v>294</v>
      </c>
      <c r="AY4" s="1">
        <v>310</v>
      </c>
      <c r="AZ4" s="1">
        <v>41</v>
      </c>
      <c r="BA4" s="1">
        <v>48</v>
      </c>
      <c r="BB4" s="1">
        <v>28</v>
      </c>
      <c r="BC4" s="1">
        <v>47</v>
      </c>
      <c r="BD4" s="1">
        <v>58</v>
      </c>
      <c r="BE4" s="1">
        <v>285</v>
      </c>
      <c r="BF4" s="1">
        <v>251</v>
      </c>
      <c r="BG4" s="1">
        <v>251</v>
      </c>
      <c r="BH4" s="1">
        <v>374</v>
      </c>
      <c r="BI4" s="1">
        <v>619</v>
      </c>
      <c r="BJ4" s="1">
        <v>0</v>
      </c>
      <c r="BK4" s="1">
        <v>0</v>
      </c>
      <c r="BL4" s="1">
        <v>0</v>
      </c>
      <c r="BM4" s="1">
        <v>0</v>
      </c>
      <c r="BN4" s="1">
        <v>126</v>
      </c>
    </row>
    <row r="5" spans="1:66" ht="12.75" x14ac:dyDescent="0.2">
      <c r="A5" s="1">
        <v>47012</v>
      </c>
      <c r="B5" s="1" t="s">
        <v>74</v>
      </c>
      <c r="C5" s="1">
        <v>18</v>
      </c>
      <c r="D5" s="1">
        <v>677</v>
      </c>
      <c r="E5" s="1" t="s">
        <v>64</v>
      </c>
      <c r="F5" s="1">
        <v>61</v>
      </c>
      <c r="G5" s="1" t="s">
        <v>66</v>
      </c>
      <c r="H5" s="2">
        <v>58.837899999999998</v>
      </c>
      <c r="I5" s="2">
        <v>1059.0822000000001</v>
      </c>
      <c r="J5" s="14">
        <f t="shared" si="2"/>
        <v>106967.30220000001</v>
      </c>
      <c r="K5" s="15">
        <f t="shared" si="3"/>
        <v>101</v>
      </c>
      <c r="L5" s="1">
        <v>17.809999999999999</v>
      </c>
      <c r="M5" s="1">
        <v>8.61</v>
      </c>
      <c r="N5" s="16">
        <v>26</v>
      </c>
      <c r="O5" s="1">
        <v>39.67</v>
      </c>
      <c r="P5" s="1">
        <v>3.94</v>
      </c>
      <c r="Q5" s="17">
        <f t="shared" si="4"/>
        <v>10.578666666666667</v>
      </c>
      <c r="R5" s="17">
        <f t="shared" si="5"/>
        <v>-6.6386666666666674</v>
      </c>
      <c r="S5" s="5">
        <v>50</v>
      </c>
      <c r="T5" s="1">
        <v>30</v>
      </c>
      <c r="U5" s="1">
        <v>4.9400000000000004</v>
      </c>
      <c r="V5" s="5">
        <v>2</v>
      </c>
      <c r="W5" s="5">
        <v>25</v>
      </c>
      <c r="X5" s="1">
        <v>0</v>
      </c>
      <c r="Y5" s="18">
        <v>92640.27</v>
      </c>
      <c r="Z5" s="2">
        <v>18710.45</v>
      </c>
      <c r="AA5" s="1">
        <v>17</v>
      </c>
      <c r="AB5" s="1">
        <v>258</v>
      </c>
      <c r="AC5" s="1">
        <v>86</v>
      </c>
      <c r="AD5" s="1">
        <v>148</v>
      </c>
      <c r="AE5" s="1">
        <v>120</v>
      </c>
      <c r="AF5" s="1">
        <v>0</v>
      </c>
      <c r="AG5" s="1">
        <v>0</v>
      </c>
      <c r="AH5" s="1">
        <v>0</v>
      </c>
      <c r="AI5" s="1">
        <v>0</v>
      </c>
      <c r="AJ5" s="1">
        <v>35</v>
      </c>
      <c r="AK5" s="1">
        <v>0</v>
      </c>
      <c r="AL5" s="1">
        <v>0</v>
      </c>
      <c r="AM5" s="1">
        <v>0</v>
      </c>
      <c r="AN5" s="1">
        <v>29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3</v>
      </c>
      <c r="AU5" s="1">
        <v>173</v>
      </c>
      <c r="AV5" s="1">
        <v>195</v>
      </c>
      <c r="AW5" s="1">
        <v>270</v>
      </c>
      <c r="AX5" s="1">
        <v>188</v>
      </c>
      <c r="AY5" s="1">
        <v>64</v>
      </c>
      <c r="AZ5" s="1">
        <v>15</v>
      </c>
      <c r="BA5" s="1">
        <v>38</v>
      </c>
      <c r="BB5" s="1">
        <v>33</v>
      </c>
      <c r="BC5" s="1">
        <v>25</v>
      </c>
      <c r="BD5" s="1">
        <v>7</v>
      </c>
      <c r="BE5" s="1">
        <v>211</v>
      </c>
      <c r="BF5" s="1">
        <v>237</v>
      </c>
      <c r="BG5" s="1">
        <v>125</v>
      </c>
      <c r="BH5" s="1">
        <v>171</v>
      </c>
      <c r="BI5" s="1">
        <v>89</v>
      </c>
      <c r="BJ5" s="1">
        <v>0</v>
      </c>
      <c r="BK5" s="1">
        <v>0</v>
      </c>
      <c r="BL5" s="1">
        <v>0</v>
      </c>
      <c r="BM5" s="1">
        <v>0</v>
      </c>
      <c r="BN5" s="1">
        <v>60</v>
      </c>
    </row>
    <row r="6" spans="1:66" ht="12.75" x14ac:dyDescent="0.2">
      <c r="A6" s="1">
        <v>47010</v>
      </c>
      <c r="B6" s="1" t="s">
        <v>71</v>
      </c>
      <c r="C6" s="1">
        <v>24</v>
      </c>
      <c r="D6" s="1">
        <v>677</v>
      </c>
      <c r="E6" s="1" t="s">
        <v>64</v>
      </c>
      <c r="F6" s="1">
        <v>61</v>
      </c>
      <c r="G6" s="1" t="s">
        <v>66</v>
      </c>
      <c r="H6" s="2">
        <v>48.56</v>
      </c>
      <c r="I6" s="2">
        <v>1165.44</v>
      </c>
      <c r="J6" s="14">
        <f t="shared" si="2"/>
        <v>34963.200000000004</v>
      </c>
      <c r="K6" s="15">
        <f t="shared" si="3"/>
        <v>30</v>
      </c>
      <c r="L6" s="1">
        <v>22.23</v>
      </c>
      <c r="M6" s="1">
        <v>23.08</v>
      </c>
      <c r="N6" s="17">
        <f>MAX(0,(TRUNC((L6*0.8)-M6)))</f>
        <v>0</v>
      </c>
      <c r="O6" s="1">
        <v>24.42</v>
      </c>
      <c r="P6" s="1">
        <v>11.71</v>
      </c>
      <c r="Q6" s="17">
        <f t="shared" si="4"/>
        <v>6.5120000000000005</v>
      </c>
      <c r="R6" s="17">
        <f t="shared" si="5"/>
        <v>5.1980000000000004</v>
      </c>
      <c r="S6" s="5">
        <v>20</v>
      </c>
      <c r="T6" s="1">
        <v>27.5</v>
      </c>
      <c r="U6" s="1">
        <v>20.96</v>
      </c>
      <c r="V6" s="5">
        <v>2</v>
      </c>
      <c r="W6" s="5">
        <v>10</v>
      </c>
      <c r="X6" s="1">
        <v>0</v>
      </c>
      <c r="Y6" s="18">
        <v>86412.52</v>
      </c>
      <c r="Z6" s="2">
        <v>65604.56</v>
      </c>
      <c r="AA6" s="1">
        <v>89</v>
      </c>
      <c r="AB6" s="1">
        <v>137</v>
      </c>
      <c r="AC6" s="1">
        <v>195</v>
      </c>
      <c r="AD6" s="1">
        <v>136</v>
      </c>
      <c r="AE6" s="1">
        <v>522</v>
      </c>
      <c r="AF6" s="1">
        <v>0</v>
      </c>
      <c r="AG6" s="1">
        <v>0</v>
      </c>
      <c r="AH6" s="1">
        <v>41</v>
      </c>
      <c r="AI6" s="1">
        <v>70</v>
      </c>
      <c r="AJ6" s="1">
        <v>32</v>
      </c>
      <c r="AK6" s="1">
        <v>0</v>
      </c>
      <c r="AL6" s="1">
        <v>0</v>
      </c>
      <c r="AM6" s="1">
        <v>23</v>
      </c>
      <c r="AN6" s="1">
        <v>23</v>
      </c>
      <c r="AO6" s="1">
        <v>0</v>
      </c>
      <c r="AP6" s="1">
        <v>0</v>
      </c>
      <c r="AQ6" s="1">
        <v>0</v>
      </c>
      <c r="AR6" s="1">
        <v>1</v>
      </c>
      <c r="AS6" s="1">
        <v>3</v>
      </c>
      <c r="AT6" s="1">
        <v>13</v>
      </c>
      <c r="AU6" s="1">
        <v>172</v>
      </c>
      <c r="AV6" s="1">
        <v>128</v>
      </c>
      <c r="AW6" s="1">
        <v>170</v>
      </c>
      <c r="AX6" s="1">
        <v>188</v>
      </c>
      <c r="AY6" s="1">
        <v>230</v>
      </c>
      <c r="AZ6" s="1">
        <v>23</v>
      </c>
      <c r="BA6" s="1">
        <v>34</v>
      </c>
      <c r="BB6" s="1">
        <v>29</v>
      </c>
      <c r="BC6" s="1">
        <v>34</v>
      </c>
      <c r="BD6" s="1">
        <v>51</v>
      </c>
      <c r="BE6" s="1">
        <v>246</v>
      </c>
      <c r="BF6" s="1">
        <v>188</v>
      </c>
      <c r="BG6" s="1">
        <v>170</v>
      </c>
      <c r="BH6" s="1">
        <v>300</v>
      </c>
      <c r="BI6" s="1">
        <v>503</v>
      </c>
      <c r="BJ6" s="1">
        <v>0</v>
      </c>
      <c r="BK6" s="1">
        <v>0</v>
      </c>
      <c r="BL6" s="1">
        <v>0</v>
      </c>
      <c r="BM6" s="1">
        <v>0</v>
      </c>
      <c r="BN6" s="1">
        <v>110</v>
      </c>
    </row>
    <row r="7" spans="1:66" ht="12.75" x14ac:dyDescent="0.2">
      <c r="A7" s="1">
        <v>47005</v>
      </c>
      <c r="B7" s="1" t="s">
        <v>68</v>
      </c>
      <c r="C7" s="1">
        <v>24</v>
      </c>
      <c r="D7" s="1">
        <v>677</v>
      </c>
      <c r="E7" s="1" t="s">
        <v>64</v>
      </c>
      <c r="F7" s="1">
        <v>61</v>
      </c>
      <c r="G7" s="1" t="s">
        <v>66</v>
      </c>
      <c r="H7" s="2">
        <v>22.315999999999999</v>
      </c>
      <c r="I7" s="2">
        <v>535.58399999999995</v>
      </c>
      <c r="J7" s="14">
        <f t="shared" si="2"/>
        <v>66412.415999999997</v>
      </c>
      <c r="K7" s="15">
        <f t="shared" si="3"/>
        <v>124</v>
      </c>
      <c r="L7" s="1">
        <v>44.25</v>
      </c>
      <c r="M7" s="1">
        <v>6.42</v>
      </c>
      <c r="N7" s="16">
        <v>44</v>
      </c>
      <c r="O7" s="1">
        <v>56.94</v>
      </c>
      <c r="P7" s="1">
        <v>29.67</v>
      </c>
      <c r="Q7" s="17">
        <f t="shared" si="4"/>
        <v>15.183999999999999</v>
      </c>
      <c r="R7" s="17">
        <f t="shared" si="5"/>
        <v>14.486000000000002</v>
      </c>
      <c r="S7" s="5">
        <v>60</v>
      </c>
      <c r="T7" s="1">
        <v>51.58</v>
      </c>
      <c r="U7" s="1">
        <v>22.83</v>
      </c>
      <c r="V7" s="5">
        <v>6</v>
      </c>
      <c r="W7" s="5">
        <v>20</v>
      </c>
      <c r="X7" s="1">
        <v>1</v>
      </c>
      <c r="Y7" s="18">
        <v>81821.61</v>
      </c>
      <c r="Z7" s="2">
        <v>32804.519999999997</v>
      </c>
      <c r="AA7" s="1">
        <v>169</v>
      </c>
      <c r="AB7" s="1">
        <v>231</v>
      </c>
      <c r="AC7" s="1">
        <v>324</v>
      </c>
      <c r="AD7" s="1">
        <v>324</v>
      </c>
      <c r="AE7" s="1">
        <v>42</v>
      </c>
      <c r="AF7" s="1">
        <v>0</v>
      </c>
      <c r="AG7" s="1">
        <v>0</v>
      </c>
      <c r="AH7" s="1">
        <v>145</v>
      </c>
      <c r="AI7" s="1">
        <v>155</v>
      </c>
      <c r="AJ7" s="1">
        <v>112</v>
      </c>
      <c r="AK7" s="1">
        <v>0</v>
      </c>
      <c r="AL7" s="1">
        <v>0</v>
      </c>
      <c r="AM7" s="1">
        <v>40</v>
      </c>
      <c r="AN7" s="1">
        <v>28</v>
      </c>
      <c r="AO7" s="1">
        <v>0</v>
      </c>
      <c r="AP7" s="1">
        <v>0</v>
      </c>
      <c r="AQ7" s="1">
        <v>0</v>
      </c>
      <c r="AR7" s="1">
        <v>8</v>
      </c>
      <c r="AS7" s="1">
        <v>14</v>
      </c>
      <c r="AT7" s="1">
        <v>56</v>
      </c>
      <c r="AU7" s="1">
        <v>263</v>
      </c>
      <c r="AV7" s="1">
        <v>372</v>
      </c>
      <c r="AW7" s="1">
        <v>468</v>
      </c>
      <c r="AX7" s="1">
        <v>435</v>
      </c>
      <c r="AY7" s="1">
        <v>503</v>
      </c>
      <c r="AZ7" s="1">
        <v>39</v>
      </c>
      <c r="BA7" s="1">
        <v>149</v>
      </c>
      <c r="BB7" s="1">
        <v>79</v>
      </c>
      <c r="BC7" s="1">
        <v>79</v>
      </c>
      <c r="BD7" s="1">
        <v>209</v>
      </c>
      <c r="BE7" s="1">
        <v>301</v>
      </c>
      <c r="BF7" s="1">
        <v>378</v>
      </c>
      <c r="BG7" s="1">
        <v>429</v>
      </c>
      <c r="BH7" s="1">
        <v>638</v>
      </c>
      <c r="BI7" s="1">
        <v>548</v>
      </c>
      <c r="BJ7" s="1">
        <v>0</v>
      </c>
      <c r="BK7" s="1">
        <v>0</v>
      </c>
      <c r="BL7" s="1">
        <v>0</v>
      </c>
      <c r="BM7" s="1">
        <v>0</v>
      </c>
      <c r="BN7" s="1">
        <v>130</v>
      </c>
    </row>
    <row r="8" spans="1:66" ht="12.75" x14ac:dyDescent="0.2">
      <c r="A8" s="1">
        <v>47023</v>
      </c>
      <c r="B8" s="1" t="s">
        <v>76</v>
      </c>
      <c r="C8" s="1">
        <v>8</v>
      </c>
      <c r="D8" s="1">
        <v>677</v>
      </c>
      <c r="E8" s="1" t="s">
        <v>64</v>
      </c>
      <c r="F8" s="1">
        <v>61</v>
      </c>
      <c r="G8" s="1" t="s">
        <v>66</v>
      </c>
      <c r="H8" s="2">
        <v>105.55</v>
      </c>
      <c r="I8" s="2">
        <v>844.4</v>
      </c>
      <c r="J8" s="14">
        <f t="shared" si="2"/>
        <v>0</v>
      </c>
      <c r="K8" s="15">
        <f t="shared" si="3"/>
        <v>0</v>
      </c>
      <c r="L8" s="1">
        <v>27.75</v>
      </c>
      <c r="M8" s="1">
        <v>19</v>
      </c>
      <c r="N8" s="5">
        <v>0</v>
      </c>
      <c r="O8" s="1">
        <v>34.69</v>
      </c>
      <c r="P8" s="1">
        <v>39</v>
      </c>
      <c r="Q8" s="17">
        <f t="shared" si="4"/>
        <v>9.2506666666666657</v>
      </c>
      <c r="R8" s="17">
        <f t="shared" si="5"/>
        <v>29.749333333333333</v>
      </c>
      <c r="S8" s="5">
        <v>0</v>
      </c>
      <c r="T8" s="1">
        <v>26.69</v>
      </c>
      <c r="U8" s="1">
        <v>33.119999999999997</v>
      </c>
      <c r="V8" s="17"/>
      <c r="W8" s="17">
        <f t="shared" ref="W8:W9" si="6">MAX(0,(TRUNC((T8*0.8)-U8)))</f>
        <v>0</v>
      </c>
      <c r="X8" s="1">
        <v>0</v>
      </c>
      <c r="Y8" s="18">
        <v>75257.149999999994</v>
      </c>
      <c r="Z8" s="2">
        <v>77157.05</v>
      </c>
      <c r="AA8" s="1">
        <v>63</v>
      </c>
      <c r="AB8" s="1">
        <v>40</v>
      </c>
      <c r="AC8" s="1">
        <v>74</v>
      </c>
      <c r="AD8" s="1">
        <v>70</v>
      </c>
      <c r="AE8" s="1">
        <v>148</v>
      </c>
      <c r="AF8" s="1">
        <v>0</v>
      </c>
      <c r="AG8" s="1">
        <v>0</v>
      </c>
      <c r="AH8" s="1">
        <v>6</v>
      </c>
      <c r="AI8" s="1">
        <v>15</v>
      </c>
      <c r="AJ8" s="1">
        <v>4</v>
      </c>
      <c r="AK8" s="1">
        <v>0</v>
      </c>
      <c r="AL8" s="1">
        <v>0</v>
      </c>
      <c r="AM8" s="1">
        <v>10</v>
      </c>
      <c r="AN8" s="1">
        <v>13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2</v>
      </c>
      <c r="AU8" s="1">
        <v>52</v>
      </c>
      <c r="AV8" s="1">
        <v>63</v>
      </c>
      <c r="AW8" s="1">
        <v>116</v>
      </c>
      <c r="AX8" s="1">
        <v>66</v>
      </c>
      <c r="AY8" s="1">
        <v>290</v>
      </c>
      <c r="AZ8" s="1">
        <v>9</v>
      </c>
      <c r="BA8" s="1">
        <v>18</v>
      </c>
      <c r="BB8" s="1">
        <v>23</v>
      </c>
      <c r="BC8" s="1">
        <v>8</v>
      </c>
      <c r="BD8" s="1">
        <v>22</v>
      </c>
      <c r="BE8" s="1">
        <v>66</v>
      </c>
      <c r="BF8" s="1">
        <v>55</v>
      </c>
      <c r="BG8" s="1">
        <v>89</v>
      </c>
      <c r="BH8" s="1">
        <v>62</v>
      </c>
      <c r="BI8" s="1">
        <v>265</v>
      </c>
      <c r="BJ8" s="1">
        <v>0</v>
      </c>
      <c r="BK8" s="1">
        <v>0</v>
      </c>
      <c r="BL8" s="1">
        <v>0</v>
      </c>
      <c r="BM8" s="1">
        <v>0</v>
      </c>
      <c r="BN8" s="1">
        <v>33</v>
      </c>
    </row>
    <row r="9" spans="1:66" ht="12.75" x14ac:dyDescent="0.2">
      <c r="A9" s="1">
        <v>47046</v>
      </c>
      <c r="B9" s="1" t="s">
        <v>78</v>
      </c>
      <c r="C9" s="1">
        <v>24</v>
      </c>
      <c r="D9" s="1">
        <v>677</v>
      </c>
      <c r="E9" s="1" t="s">
        <v>64</v>
      </c>
      <c r="F9" s="1">
        <v>61</v>
      </c>
      <c r="G9" s="1" t="s">
        <v>66</v>
      </c>
      <c r="H9" s="2">
        <v>39.11</v>
      </c>
      <c r="I9" s="2">
        <v>938.64</v>
      </c>
      <c r="J9" s="14">
        <f t="shared" si="2"/>
        <v>18772.8</v>
      </c>
      <c r="K9" s="15">
        <f t="shared" si="3"/>
        <v>20</v>
      </c>
      <c r="L9" s="1">
        <v>11.12</v>
      </c>
      <c r="M9" s="1">
        <v>20.5</v>
      </c>
      <c r="N9" s="17">
        <f t="shared" ref="N9:N11" si="7">MAX(0,(TRUNC((L9*0.8)-M9)))</f>
        <v>0</v>
      </c>
      <c r="O9" s="1">
        <v>19.399999999999999</v>
      </c>
      <c r="P9" s="1">
        <v>16.62</v>
      </c>
      <c r="Q9" s="17">
        <f t="shared" si="4"/>
        <v>5.1733333333333329</v>
      </c>
      <c r="R9" s="17">
        <f t="shared" si="5"/>
        <v>11.446666666666669</v>
      </c>
      <c r="S9" s="5">
        <v>20</v>
      </c>
      <c r="T9" s="1">
        <v>18.04</v>
      </c>
      <c r="U9" s="1">
        <v>16.25</v>
      </c>
      <c r="V9" s="5">
        <v>1</v>
      </c>
      <c r="W9" s="17">
        <f t="shared" si="6"/>
        <v>0</v>
      </c>
      <c r="X9" s="1">
        <v>0</v>
      </c>
      <c r="Y9" s="18">
        <v>45582.7</v>
      </c>
      <c r="Z9" s="2">
        <v>50295.46</v>
      </c>
      <c r="AA9" s="1">
        <v>41</v>
      </c>
      <c r="AB9" s="1">
        <v>64</v>
      </c>
      <c r="AC9" s="1">
        <v>105</v>
      </c>
      <c r="AD9" s="1">
        <v>77</v>
      </c>
      <c r="AE9" s="1">
        <v>411</v>
      </c>
      <c r="AF9" s="1">
        <v>0</v>
      </c>
      <c r="AG9" s="1">
        <v>0</v>
      </c>
      <c r="AH9" s="1">
        <v>16</v>
      </c>
      <c r="AI9" s="1">
        <v>31</v>
      </c>
      <c r="AJ9" s="1">
        <v>81</v>
      </c>
      <c r="AK9" s="1">
        <v>0</v>
      </c>
      <c r="AL9" s="1">
        <v>0</v>
      </c>
      <c r="AM9" s="1">
        <v>15</v>
      </c>
      <c r="AN9" s="1">
        <v>4</v>
      </c>
      <c r="AO9" s="1">
        <v>0</v>
      </c>
      <c r="AP9" s="1">
        <v>0</v>
      </c>
      <c r="AQ9" s="1">
        <v>0</v>
      </c>
      <c r="AR9" s="1">
        <v>1</v>
      </c>
      <c r="AS9" s="1">
        <v>2</v>
      </c>
      <c r="AT9" s="1">
        <v>5</v>
      </c>
      <c r="AU9" s="1">
        <v>113</v>
      </c>
      <c r="AV9" s="1">
        <v>121</v>
      </c>
      <c r="AW9" s="1">
        <v>146</v>
      </c>
      <c r="AX9" s="1">
        <v>184</v>
      </c>
      <c r="AY9" s="1">
        <v>313</v>
      </c>
      <c r="AZ9" s="1">
        <v>18</v>
      </c>
      <c r="BA9" s="1">
        <v>24</v>
      </c>
      <c r="BB9" s="1">
        <v>14</v>
      </c>
      <c r="BC9" s="1">
        <v>20</v>
      </c>
      <c r="BD9" s="1">
        <v>86</v>
      </c>
      <c r="BE9" s="1">
        <v>86</v>
      </c>
      <c r="BF9" s="1">
        <v>283</v>
      </c>
      <c r="BG9" s="1">
        <v>103</v>
      </c>
      <c r="BH9" s="1">
        <v>205</v>
      </c>
      <c r="BI9" s="1">
        <v>390</v>
      </c>
      <c r="BJ9" s="1">
        <v>0</v>
      </c>
      <c r="BK9" s="1">
        <v>0</v>
      </c>
      <c r="BL9" s="1">
        <v>0</v>
      </c>
      <c r="BM9" s="1">
        <v>0</v>
      </c>
      <c r="BN9" s="1">
        <v>77</v>
      </c>
    </row>
    <row r="10" spans="1:66" ht="12.75" x14ac:dyDescent="0.2">
      <c r="A10" s="1">
        <v>47024</v>
      </c>
      <c r="B10" s="1" t="s">
        <v>88</v>
      </c>
      <c r="C10" s="1">
        <v>12</v>
      </c>
      <c r="D10" s="1">
        <v>677</v>
      </c>
      <c r="E10" s="1" t="s">
        <v>64</v>
      </c>
      <c r="F10" s="1">
        <v>61</v>
      </c>
      <c r="G10" s="1" t="s">
        <v>66</v>
      </c>
      <c r="H10" s="2">
        <v>135.38999999999999</v>
      </c>
      <c r="I10" s="2">
        <v>1624.68</v>
      </c>
      <c r="J10" s="14">
        <f t="shared" si="2"/>
        <v>8123.4000000000005</v>
      </c>
      <c r="K10" s="15">
        <f t="shared" si="3"/>
        <v>5</v>
      </c>
      <c r="L10" s="1">
        <v>7.83</v>
      </c>
      <c r="M10" s="1">
        <v>8.33</v>
      </c>
      <c r="N10" s="17">
        <f t="shared" si="7"/>
        <v>0</v>
      </c>
      <c r="O10" s="1">
        <v>7.12</v>
      </c>
      <c r="P10" s="1">
        <v>6.08</v>
      </c>
      <c r="Q10" s="17">
        <f t="shared" si="4"/>
        <v>1.8986666666666667</v>
      </c>
      <c r="R10" s="17">
        <f t="shared" si="5"/>
        <v>4.1813333333333329</v>
      </c>
      <c r="S10" s="5">
        <v>0</v>
      </c>
      <c r="T10" s="1">
        <v>11</v>
      </c>
      <c r="U10" s="1">
        <v>5</v>
      </c>
      <c r="V10" s="5"/>
      <c r="W10" s="5">
        <v>5</v>
      </c>
      <c r="X10" s="1">
        <v>0</v>
      </c>
      <c r="Y10" s="18">
        <v>42173.98</v>
      </c>
      <c r="Z10" s="2">
        <v>31545.87</v>
      </c>
      <c r="AA10" s="1">
        <v>29</v>
      </c>
      <c r="AB10" s="1">
        <v>18</v>
      </c>
      <c r="AC10" s="1">
        <v>33</v>
      </c>
      <c r="AD10" s="1">
        <v>36</v>
      </c>
      <c r="AE10" s="1">
        <v>67</v>
      </c>
      <c r="AF10" s="1">
        <v>0</v>
      </c>
      <c r="AG10" s="1">
        <v>0</v>
      </c>
      <c r="AH10" s="1">
        <v>3</v>
      </c>
      <c r="AI10" s="1">
        <v>3</v>
      </c>
      <c r="AJ10" s="1">
        <v>33</v>
      </c>
      <c r="AK10" s="1">
        <v>0</v>
      </c>
      <c r="AL10" s="1">
        <v>0</v>
      </c>
      <c r="AM10" s="1">
        <v>0</v>
      </c>
      <c r="AN10" s="1">
        <v>1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14</v>
      </c>
      <c r="AV10" s="1">
        <v>13</v>
      </c>
      <c r="AW10" s="1">
        <v>53</v>
      </c>
      <c r="AX10" s="1">
        <v>15</v>
      </c>
      <c r="AY10" s="1">
        <v>36</v>
      </c>
      <c r="AZ10" s="1">
        <v>1</v>
      </c>
      <c r="BA10" s="1">
        <v>1</v>
      </c>
      <c r="BB10" s="1">
        <v>1</v>
      </c>
      <c r="BC10" s="1">
        <v>4</v>
      </c>
      <c r="BD10" s="1">
        <v>37</v>
      </c>
      <c r="BE10" s="1">
        <v>32</v>
      </c>
      <c r="BF10" s="1">
        <v>101</v>
      </c>
      <c r="BG10" s="1">
        <v>30</v>
      </c>
      <c r="BH10" s="1">
        <v>39</v>
      </c>
      <c r="BI10" s="1">
        <v>60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</row>
    <row r="11" spans="1:66" ht="12.75" x14ac:dyDescent="0.2">
      <c r="A11" s="1">
        <v>47039</v>
      </c>
      <c r="B11" s="1" t="s">
        <v>79</v>
      </c>
      <c r="C11" s="1">
        <v>24</v>
      </c>
      <c r="D11" s="1">
        <v>677</v>
      </c>
      <c r="E11" s="1" t="s">
        <v>64</v>
      </c>
      <c r="F11" s="1">
        <v>61</v>
      </c>
      <c r="G11" s="1" t="s">
        <v>66</v>
      </c>
      <c r="H11" s="2">
        <v>52.259</v>
      </c>
      <c r="I11" s="2">
        <v>1254.2159999999999</v>
      </c>
      <c r="J11" s="14">
        <f t="shared" si="2"/>
        <v>12542.16</v>
      </c>
      <c r="K11" s="15">
        <f t="shared" si="3"/>
        <v>10</v>
      </c>
      <c r="L11" s="1">
        <v>6.25</v>
      </c>
      <c r="M11" s="1">
        <v>6.75</v>
      </c>
      <c r="N11" s="17">
        <f t="shared" si="7"/>
        <v>0</v>
      </c>
      <c r="O11" s="1">
        <v>14.25</v>
      </c>
      <c r="P11" s="1">
        <v>13.08</v>
      </c>
      <c r="Q11" s="17">
        <f t="shared" si="4"/>
        <v>3.8</v>
      </c>
      <c r="R11" s="17">
        <f t="shared" si="5"/>
        <v>9.2800000000000011</v>
      </c>
      <c r="S11" s="5">
        <v>10</v>
      </c>
      <c r="T11" s="1">
        <v>10.02</v>
      </c>
      <c r="U11" s="1">
        <v>7.83</v>
      </c>
      <c r="V11" s="5">
        <v>0</v>
      </c>
      <c r="W11" s="17">
        <f t="shared" ref="W11:W15" si="8">MAX(0,(TRUNC((T11*0.8)-U11)))</f>
        <v>0</v>
      </c>
      <c r="X11" s="1">
        <v>0</v>
      </c>
      <c r="Y11" s="18">
        <v>38279.72</v>
      </c>
      <c r="Z11" s="2">
        <v>35379.339999999997</v>
      </c>
      <c r="AA11" s="1">
        <v>21</v>
      </c>
      <c r="AB11" s="1">
        <v>47</v>
      </c>
      <c r="AC11" s="1">
        <v>45</v>
      </c>
      <c r="AD11" s="1">
        <v>69</v>
      </c>
      <c r="AE11" s="1">
        <v>107</v>
      </c>
      <c r="AF11" s="1">
        <v>0</v>
      </c>
      <c r="AG11" s="1">
        <v>0</v>
      </c>
      <c r="AH11" s="1">
        <v>9</v>
      </c>
      <c r="AI11" s="1">
        <v>16</v>
      </c>
      <c r="AJ11" s="1">
        <v>55</v>
      </c>
      <c r="AK11" s="1">
        <v>0</v>
      </c>
      <c r="AL11" s="1">
        <v>0</v>
      </c>
      <c r="AM11" s="1">
        <v>7</v>
      </c>
      <c r="AN11" s="1">
        <v>2</v>
      </c>
      <c r="AO11" s="1">
        <v>0</v>
      </c>
      <c r="AP11" s="1">
        <v>0</v>
      </c>
      <c r="AQ11" s="1">
        <v>0</v>
      </c>
      <c r="AR11" s="1">
        <v>0</v>
      </c>
      <c r="AS11" s="1">
        <v>2</v>
      </c>
      <c r="AT11" s="1">
        <v>13</v>
      </c>
      <c r="AU11" s="1">
        <v>88</v>
      </c>
      <c r="AV11" s="1">
        <v>79</v>
      </c>
      <c r="AW11" s="1">
        <v>122</v>
      </c>
      <c r="AX11" s="1">
        <v>102</v>
      </c>
      <c r="AY11" s="1">
        <v>264</v>
      </c>
      <c r="AZ11" s="1">
        <v>10</v>
      </c>
      <c r="BA11" s="1">
        <v>34</v>
      </c>
      <c r="BB11" s="1">
        <v>9</v>
      </c>
      <c r="BC11" s="1">
        <v>11</v>
      </c>
      <c r="BD11" s="1">
        <v>50</v>
      </c>
      <c r="BE11" s="1">
        <v>74</v>
      </c>
      <c r="BF11" s="1">
        <v>27</v>
      </c>
      <c r="BG11" s="1">
        <v>101</v>
      </c>
      <c r="BH11" s="1">
        <v>104</v>
      </c>
      <c r="BI11" s="1">
        <v>188</v>
      </c>
      <c r="BJ11" s="1">
        <v>0</v>
      </c>
      <c r="BK11" s="1">
        <v>0</v>
      </c>
      <c r="BL11" s="1">
        <v>0</v>
      </c>
      <c r="BM11" s="1">
        <v>0</v>
      </c>
      <c r="BN11" s="1">
        <v>97</v>
      </c>
    </row>
    <row r="12" spans="1:66" ht="12.75" x14ac:dyDescent="0.2">
      <c r="A12" s="1">
        <v>10703</v>
      </c>
      <c r="B12" s="1" t="s">
        <v>82</v>
      </c>
      <c r="C12" s="1">
        <v>12</v>
      </c>
      <c r="D12" s="1">
        <v>677</v>
      </c>
      <c r="E12" s="1" t="s">
        <v>64</v>
      </c>
      <c r="F12" s="1">
        <v>542</v>
      </c>
      <c r="G12" s="1" t="s">
        <v>84</v>
      </c>
      <c r="H12" s="2">
        <v>133.74420000000001</v>
      </c>
      <c r="I12" s="2">
        <v>1604.9304</v>
      </c>
      <c r="J12" s="14">
        <f t="shared" si="2"/>
        <v>8024.652</v>
      </c>
      <c r="K12" s="15">
        <f t="shared" si="3"/>
        <v>5</v>
      </c>
      <c r="L12" s="1">
        <v>8.6199999999999992</v>
      </c>
      <c r="M12" s="1">
        <v>3.92</v>
      </c>
      <c r="N12" s="16">
        <v>5</v>
      </c>
      <c r="O12" s="1">
        <v>10.119999999999999</v>
      </c>
      <c r="P12" s="1">
        <v>15.58</v>
      </c>
      <c r="Q12" s="17">
        <f t="shared" si="4"/>
        <v>2.6986666666666665</v>
      </c>
      <c r="R12" s="17">
        <f t="shared" si="5"/>
        <v>12.881333333333334</v>
      </c>
      <c r="S12" s="5">
        <v>0</v>
      </c>
      <c r="T12" s="1">
        <v>4.58</v>
      </c>
      <c r="U12" s="1">
        <v>6.17</v>
      </c>
      <c r="V12" s="17"/>
      <c r="W12" s="17">
        <f t="shared" si="8"/>
        <v>0</v>
      </c>
      <c r="X12" s="1">
        <v>0</v>
      </c>
      <c r="Y12" s="18">
        <v>37448.379999999997</v>
      </c>
      <c r="Z12" s="2">
        <v>41193.21</v>
      </c>
      <c r="AA12" s="1">
        <v>16</v>
      </c>
      <c r="AB12" s="1">
        <v>14</v>
      </c>
      <c r="AC12" s="1">
        <v>28</v>
      </c>
      <c r="AD12" s="1">
        <v>18</v>
      </c>
      <c r="AE12" s="1">
        <v>27</v>
      </c>
      <c r="AF12" s="1">
        <v>0</v>
      </c>
      <c r="AG12" s="1">
        <v>0</v>
      </c>
      <c r="AH12" s="1">
        <v>19</v>
      </c>
      <c r="AI12" s="1">
        <v>19</v>
      </c>
      <c r="AJ12" s="1">
        <v>20</v>
      </c>
      <c r="AK12" s="1">
        <v>0</v>
      </c>
      <c r="AL12" s="1">
        <v>0</v>
      </c>
      <c r="AM12" s="1">
        <v>11</v>
      </c>
      <c r="AN12" s="1">
        <v>8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12</v>
      </c>
      <c r="AV12" s="1">
        <v>48</v>
      </c>
      <c r="AW12" s="1">
        <v>46</v>
      </c>
      <c r="AX12" s="1">
        <v>24</v>
      </c>
      <c r="AY12" s="1">
        <v>148</v>
      </c>
      <c r="AZ12" s="1">
        <v>3</v>
      </c>
      <c r="BA12" s="1">
        <v>14</v>
      </c>
      <c r="BB12" s="1">
        <v>13</v>
      </c>
      <c r="BC12" s="1">
        <v>9</v>
      </c>
      <c r="BD12" s="1">
        <v>39</v>
      </c>
      <c r="BE12" s="1">
        <v>20</v>
      </c>
      <c r="BF12" s="1">
        <v>28</v>
      </c>
      <c r="BG12" s="1">
        <v>21</v>
      </c>
      <c r="BH12" s="1">
        <v>0</v>
      </c>
      <c r="BI12" s="1">
        <v>74</v>
      </c>
      <c r="BJ12" s="1">
        <v>0</v>
      </c>
      <c r="BK12" s="1">
        <v>0</v>
      </c>
      <c r="BL12" s="1">
        <v>0</v>
      </c>
      <c r="BM12" s="1">
        <v>0</v>
      </c>
      <c r="BN12" s="1">
        <v>24</v>
      </c>
    </row>
    <row r="13" spans="1:66" ht="12.75" x14ac:dyDescent="0.2">
      <c r="A13" s="1">
        <v>47000</v>
      </c>
      <c r="B13" s="1" t="s">
        <v>85</v>
      </c>
      <c r="C13" s="1">
        <v>16</v>
      </c>
      <c r="D13" s="1">
        <v>677</v>
      </c>
      <c r="E13" s="1" t="s">
        <v>64</v>
      </c>
      <c r="F13" s="1">
        <v>61</v>
      </c>
      <c r="G13" s="1" t="s">
        <v>66</v>
      </c>
      <c r="H13" s="2">
        <v>56.59</v>
      </c>
      <c r="I13" s="2">
        <v>905.44</v>
      </c>
      <c r="J13" s="14">
        <f t="shared" si="2"/>
        <v>18108.800000000003</v>
      </c>
      <c r="K13" s="15">
        <f t="shared" si="3"/>
        <v>20</v>
      </c>
      <c r="L13" s="1">
        <v>10.88</v>
      </c>
      <c r="M13" s="1">
        <v>7.69</v>
      </c>
      <c r="N13" s="5">
        <v>0</v>
      </c>
      <c r="O13" s="1">
        <v>17.809999999999999</v>
      </c>
      <c r="P13" s="1">
        <v>20.38</v>
      </c>
      <c r="Q13" s="17">
        <f t="shared" si="4"/>
        <v>4.7493333333333334</v>
      </c>
      <c r="R13" s="17">
        <f t="shared" si="5"/>
        <v>15.630666666666666</v>
      </c>
      <c r="S13" s="5">
        <v>20</v>
      </c>
      <c r="T13" s="1">
        <v>11.91</v>
      </c>
      <c r="U13" s="1">
        <v>13.44</v>
      </c>
      <c r="V13" s="5">
        <v>1</v>
      </c>
      <c r="W13" s="17">
        <f t="shared" si="8"/>
        <v>0</v>
      </c>
      <c r="X13" s="1">
        <v>0</v>
      </c>
      <c r="Y13" s="18">
        <v>36755.199999999997</v>
      </c>
      <c r="Z13" s="2">
        <v>38028.480000000003</v>
      </c>
      <c r="AA13" s="1">
        <v>49</v>
      </c>
      <c r="AB13" s="1">
        <v>46</v>
      </c>
      <c r="AC13" s="1">
        <v>52</v>
      </c>
      <c r="AD13" s="1">
        <v>46</v>
      </c>
      <c r="AE13" s="1">
        <v>65</v>
      </c>
      <c r="AF13" s="1">
        <v>0</v>
      </c>
      <c r="AG13" s="1">
        <v>0</v>
      </c>
      <c r="AH13" s="1">
        <v>11</v>
      </c>
      <c r="AI13" s="1">
        <v>15</v>
      </c>
      <c r="AJ13" s="1">
        <v>58</v>
      </c>
      <c r="AK13" s="1">
        <v>0</v>
      </c>
      <c r="AL13" s="1">
        <v>0</v>
      </c>
      <c r="AM13" s="1">
        <v>2</v>
      </c>
      <c r="AN13" s="1">
        <v>6</v>
      </c>
      <c r="AO13" s="1">
        <v>0</v>
      </c>
      <c r="AP13" s="1">
        <v>0</v>
      </c>
      <c r="AQ13" s="1">
        <v>0</v>
      </c>
      <c r="AR13" s="1">
        <v>3</v>
      </c>
      <c r="AS13" s="1">
        <v>1</v>
      </c>
      <c r="AT13" s="1">
        <v>8</v>
      </c>
      <c r="AU13" s="1">
        <v>54</v>
      </c>
      <c r="AV13" s="1">
        <v>79</v>
      </c>
      <c r="AW13" s="1">
        <v>95</v>
      </c>
      <c r="AX13" s="1">
        <v>115</v>
      </c>
      <c r="AY13" s="1">
        <v>273</v>
      </c>
      <c r="AZ13" s="1">
        <v>13</v>
      </c>
      <c r="BA13" s="1">
        <v>18</v>
      </c>
      <c r="BB13" s="1">
        <v>8</v>
      </c>
      <c r="BC13" s="1">
        <v>18</v>
      </c>
      <c r="BD13" s="1">
        <v>53</v>
      </c>
      <c r="BE13" s="1">
        <v>114</v>
      </c>
      <c r="BF13" s="1">
        <v>79</v>
      </c>
      <c r="BG13" s="1">
        <v>23</v>
      </c>
      <c r="BH13" s="1">
        <v>28</v>
      </c>
      <c r="BI13" s="1">
        <v>215</v>
      </c>
      <c r="BJ13" s="1">
        <v>0</v>
      </c>
      <c r="BK13" s="1">
        <v>0</v>
      </c>
      <c r="BL13" s="1">
        <v>0</v>
      </c>
      <c r="BM13" s="1">
        <v>0</v>
      </c>
      <c r="BN13" s="1">
        <v>54</v>
      </c>
    </row>
    <row r="14" spans="1:66" ht="12.75" x14ac:dyDescent="0.2">
      <c r="A14" s="1">
        <v>47008</v>
      </c>
      <c r="B14" s="1" t="s">
        <v>93</v>
      </c>
      <c r="C14" s="1">
        <v>24</v>
      </c>
      <c r="D14" s="1">
        <v>677</v>
      </c>
      <c r="E14" s="1" t="s">
        <v>64</v>
      </c>
      <c r="F14" s="1">
        <v>61</v>
      </c>
      <c r="G14" s="1" t="s">
        <v>66</v>
      </c>
      <c r="H14" s="2">
        <v>35.74</v>
      </c>
      <c r="I14" s="2">
        <v>857.76</v>
      </c>
      <c r="J14" s="14">
        <f t="shared" si="2"/>
        <v>0</v>
      </c>
      <c r="K14" s="15">
        <f t="shared" si="3"/>
        <v>0</v>
      </c>
      <c r="L14" s="1">
        <v>10.67</v>
      </c>
      <c r="M14" s="1">
        <v>8.33</v>
      </c>
      <c r="N14" s="17">
        <f t="shared" ref="N14:N15" si="9">MAX(0,(TRUNC((L14*0.8)-M14)))</f>
        <v>0</v>
      </c>
      <c r="O14" s="1">
        <v>12.6</v>
      </c>
      <c r="P14" s="1">
        <v>21.08</v>
      </c>
      <c r="Q14" s="17">
        <f t="shared" si="4"/>
        <v>3.36</v>
      </c>
      <c r="R14" s="17">
        <f t="shared" si="5"/>
        <v>17.72</v>
      </c>
      <c r="S14" s="5">
        <v>0</v>
      </c>
      <c r="T14" s="1">
        <v>16.96</v>
      </c>
      <c r="U14" s="1">
        <v>20.58</v>
      </c>
      <c r="V14" s="17"/>
      <c r="W14" s="17">
        <f t="shared" si="8"/>
        <v>0</v>
      </c>
      <c r="X14" s="1">
        <v>0</v>
      </c>
      <c r="Y14" s="18">
        <v>34506.97</v>
      </c>
      <c r="Z14" s="2">
        <v>42959.48</v>
      </c>
      <c r="AA14" s="1">
        <v>10</v>
      </c>
      <c r="AB14" s="1">
        <v>47</v>
      </c>
      <c r="AC14" s="1">
        <v>101</v>
      </c>
      <c r="AD14" s="1">
        <v>88</v>
      </c>
      <c r="AE14" s="1">
        <v>200</v>
      </c>
      <c r="AF14" s="1">
        <v>0</v>
      </c>
      <c r="AG14" s="1">
        <v>0</v>
      </c>
      <c r="AH14" s="1">
        <v>33</v>
      </c>
      <c r="AI14" s="1">
        <v>56</v>
      </c>
      <c r="AJ14" s="1">
        <v>0</v>
      </c>
      <c r="AK14" s="1">
        <v>0</v>
      </c>
      <c r="AL14" s="1">
        <v>0</v>
      </c>
      <c r="AM14" s="1">
        <v>11</v>
      </c>
      <c r="AN14" s="1">
        <v>10</v>
      </c>
      <c r="AO14" s="1">
        <v>0</v>
      </c>
      <c r="AP14" s="1">
        <v>0</v>
      </c>
      <c r="AQ14" s="1">
        <v>0</v>
      </c>
      <c r="AR14" s="1">
        <v>0</v>
      </c>
      <c r="AS14" s="1">
        <v>1</v>
      </c>
      <c r="AT14" s="1">
        <v>2</v>
      </c>
      <c r="AU14" s="1">
        <v>39</v>
      </c>
      <c r="AV14" s="1">
        <v>20</v>
      </c>
      <c r="AW14" s="1">
        <v>113</v>
      </c>
      <c r="AX14" s="1">
        <v>190</v>
      </c>
      <c r="AY14" s="1">
        <v>454</v>
      </c>
      <c r="AZ14" s="1">
        <v>8</v>
      </c>
      <c r="BA14" s="1">
        <v>21</v>
      </c>
      <c r="BB14" s="1">
        <v>20</v>
      </c>
      <c r="BC14" s="1">
        <v>14</v>
      </c>
      <c r="BD14" s="1">
        <v>52</v>
      </c>
      <c r="BE14" s="1">
        <v>125</v>
      </c>
      <c r="BF14" s="1">
        <v>188</v>
      </c>
      <c r="BG14" s="1">
        <v>72</v>
      </c>
      <c r="BH14" s="1">
        <v>232</v>
      </c>
      <c r="BI14" s="1">
        <v>494</v>
      </c>
      <c r="BJ14" s="1">
        <v>0</v>
      </c>
      <c r="BK14" s="1">
        <v>0</v>
      </c>
      <c r="BL14" s="1">
        <v>0</v>
      </c>
      <c r="BM14" s="1">
        <v>0</v>
      </c>
      <c r="BN14" s="1">
        <v>103</v>
      </c>
    </row>
    <row r="15" spans="1:66" ht="12.75" x14ac:dyDescent="0.2">
      <c r="A15" s="1">
        <v>47038</v>
      </c>
      <c r="B15" s="1" t="s">
        <v>90</v>
      </c>
      <c r="C15" s="1">
        <v>28</v>
      </c>
      <c r="D15" s="1">
        <v>677</v>
      </c>
      <c r="E15" s="1" t="s">
        <v>64</v>
      </c>
      <c r="F15" s="1">
        <v>61</v>
      </c>
      <c r="G15" s="1" t="s">
        <v>66</v>
      </c>
      <c r="H15" s="2">
        <v>26.59</v>
      </c>
      <c r="I15" s="2">
        <v>744.52</v>
      </c>
      <c r="J15" s="14">
        <f t="shared" si="2"/>
        <v>7445.2</v>
      </c>
      <c r="K15" s="15">
        <f t="shared" si="3"/>
        <v>10</v>
      </c>
      <c r="L15" s="1">
        <v>13</v>
      </c>
      <c r="M15" s="1">
        <v>9.68</v>
      </c>
      <c r="N15" s="17">
        <f t="shared" si="9"/>
        <v>0</v>
      </c>
      <c r="O15" s="1">
        <v>19.05</v>
      </c>
      <c r="P15" s="1">
        <v>17.68</v>
      </c>
      <c r="Q15" s="17">
        <f t="shared" si="4"/>
        <v>5.08</v>
      </c>
      <c r="R15" s="17">
        <f t="shared" si="5"/>
        <v>12.6</v>
      </c>
      <c r="S15" s="5">
        <v>10</v>
      </c>
      <c r="T15" s="1">
        <v>9.2100000000000009</v>
      </c>
      <c r="U15" s="1">
        <v>13.07</v>
      </c>
      <c r="V15" s="17"/>
      <c r="W15" s="17">
        <f t="shared" si="8"/>
        <v>0</v>
      </c>
      <c r="X15" s="1">
        <v>0</v>
      </c>
      <c r="Y15" s="18">
        <v>30724.75</v>
      </c>
      <c r="Z15" s="2">
        <v>30073.29</v>
      </c>
      <c r="AA15" s="1">
        <v>48</v>
      </c>
      <c r="AB15" s="1">
        <v>25</v>
      </c>
      <c r="AC15" s="1">
        <v>156</v>
      </c>
      <c r="AD15" s="1">
        <v>107</v>
      </c>
      <c r="AE15" s="1">
        <v>219</v>
      </c>
      <c r="AF15" s="1">
        <v>0</v>
      </c>
      <c r="AG15" s="1">
        <v>0</v>
      </c>
      <c r="AH15" s="1">
        <v>53</v>
      </c>
      <c r="AI15" s="1">
        <v>44</v>
      </c>
      <c r="AJ15" s="1">
        <v>52</v>
      </c>
      <c r="AK15" s="1">
        <v>0</v>
      </c>
      <c r="AL15" s="1">
        <v>0</v>
      </c>
      <c r="AM15" s="1">
        <v>3</v>
      </c>
      <c r="AN15" s="1">
        <v>16</v>
      </c>
      <c r="AO15" s="1">
        <v>0</v>
      </c>
      <c r="AP15" s="1">
        <v>0</v>
      </c>
      <c r="AQ15" s="1">
        <v>0</v>
      </c>
      <c r="AR15" s="1">
        <v>4</v>
      </c>
      <c r="AS15" s="1">
        <v>8</v>
      </c>
      <c r="AT15" s="1">
        <v>-1</v>
      </c>
      <c r="AU15" s="1">
        <v>141</v>
      </c>
      <c r="AV15" s="1">
        <v>137</v>
      </c>
      <c r="AW15" s="1">
        <v>201</v>
      </c>
      <c r="AX15" s="1">
        <v>136</v>
      </c>
      <c r="AY15" s="1">
        <v>400</v>
      </c>
      <c r="AZ15" s="1">
        <v>12</v>
      </c>
      <c r="BA15" s="1">
        <v>12</v>
      </c>
      <c r="BB15" s="1">
        <v>28</v>
      </c>
      <c r="BC15" s="1">
        <v>18</v>
      </c>
      <c r="BD15" s="1">
        <v>95</v>
      </c>
      <c r="BE15" s="1">
        <v>88</v>
      </c>
      <c r="BF15" s="1">
        <v>111</v>
      </c>
      <c r="BG15" s="1">
        <v>51</v>
      </c>
      <c r="BH15" s="1">
        <v>127</v>
      </c>
      <c r="BI15" s="1">
        <v>366</v>
      </c>
      <c r="BJ15" s="1">
        <v>0</v>
      </c>
      <c r="BK15" s="1">
        <v>0</v>
      </c>
      <c r="BL15" s="1">
        <v>0</v>
      </c>
      <c r="BM15" s="1">
        <v>0</v>
      </c>
      <c r="BN15" s="1">
        <v>56</v>
      </c>
    </row>
    <row r="16" spans="1:66" ht="12.75" x14ac:dyDescent="0.2">
      <c r="A16" s="1">
        <v>48084</v>
      </c>
      <c r="B16" s="1" t="s">
        <v>100</v>
      </c>
      <c r="C16" s="1">
        <v>12</v>
      </c>
      <c r="D16" s="1">
        <v>677</v>
      </c>
      <c r="E16" s="1" t="s">
        <v>64</v>
      </c>
      <c r="F16" s="1">
        <v>690</v>
      </c>
      <c r="G16" s="1" t="s">
        <v>101</v>
      </c>
      <c r="H16" s="2">
        <v>54.916699999999999</v>
      </c>
      <c r="I16" s="2">
        <v>659.00040000000001</v>
      </c>
      <c r="J16" s="14">
        <f t="shared" si="2"/>
        <v>0</v>
      </c>
      <c r="K16" s="15">
        <f t="shared" si="3"/>
        <v>0</v>
      </c>
      <c r="L16" s="1">
        <v>15.33</v>
      </c>
      <c r="M16" s="1">
        <v>4.5</v>
      </c>
      <c r="N16" s="5">
        <v>0</v>
      </c>
      <c r="O16" s="1">
        <v>6.83</v>
      </c>
      <c r="P16" s="1">
        <v>7.33</v>
      </c>
      <c r="Q16" s="17">
        <f t="shared" si="4"/>
        <v>1.8213333333333332</v>
      </c>
      <c r="R16" s="17">
        <f t="shared" si="5"/>
        <v>5.5086666666666666</v>
      </c>
      <c r="S16" s="5">
        <v>0</v>
      </c>
      <c r="T16" s="1">
        <v>19.62</v>
      </c>
      <c r="U16" s="1">
        <v>7.33</v>
      </c>
      <c r="V16" s="5"/>
      <c r="W16" s="5">
        <v>0</v>
      </c>
      <c r="X16" s="1">
        <v>0</v>
      </c>
      <c r="Y16" s="18">
        <v>27540.73</v>
      </c>
      <c r="Z16" s="2">
        <v>13289.84</v>
      </c>
      <c r="AA16" s="1">
        <v>44</v>
      </c>
      <c r="AB16" s="1">
        <v>46</v>
      </c>
      <c r="AC16" s="1">
        <v>48</v>
      </c>
      <c r="AD16" s="1">
        <v>55</v>
      </c>
      <c r="AE16" s="1">
        <v>33</v>
      </c>
      <c r="AF16" s="1">
        <v>0</v>
      </c>
      <c r="AG16" s="1">
        <v>0</v>
      </c>
      <c r="AH16" s="1">
        <v>10</v>
      </c>
      <c r="AI16" s="1">
        <v>18</v>
      </c>
      <c r="AJ16" s="1">
        <v>21</v>
      </c>
      <c r="AK16" s="1">
        <v>0</v>
      </c>
      <c r="AL16" s="1">
        <v>0</v>
      </c>
      <c r="AM16" s="1">
        <v>17</v>
      </c>
      <c r="AN16" s="1">
        <v>6</v>
      </c>
      <c r="AO16" s="1">
        <v>0</v>
      </c>
      <c r="AP16" s="1">
        <v>0</v>
      </c>
      <c r="AQ16" s="1">
        <v>0</v>
      </c>
      <c r="AR16" s="1">
        <v>1</v>
      </c>
      <c r="AS16" s="1">
        <v>3</v>
      </c>
      <c r="AT16" s="1">
        <v>12</v>
      </c>
      <c r="AU16" s="1">
        <v>12</v>
      </c>
      <c r="AV16" s="1">
        <v>51</v>
      </c>
      <c r="AW16" s="1">
        <v>26</v>
      </c>
      <c r="AX16" s="1">
        <v>14</v>
      </c>
      <c r="AY16" s="1">
        <v>8</v>
      </c>
      <c r="AZ16" s="1">
        <v>5</v>
      </c>
      <c r="BA16" s="1">
        <v>4</v>
      </c>
      <c r="BB16" s="1">
        <v>2</v>
      </c>
      <c r="BC16" s="1">
        <v>5</v>
      </c>
      <c r="BD16" s="1">
        <v>80</v>
      </c>
      <c r="BE16" s="1">
        <v>88</v>
      </c>
      <c r="BF16" s="1">
        <v>70</v>
      </c>
      <c r="BG16" s="1">
        <v>79</v>
      </c>
      <c r="BH16" s="1">
        <v>67</v>
      </c>
      <c r="BI16" s="1">
        <v>88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</row>
    <row r="17" spans="1:66" ht="12.75" x14ac:dyDescent="0.2">
      <c r="A17" s="1">
        <v>48091</v>
      </c>
      <c r="B17" s="1" t="s">
        <v>103</v>
      </c>
      <c r="C17" s="1">
        <v>12</v>
      </c>
      <c r="D17" s="1">
        <v>677</v>
      </c>
      <c r="E17" s="1" t="s">
        <v>64</v>
      </c>
      <c r="F17" s="1">
        <v>690</v>
      </c>
      <c r="G17" s="1" t="s">
        <v>101</v>
      </c>
      <c r="H17" s="2">
        <v>54.916699999999999</v>
      </c>
      <c r="I17" s="2">
        <v>659.00040000000001</v>
      </c>
      <c r="J17" s="14">
        <f t="shared" si="2"/>
        <v>0</v>
      </c>
      <c r="K17" s="15">
        <f t="shared" si="3"/>
        <v>0</v>
      </c>
      <c r="L17" s="1">
        <v>16.12</v>
      </c>
      <c r="M17" s="1">
        <v>13.5</v>
      </c>
      <c r="N17" s="17">
        <f>MAX(0,(TRUNC((L17*0.8)-M17)))</f>
        <v>0</v>
      </c>
      <c r="O17" s="1">
        <v>6.54</v>
      </c>
      <c r="P17" s="1">
        <v>4.67</v>
      </c>
      <c r="Q17" s="17">
        <f t="shared" si="4"/>
        <v>1.744</v>
      </c>
      <c r="R17" s="17">
        <f t="shared" si="5"/>
        <v>2.9260000000000002</v>
      </c>
      <c r="S17" s="5">
        <v>0</v>
      </c>
      <c r="T17" s="1">
        <v>18.54</v>
      </c>
      <c r="U17" s="1">
        <v>7.42</v>
      </c>
      <c r="V17" s="5"/>
      <c r="W17" s="5">
        <v>0</v>
      </c>
      <c r="X17" s="1">
        <v>0</v>
      </c>
      <c r="Y17" s="18">
        <v>27156.31</v>
      </c>
      <c r="Z17" s="2">
        <v>17738.09</v>
      </c>
      <c r="AA17" s="1">
        <v>45</v>
      </c>
      <c r="AB17" s="1">
        <v>47</v>
      </c>
      <c r="AC17" s="1">
        <v>58</v>
      </c>
      <c r="AD17" s="1">
        <v>66</v>
      </c>
      <c r="AE17" s="1">
        <v>139</v>
      </c>
      <c r="AF17" s="1">
        <v>0</v>
      </c>
      <c r="AG17" s="1">
        <v>0</v>
      </c>
      <c r="AH17" s="1">
        <v>4</v>
      </c>
      <c r="AI17" s="1">
        <v>0</v>
      </c>
      <c r="AJ17" s="1">
        <v>23</v>
      </c>
      <c r="AK17" s="1">
        <v>0</v>
      </c>
      <c r="AL17" s="1">
        <v>0</v>
      </c>
      <c r="AM17" s="1">
        <v>25</v>
      </c>
      <c r="AN17" s="1">
        <v>5</v>
      </c>
      <c r="AO17" s="1">
        <v>0</v>
      </c>
      <c r="AP17" s="1">
        <v>0</v>
      </c>
      <c r="AQ17" s="1">
        <v>0</v>
      </c>
      <c r="AR17" s="1">
        <v>1</v>
      </c>
      <c r="AS17" s="1">
        <v>3</v>
      </c>
      <c r="AT17" s="1">
        <v>16</v>
      </c>
      <c r="AU17" s="1">
        <v>14</v>
      </c>
      <c r="AV17" s="1">
        <v>47</v>
      </c>
      <c r="AW17" s="1">
        <v>24</v>
      </c>
      <c r="AX17" s="1">
        <v>11</v>
      </c>
      <c r="AY17" s="1">
        <v>0</v>
      </c>
      <c r="AZ17" s="1">
        <v>3</v>
      </c>
      <c r="BA17" s="1">
        <v>7</v>
      </c>
      <c r="BB17" s="1">
        <v>3</v>
      </c>
      <c r="BC17" s="1">
        <v>4</v>
      </c>
      <c r="BD17" s="1">
        <v>56</v>
      </c>
      <c r="BE17" s="1">
        <v>81</v>
      </c>
      <c r="BF17" s="1">
        <v>68</v>
      </c>
      <c r="BG17" s="1">
        <v>75</v>
      </c>
      <c r="BH17" s="1">
        <v>65</v>
      </c>
      <c r="BI17" s="1">
        <v>89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</row>
    <row r="18" spans="1:66" ht="12.75" x14ac:dyDescent="0.2">
      <c r="A18" s="1">
        <v>47004</v>
      </c>
      <c r="B18" s="1" t="s">
        <v>86</v>
      </c>
      <c r="C18" s="1">
        <v>24</v>
      </c>
      <c r="D18" s="1">
        <v>677</v>
      </c>
      <c r="E18" s="1" t="s">
        <v>64</v>
      </c>
      <c r="F18" s="1">
        <v>61</v>
      </c>
      <c r="G18" s="1" t="s">
        <v>66</v>
      </c>
      <c r="H18" s="2">
        <v>22.315999999999999</v>
      </c>
      <c r="I18" s="2">
        <v>535.58399999999995</v>
      </c>
      <c r="J18" s="14">
        <f t="shared" si="2"/>
        <v>33206.207999999999</v>
      </c>
      <c r="K18" s="15">
        <f t="shared" si="3"/>
        <v>62</v>
      </c>
      <c r="L18" s="1">
        <v>18.149999999999999</v>
      </c>
      <c r="M18" s="1">
        <v>5.83</v>
      </c>
      <c r="N18" s="16">
        <v>22</v>
      </c>
      <c r="O18" s="1">
        <v>12.06</v>
      </c>
      <c r="P18" s="1">
        <v>9.33</v>
      </c>
      <c r="Q18" s="17">
        <f t="shared" si="4"/>
        <v>3.2160000000000002</v>
      </c>
      <c r="R18" s="17">
        <f t="shared" si="5"/>
        <v>6.1139999999999999</v>
      </c>
      <c r="S18" s="5">
        <v>20</v>
      </c>
      <c r="T18" s="1">
        <v>17.79</v>
      </c>
      <c r="U18" s="1">
        <v>7.25</v>
      </c>
      <c r="V18" s="5">
        <v>2</v>
      </c>
      <c r="W18" s="5">
        <v>20</v>
      </c>
      <c r="X18" s="1">
        <v>0</v>
      </c>
      <c r="Y18" s="18">
        <v>25708.03</v>
      </c>
      <c r="Z18" s="2">
        <v>12006.01</v>
      </c>
      <c r="AA18" s="1">
        <v>107</v>
      </c>
      <c r="AB18" s="1">
        <v>134</v>
      </c>
      <c r="AC18" s="1">
        <v>99</v>
      </c>
      <c r="AD18" s="1">
        <v>126</v>
      </c>
      <c r="AE18" s="1">
        <v>45</v>
      </c>
      <c r="AF18" s="1">
        <v>0</v>
      </c>
      <c r="AG18" s="1">
        <v>0</v>
      </c>
      <c r="AH18" s="1">
        <v>51</v>
      </c>
      <c r="AI18" s="1">
        <v>60</v>
      </c>
      <c r="AJ18" s="1">
        <v>95</v>
      </c>
      <c r="AK18" s="1">
        <v>0</v>
      </c>
      <c r="AL18" s="1">
        <v>0</v>
      </c>
      <c r="AM18" s="1">
        <v>10</v>
      </c>
      <c r="AN18" s="1">
        <v>5</v>
      </c>
      <c r="AO18" s="1">
        <v>0</v>
      </c>
      <c r="AP18" s="1">
        <v>0</v>
      </c>
      <c r="AQ18" s="1">
        <v>0</v>
      </c>
      <c r="AR18" s="1">
        <v>4</v>
      </c>
      <c r="AS18" s="1">
        <v>4</v>
      </c>
      <c r="AT18" s="1">
        <v>0</v>
      </c>
      <c r="AU18" s="1">
        <v>58</v>
      </c>
      <c r="AV18" s="1">
        <v>86</v>
      </c>
      <c r="AW18" s="1">
        <v>70</v>
      </c>
      <c r="AX18" s="1">
        <v>107</v>
      </c>
      <c r="AY18" s="1">
        <v>150</v>
      </c>
      <c r="AZ18" s="1">
        <v>26</v>
      </c>
      <c r="BA18" s="1">
        <v>53</v>
      </c>
      <c r="BB18" s="1">
        <v>9</v>
      </c>
      <c r="BC18" s="1">
        <v>7</v>
      </c>
      <c r="BD18" s="1">
        <v>74</v>
      </c>
      <c r="BE18" s="1">
        <v>163</v>
      </c>
      <c r="BF18" s="1">
        <v>88</v>
      </c>
      <c r="BG18" s="1">
        <v>87</v>
      </c>
      <c r="BH18" s="1">
        <v>266</v>
      </c>
      <c r="BI18" s="1">
        <v>174</v>
      </c>
      <c r="BJ18" s="1">
        <v>0</v>
      </c>
      <c r="BK18" s="1">
        <v>0</v>
      </c>
      <c r="BL18" s="1">
        <v>0</v>
      </c>
      <c r="BM18" s="1">
        <v>0</v>
      </c>
      <c r="BN18" s="1">
        <v>138</v>
      </c>
    </row>
    <row r="19" spans="1:66" ht="12.75" x14ac:dyDescent="0.2">
      <c r="A19" s="1">
        <v>48067</v>
      </c>
      <c r="B19" s="1" t="s">
        <v>106</v>
      </c>
      <c r="C19" s="1">
        <v>12</v>
      </c>
      <c r="D19" s="1">
        <v>677</v>
      </c>
      <c r="E19" s="1" t="s">
        <v>64</v>
      </c>
      <c r="F19" s="1">
        <v>690</v>
      </c>
      <c r="G19" s="1" t="s">
        <v>101</v>
      </c>
      <c r="H19" s="2">
        <v>54.916699999999999</v>
      </c>
      <c r="I19" s="2">
        <v>659.00040000000001</v>
      </c>
      <c r="J19" s="14">
        <f t="shared" si="2"/>
        <v>0</v>
      </c>
      <c r="K19" s="15">
        <f t="shared" si="3"/>
        <v>0</v>
      </c>
      <c r="L19" s="1">
        <v>16.62</v>
      </c>
      <c r="M19" s="1">
        <v>13.83</v>
      </c>
      <c r="N19" s="17">
        <f t="shared" ref="N19:N20" si="10">MAX(0,(TRUNC((L19*0.8)-M19)))</f>
        <v>0</v>
      </c>
      <c r="O19" s="1">
        <v>6.21</v>
      </c>
      <c r="P19" s="1">
        <v>10.08</v>
      </c>
      <c r="Q19" s="17">
        <f t="shared" si="4"/>
        <v>1.6559999999999999</v>
      </c>
      <c r="R19" s="17">
        <f t="shared" si="5"/>
        <v>8.4239999999999995</v>
      </c>
      <c r="S19" s="5">
        <v>0</v>
      </c>
      <c r="T19" s="1">
        <v>13.04</v>
      </c>
      <c r="U19" s="1">
        <v>11.5</v>
      </c>
      <c r="V19" s="17"/>
      <c r="W19" s="17">
        <f>MAX(0,(TRUNC((T19*0.8)-U19)))</f>
        <v>0</v>
      </c>
      <c r="X19" s="1">
        <v>0</v>
      </c>
      <c r="Y19" s="18">
        <v>23641.64</v>
      </c>
      <c r="Z19" s="2">
        <v>23394.51</v>
      </c>
      <c r="AA19" s="1">
        <v>47</v>
      </c>
      <c r="AB19" s="1">
        <v>43</v>
      </c>
      <c r="AC19" s="1">
        <v>58</v>
      </c>
      <c r="AD19" s="1">
        <v>55</v>
      </c>
      <c r="AE19" s="1">
        <v>152</v>
      </c>
      <c r="AF19" s="1">
        <v>0</v>
      </c>
      <c r="AG19" s="1">
        <v>0</v>
      </c>
      <c r="AH19" s="1">
        <v>19</v>
      </c>
      <c r="AI19" s="1">
        <v>10</v>
      </c>
      <c r="AJ19" s="1">
        <v>14</v>
      </c>
      <c r="AK19" s="1">
        <v>0</v>
      </c>
      <c r="AL19" s="1">
        <v>0</v>
      </c>
      <c r="AM19" s="1">
        <v>17</v>
      </c>
      <c r="AN19" s="1">
        <v>5</v>
      </c>
      <c r="AO19" s="1">
        <v>0</v>
      </c>
      <c r="AP19" s="1">
        <v>0</v>
      </c>
      <c r="AQ19" s="1">
        <v>0</v>
      </c>
      <c r="AR19" s="1">
        <v>2</v>
      </c>
      <c r="AS19" s="1">
        <v>0</v>
      </c>
      <c r="AT19" s="1">
        <v>1</v>
      </c>
      <c r="AU19" s="1">
        <v>22</v>
      </c>
      <c r="AV19" s="1">
        <v>21</v>
      </c>
      <c r="AW19" s="1">
        <v>19</v>
      </c>
      <c r="AX19" s="1">
        <v>21</v>
      </c>
      <c r="AY19" s="1">
        <v>41</v>
      </c>
      <c r="AZ19" s="1">
        <v>3</v>
      </c>
      <c r="BA19" s="1">
        <v>3</v>
      </c>
      <c r="BB19" s="1">
        <v>7</v>
      </c>
      <c r="BC19" s="1">
        <v>2</v>
      </c>
      <c r="BD19" s="1">
        <v>80</v>
      </c>
      <c r="BE19" s="1">
        <v>61</v>
      </c>
      <c r="BF19" s="1">
        <v>52</v>
      </c>
      <c r="BG19" s="1">
        <v>42</v>
      </c>
      <c r="BH19" s="1">
        <v>55</v>
      </c>
      <c r="BI19" s="1">
        <v>138</v>
      </c>
      <c r="BJ19" s="1">
        <v>0</v>
      </c>
      <c r="BK19" s="1">
        <v>0</v>
      </c>
      <c r="BL19" s="1">
        <v>0</v>
      </c>
      <c r="BM19" s="1">
        <v>0</v>
      </c>
      <c r="BN19" s="1">
        <v>11</v>
      </c>
    </row>
    <row r="20" spans="1:66" ht="12.75" x14ac:dyDescent="0.2">
      <c r="A20" s="1">
        <v>48081</v>
      </c>
      <c r="B20" s="1" t="s">
        <v>104</v>
      </c>
      <c r="C20" s="1">
        <v>12</v>
      </c>
      <c r="D20" s="1">
        <v>677</v>
      </c>
      <c r="E20" s="1" t="s">
        <v>64</v>
      </c>
      <c r="F20" s="1">
        <v>690</v>
      </c>
      <c r="G20" s="1" t="s">
        <v>101</v>
      </c>
      <c r="H20" s="2">
        <v>54.916699999999999</v>
      </c>
      <c r="I20" s="2">
        <v>659.00040000000001</v>
      </c>
      <c r="J20" s="14">
        <f t="shared" si="2"/>
        <v>0</v>
      </c>
      <c r="K20" s="15">
        <f t="shared" si="3"/>
        <v>0</v>
      </c>
      <c r="L20" s="1">
        <v>12.83</v>
      </c>
      <c r="M20" s="1">
        <v>10.58</v>
      </c>
      <c r="N20" s="17">
        <f t="shared" si="10"/>
        <v>0</v>
      </c>
      <c r="O20" s="1">
        <v>4.96</v>
      </c>
      <c r="P20" s="1">
        <v>11.25</v>
      </c>
      <c r="Q20" s="17">
        <f t="shared" si="4"/>
        <v>1.3226666666666667</v>
      </c>
      <c r="R20" s="17">
        <f t="shared" si="5"/>
        <v>9.9273333333333333</v>
      </c>
      <c r="S20" s="5">
        <v>0</v>
      </c>
      <c r="T20" s="1">
        <v>16.62</v>
      </c>
      <c r="U20" s="1">
        <v>10.17</v>
      </c>
      <c r="V20" s="5"/>
      <c r="W20" s="5">
        <v>0</v>
      </c>
      <c r="X20" s="1">
        <v>0</v>
      </c>
      <c r="Y20" s="18">
        <v>22680.6</v>
      </c>
      <c r="Z20" s="2">
        <v>22021.599999999999</v>
      </c>
      <c r="AA20" s="1">
        <v>12</v>
      </c>
      <c r="AB20" s="1">
        <v>45</v>
      </c>
      <c r="AC20" s="1">
        <v>55</v>
      </c>
      <c r="AD20" s="1">
        <v>42</v>
      </c>
      <c r="AE20" s="1">
        <v>65</v>
      </c>
      <c r="AF20" s="1">
        <v>0</v>
      </c>
      <c r="AG20" s="1">
        <v>0</v>
      </c>
      <c r="AH20" s="1">
        <v>13</v>
      </c>
      <c r="AI20" s="1">
        <v>13</v>
      </c>
      <c r="AJ20" s="1">
        <v>62</v>
      </c>
      <c r="AK20" s="1">
        <v>0</v>
      </c>
      <c r="AL20" s="1">
        <v>0</v>
      </c>
      <c r="AM20" s="1">
        <v>19</v>
      </c>
      <c r="AN20" s="1">
        <v>7</v>
      </c>
      <c r="AO20" s="1">
        <v>0</v>
      </c>
      <c r="AP20" s="1">
        <v>0</v>
      </c>
      <c r="AQ20" s="1">
        <v>0</v>
      </c>
      <c r="AR20" s="1">
        <v>1</v>
      </c>
      <c r="AS20" s="1">
        <v>1</v>
      </c>
      <c r="AT20" s="1">
        <v>17</v>
      </c>
      <c r="AU20" s="1">
        <v>15</v>
      </c>
      <c r="AV20" s="1">
        <v>25</v>
      </c>
      <c r="AW20" s="1">
        <v>22</v>
      </c>
      <c r="AX20" s="1">
        <v>8</v>
      </c>
      <c r="AY20" s="1">
        <v>77</v>
      </c>
      <c r="AZ20" s="1">
        <v>1</v>
      </c>
      <c r="BA20" s="1">
        <v>3</v>
      </c>
      <c r="BB20" s="1">
        <v>2</v>
      </c>
      <c r="BC20" s="1">
        <v>3</v>
      </c>
      <c r="BD20" s="1">
        <v>58</v>
      </c>
      <c r="BE20" s="1">
        <v>90</v>
      </c>
      <c r="BF20" s="1">
        <v>66</v>
      </c>
      <c r="BG20" s="1">
        <v>44</v>
      </c>
      <c r="BH20" s="1">
        <v>65</v>
      </c>
      <c r="BI20" s="1">
        <v>122</v>
      </c>
      <c r="BJ20" s="1">
        <v>0</v>
      </c>
      <c r="BK20" s="1">
        <v>0</v>
      </c>
      <c r="BL20" s="1">
        <v>0</v>
      </c>
      <c r="BM20" s="1">
        <v>0</v>
      </c>
      <c r="BN20" s="1">
        <v>3</v>
      </c>
    </row>
    <row r="21" spans="1:66" ht="12.75" x14ac:dyDescent="0.2">
      <c r="A21" s="1">
        <v>47003</v>
      </c>
      <c r="B21" s="1" t="s">
        <v>91</v>
      </c>
      <c r="C21" s="1">
        <v>24</v>
      </c>
      <c r="D21" s="1">
        <v>677</v>
      </c>
      <c r="E21" s="1" t="s">
        <v>64</v>
      </c>
      <c r="F21" s="1">
        <v>61</v>
      </c>
      <c r="G21" s="1" t="s">
        <v>66</v>
      </c>
      <c r="H21" s="2">
        <v>22.315999999999999</v>
      </c>
      <c r="I21" s="2">
        <v>535.58399999999995</v>
      </c>
      <c r="J21" s="14">
        <f t="shared" si="2"/>
        <v>22494.527999999998</v>
      </c>
      <c r="K21" s="15">
        <f t="shared" si="3"/>
        <v>42</v>
      </c>
      <c r="L21" s="1">
        <v>13.85</v>
      </c>
      <c r="M21" s="1">
        <v>8.0399999999999991</v>
      </c>
      <c r="N21" s="16">
        <v>22</v>
      </c>
      <c r="O21" s="1">
        <v>16.25</v>
      </c>
      <c r="P21" s="1">
        <v>10.5</v>
      </c>
      <c r="Q21" s="17">
        <f t="shared" si="4"/>
        <v>4.333333333333333</v>
      </c>
      <c r="R21" s="17">
        <f t="shared" si="5"/>
        <v>6.166666666666667</v>
      </c>
      <c r="S21" s="5">
        <v>20</v>
      </c>
      <c r="T21" s="1">
        <v>7.6</v>
      </c>
      <c r="U21" s="1">
        <v>8.5</v>
      </c>
      <c r="V21" s="5">
        <v>2</v>
      </c>
      <c r="W21" s="17">
        <f>MAX(0,(TRUNC((T21*0.8)-U21)))</f>
        <v>0</v>
      </c>
      <c r="X21" s="1">
        <v>0</v>
      </c>
      <c r="Y21" s="18">
        <v>20195.98</v>
      </c>
      <c r="Z21" s="2">
        <v>16022.89</v>
      </c>
      <c r="AA21" s="1">
        <v>45</v>
      </c>
      <c r="AB21" s="1">
        <v>74</v>
      </c>
      <c r="AC21" s="1">
        <v>69</v>
      </c>
      <c r="AD21" s="1">
        <v>116</v>
      </c>
      <c r="AE21" s="1">
        <v>33</v>
      </c>
      <c r="AF21" s="1">
        <v>0</v>
      </c>
      <c r="AG21" s="1">
        <v>0</v>
      </c>
      <c r="AH21" s="1">
        <v>51</v>
      </c>
      <c r="AI21" s="1">
        <v>86</v>
      </c>
      <c r="AJ21" s="1">
        <v>160</v>
      </c>
      <c r="AK21" s="1">
        <v>0</v>
      </c>
      <c r="AL21" s="1">
        <v>0</v>
      </c>
      <c r="AM21" s="1">
        <v>11</v>
      </c>
      <c r="AN21" s="1">
        <v>9</v>
      </c>
      <c r="AO21" s="1">
        <v>0</v>
      </c>
      <c r="AP21" s="1">
        <v>0</v>
      </c>
      <c r="AQ21" s="1">
        <v>0</v>
      </c>
      <c r="AR21" s="1">
        <v>8</v>
      </c>
      <c r="AS21" s="1">
        <v>12</v>
      </c>
      <c r="AT21" s="1">
        <v>69</v>
      </c>
      <c r="AU21" s="1">
        <v>34</v>
      </c>
      <c r="AV21" s="1">
        <v>75</v>
      </c>
      <c r="AW21" s="1">
        <v>211</v>
      </c>
      <c r="AX21" s="1">
        <v>60</v>
      </c>
      <c r="AY21" s="1">
        <v>184</v>
      </c>
      <c r="AZ21" s="1">
        <v>34</v>
      </c>
      <c r="BA21" s="1">
        <v>37</v>
      </c>
      <c r="BB21" s="1">
        <v>20</v>
      </c>
      <c r="BC21" s="1">
        <v>10</v>
      </c>
      <c r="BD21" s="1">
        <v>68</v>
      </c>
      <c r="BE21" s="1">
        <v>16</v>
      </c>
      <c r="BF21" s="1">
        <v>56</v>
      </c>
      <c r="BG21" s="1">
        <v>40</v>
      </c>
      <c r="BH21" s="1">
        <v>197</v>
      </c>
      <c r="BI21" s="1">
        <v>204</v>
      </c>
      <c r="BJ21" s="1">
        <v>0</v>
      </c>
      <c r="BK21" s="1">
        <v>0</v>
      </c>
      <c r="BL21" s="1">
        <v>0</v>
      </c>
      <c r="BM21" s="1">
        <v>0</v>
      </c>
      <c r="BN21" s="1">
        <v>199</v>
      </c>
    </row>
    <row r="22" spans="1:66" ht="12.75" x14ac:dyDescent="0.2">
      <c r="A22" s="1">
        <v>48068</v>
      </c>
      <c r="B22" s="1" t="s">
        <v>109</v>
      </c>
      <c r="C22" s="1">
        <v>12</v>
      </c>
      <c r="D22" s="1">
        <v>677</v>
      </c>
      <c r="E22" s="1" t="s">
        <v>64</v>
      </c>
      <c r="F22" s="1">
        <v>690</v>
      </c>
      <c r="G22" s="1" t="s">
        <v>101</v>
      </c>
      <c r="H22" s="2">
        <v>54.916699999999999</v>
      </c>
      <c r="I22" s="2">
        <v>659.00040000000001</v>
      </c>
      <c r="J22" s="14">
        <f t="shared" si="2"/>
        <v>0</v>
      </c>
      <c r="K22" s="15">
        <f t="shared" si="3"/>
        <v>0</v>
      </c>
      <c r="L22" s="1">
        <v>11.96</v>
      </c>
      <c r="M22" s="1">
        <v>0.5</v>
      </c>
      <c r="N22" s="5">
        <v>0</v>
      </c>
      <c r="O22" s="1">
        <v>3.04</v>
      </c>
      <c r="P22" s="1">
        <v>0.17</v>
      </c>
      <c r="Q22" s="17">
        <f t="shared" si="4"/>
        <v>0.81066666666666665</v>
      </c>
      <c r="R22" s="17">
        <f t="shared" si="5"/>
        <v>-0.64066666666666661</v>
      </c>
      <c r="S22" s="5">
        <v>0</v>
      </c>
      <c r="T22" s="1">
        <v>9.9600000000000009</v>
      </c>
      <c r="U22" s="1">
        <v>0.17</v>
      </c>
      <c r="V22" s="5"/>
      <c r="W22" s="5">
        <v>0</v>
      </c>
      <c r="X22" s="1">
        <v>0</v>
      </c>
      <c r="Y22" s="18">
        <v>16447.55</v>
      </c>
      <c r="Z22" s="2">
        <v>1372.92</v>
      </c>
      <c r="AA22" s="1">
        <v>25</v>
      </c>
      <c r="AB22" s="1">
        <v>31</v>
      </c>
      <c r="AC22" s="1">
        <v>52</v>
      </c>
      <c r="AD22" s="1">
        <v>35</v>
      </c>
      <c r="AE22" s="1">
        <v>6</v>
      </c>
      <c r="AF22" s="1">
        <v>0</v>
      </c>
      <c r="AG22" s="1">
        <v>0</v>
      </c>
      <c r="AH22" s="1">
        <v>14</v>
      </c>
      <c r="AI22" s="1">
        <v>12</v>
      </c>
      <c r="AJ22" s="1">
        <v>0</v>
      </c>
      <c r="AK22" s="1">
        <v>0</v>
      </c>
      <c r="AL22" s="1">
        <v>0</v>
      </c>
      <c r="AM22" s="1">
        <v>11</v>
      </c>
      <c r="AN22" s="1">
        <v>3</v>
      </c>
      <c r="AO22" s="1">
        <v>0</v>
      </c>
      <c r="AP22" s="1">
        <v>0</v>
      </c>
      <c r="AQ22" s="1">
        <v>0</v>
      </c>
      <c r="AR22" s="1">
        <v>1</v>
      </c>
      <c r="AS22" s="1">
        <v>0</v>
      </c>
      <c r="AT22" s="1">
        <v>15</v>
      </c>
      <c r="AU22" s="1">
        <v>4</v>
      </c>
      <c r="AV22" s="1">
        <v>23</v>
      </c>
      <c r="AW22" s="1">
        <v>10</v>
      </c>
      <c r="AX22" s="1">
        <v>7</v>
      </c>
      <c r="AY22" s="1">
        <v>2</v>
      </c>
      <c r="AZ22" s="1">
        <v>0</v>
      </c>
      <c r="BA22" s="1">
        <v>0</v>
      </c>
      <c r="BB22" s="1">
        <v>6</v>
      </c>
      <c r="BC22" s="1">
        <v>3</v>
      </c>
      <c r="BD22" s="1">
        <v>0</v>
      </c>
      <c r="BE22" s="1">
        <v>36</v>
      </c>
      <c r="BF22" s="1">
        <v>46</v>
      </c>
      <c r="BG22" s="1">
        <v>49</v>
      </c>
      <c r="BH22" s="1">
        <v>23</v>
      </c>
      <c r="BI22" s="1">
        <v>2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</row>
    <row r="23" spans="1:66" ht="12.75" x14ac:dyDescent="0.2">
      <c r="A23" s="1">
        <v>47029</v>
      </c>
      <c r="B23" s="1" t="s">
        <v>94</v>
      </c>
      <c r="C23" s="1">
        <v>24</v>
      </c>
      <c r="D23" s="1">
        <v>677</v>
      </c>
      <c r="E23" s="1" t="s">
        <v>64</v>
      </c>
      <c r="F23" s="1">
        <v>61</v>
      </c>
      <c r="G23" s="1" t="s">
        <v>66</v>
      </c>
      <c r="H23" s="2">
        <v>41.26</v>
      </c>
      <c r="I23" s="2">
        <v>990.24</v>
      </c>
      <c r="J23" s="14">
        <f t="shared" si="2"/>
        <v>0</v>
      </c>
      <c r="K23" s="15">
        <f t="shared" si="3"/>
        <v>0</v>
      </c>
      <c r="L23" s="1">
        <v>6.48</v>
      </c>
      <c r="M23" s="1">
        <v>6.04</v>
      </c>
      <c r="N23" s="17">
        <f>MAX(0,(TRUNC((L23*0.8)-M23)))</f>
        <v>0</v>
      </c>
      <c r="O23" s="1">
        <v>5.83</v>
      </c>
      <c r="P23" s="1">
        <v>10.039999999999999</v>
      </c>
      <c r="Q23" s="17">
        <f t="shared" si="4"/>
        <v>1.5546666666666666</v>
      </c>
      <c r="R23" s="17">
        <f t="shared" si="5"/>
        <v>8.4853333333333332</v>
      </c>
      <c r="S23" s="5">
        <v>0</v>
      </c>
      <c r="T23" s="1">
        <v>4.1500000000000004</v>
      </c>
      <c r="U23" s="1">
        <v>2.04</v>
      </c>
      <c r="V23" s="5"/>
      <c r="W23" s="5">
        <v>0</v>
      </c>
      <c r="X23" s="1">
        <v>0</v>
      </c>
      <c r="Y23" s="18">
        <v>16297.7</v>
      </c>
      <c r="Z23" s="2">
        <v>18484.48</v>
      </c>
      <c r="AA23" s="1">
        <v>46</v>
      </c>
      <c r="AB23" s="1">
        <v>23</v>
      </c>
      <c r="AC23" s="1">
        <v>72</v>
      </c>
      <c r="AD23" s="1">
        <v>12</v>
      </c>
      <c r="AE23" s="1">
        <v>116</v>
      </c>
      <c r="AF23" s="1">
        <v>0</v>
      </c>
      <c r="AG23" s="1">
        <v>0</v>
      </c>
      <c r="AH23" s="1">
        <v>7</v>
      </c>
      <c r="AI23" s="1">
        <v>16</v>
      </c>
      <c r="AJ23" s="1">
        <v>29</v>
      </c>
      <c r="AK23" s="1">
        <v>0</v>
      </c>
      <c r="AL23" s="1">
        <v>0</v>
      </c>
      <c r="AM23" s="1">
        <v>4</v>
      </c>
      <c r="AN23" s="1">
        <v>2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13</v>
      </c>
      <c r="AU23" s="1">
        <v>38</v>
      </c>
      <c r="AV23" s="1">
        <v>7</v>
      </c>
      <c r="AW23" s="1">
        <v>49</v>
      </c>
      <c r="AX23" s="1">
        <v>37</v>
      </c>
      <c r="AY23" s="1">
        <v>203</v>
      </c>
      <c r="AZ23" s="1">
        <v>9</v>
      </c>
      <c r="BA23" s="1">
        <v>25</v>
      </c>
      <c r="BB23" s="1">
        <v>5</v>
      </c>
      <c r="BC23" s="1">
        <v>9</v>
      </c>
      <c r="BD23" s="1">
        <v>38</v>
      </c>
      <c r="BE23" s="1">
        <v>49</v>
      </c>
      <c r="BF23" s="1">
        <v>13</v>
      </c>
      <c r="BG23" s="1">
        <v>34</v>
      </c>
      <c r="BH23" s="1">
        <v>20</v>
      </c>
      <c r="BI23" s="1">
        <v>49</v>
      </c>
      <c r="BJ23" s="1">
        <v>0</v>
      </c>
      <c r="BK23" s="1">
        <v>0</v>
      </c>
      <c r="BL23" s="1">
        <v>0</v>
      </c>
      <c r="BM23" s="1">
        <v>0</v>
      </c>
      <c r="BN23" s="1">
        <v>31</v>
      </c>
    </row>
    <row r="24" spans="1:66" ht="12.75" x14ac:dyDescent="0.2">
      <c r="A24" s="1">
        <v>47002</v>
      </c>
      <c r="B24" s="1" t="s">
        <v>89</v>
      </c>
      <c r="C24" s="1">
        <v>24</v>
      </c>
      <c r="D24" s="1">
        <v>677</v>
      </c>
      <c r="E24" s="1" t="s">
        <v>64</v>
      </c>
      <c r="F24" s="1">
        <v>61</v>
      </c>
      <c r="G24" s="1" t="s">
        <v>66</v>
      </c>
      <c r="H24" s="2">
        <v>22.315999999999999</v>
      </c>
      <c r="I24" s="2">
        <v>535.58399999999995</v>
      </c>
      <c r="J24" s="14">
        <f t="shared" si="2"/>
        <v>22494.527999999998</v>
      </c>
      <c r="K24" s="15">
        <f t="shared" si="3"/>
        <v>42</v>
      </c>
      <c r="L24" s="1">
        <v>12.21</v>
      </c>
      <c r="M24" s="1">
        <v>8.75</v>
      </c>
      <c r="N24" s="16">
        <v>22</v>
      </c>
      <c r="O24" s="1">
        <v>11.5</v>
      </c>
      <c r="P24" s="1">
        <v>3.54</v>
      </c>
      <c r="Q24" s="17">
        <f t="shared" si="4"/>
        <v>3.0666666666666669</v>
      </c>
      <c r="R24" s="17">
        <f t="shared" si="5"/>
        <v>0.47333333333333316</v>
      </c>
      <c r="S24" s="5">
        <v>20</v>
      </c>
      <c r="T24" s="1">
        <v>6.04</v>
      </c>
      <c r="U24" s="1">
        <v>4.92</v>
      </c>
      <c r="V24" s="5">
        <v>2</v>
      </c>
      <c r="W24" s="17">
        <f>MAX(0,(TRUNC((T24*0.8)-U24)))</f>
        <v>0</v>
      </c>
      <c r="X24" s="1">
        <v>0</v>
      </c>
      <c r="Y24" s="18">
        <v>15933.62</v>
      </c>
      <c r="Z24" s="2">
        <v>10287.68</v>
      </c>
      <c r="AA24" s="1">
        <v>36</v>
      </c>
      <c r="AB24" s="1">
        <v>60</v>
      </c>
      <c r="AC24" s="1">
        <v>128</v>
      </c>
      <c r="AD24" s="1">
        <v>60</v>
      </c>
      <c r="AE24" s="1">
        <v>7</v>
      </c>
      <c r="AF24" s="1">
        <v>0</v>
      </c>
      <c r="AG24" s="1">
        <v>0</v>
      </c>
      <c r="AH24" s="1">
        <v>33</v>
      </c>
      <c r="AI24" s="1">
        <v>24</v>
      </c>
      <c r="AJ24" s="1">
        <v>203</v>
      </c>
      <c r="AK24" s="1">
        <v>0</v>
      </c>
      <c r="AL24" s="1">
        <v>0</v>
      </c>
      <c r="AM24" s="1">
        <v>10</v>
      </c>
      <c r="AN24" s="1">
        <v>16</v>
      </c>
      <c r="AO24" s="1">
        <v>0</v>
      </c>
      <c r="AP24" s="1">
        <v>0</v>
      </c>
      <c r="AQ24" s="1">
        <v>0</v>
      </c>
      <c r="AR24" s="1">
        <v>4</v>
      </c>
      <c r="AS24" s="1">
        <v>4</v>
      </c>
      <c r="AT24" s="1">
        <v>48</v>
      </c>
      <c r="AU24" s="1">
        <v>52</v>
      </c>
      <c r="AV24" s="1">
        <v>83</v>
      </c>
      <c r="AW24" s="1">
        <v>97</v>
      </c>
      <c r="AX24" s="1">
        <v>59</v>
      </c>
      <c r="AY24" s="1">
        <v>61</v>
      </c>
      <c r="AZ24" s="1">
        <v>20</v>
      </c>
      <c r="BA24" s="1">
        <v>42</v>
      </c>
      <c r="BB24" s="1">
        <v>9</v>
      </c>
      <c r="BC24" s="1">
        <v>12</v>
      </c>
      <c r="BD24" s="1">
        <v>24</v>
      </c>
      <c r="BE24" s="1">
        <v>22</v>
      </c>
      <c r="BF24" s="1">
        <v>36</v>
      </c>
      <c r="BG24" s="1">
        <v>24</v>
      </c>
      <c r="BH24" s="1">
        <v>162</v>
      </c>
      <c r="BI24" s="1">
        <v>118</v>
      </c>
      <c r="BJ24" s="1">
        <v>0</v>
      </c>
      <c r="BK24" s="1">
        <v>0</v>
      </c>
      <c r="BL24" s="1">
        <v>0</v>
      </c>
      <c r="BM24" s="1">
        <v>0</v>
      </c>
      <c r="BN24" s="1">
        <v>114</v>
      </c>
    </row>
    <row r="25" spans="1:66" ht="12.75" x14ac:dyDescent="0.2">
      <c r="A25" s="1">
        <v>48082</v>
      </c>
      <c r="B25" s="1" t="s">
        <v>114</v>
      </c>
      <c r="C25" s="1">
        <v>12</v>
      </c>
      <c r="D25" s="1">
        <v>677</v>
      </c>
      <c r="E25" s="1" t="s">
        <v>64</v>
      </c>
      <c r="F25" s="1">
        <v>690</v>
      </c>
      <c r="G25" s="1" t="s">
        <v>101</v>
      </c>
      <c r="H25" s="2">
        <v>54.916699999999999</v>
      </c>
      <c r="I25" s="2">
        <v>659.00040000000001</v>
      </c>
      <c r="J25" s="14">
        <f t="shared" si="2"/>
        <v>0</v>
      </c>
      <c r="K25" s="15">
        <f t="shared" si="3"/>
        <v>0</v>
      </c>
      <c r="L25" s="1">
        <v>10.75</v>
      </c>
      <c r="M25" s="1">
        <v>0.57999999999999996</v>
      </c>
      <c r="N25" s="5">
        <v>0</v>
      </c>
      <c r="O25" s="1">
        <v>3.96</v>
      </c>
      <c r="P25" s="1">
        <v>0.33</v>
      </c>
      <c r="Q25" s="17">
        <f t="shared" si="4"/>
        <v>1.056</v>
      </c>
      <c r="R25" s="17">
        <f t="shared" si="5"/>
        <v>-0.72599999999999998</v>
      </c>
      <c r="S25" s="5">
        <v>0</v>
      </c>
      <c r="T25" s="1">
        <v>7.92</v>
      </c>
      <c r="U25" s="1">
        <v>2.58</v>
      </c>
      <c r="V25" s="5"/>
      <c r="W25" s="5">
        <v>0</v>
      </c>
      <c r="X25" s="1">
        <v>0</v>
      </c>
      <c r="Y25" s="18">
        <v>14909.88</v>
      </c>
      <c r="Z25" s="2">
        <v>2800.75</v>
      </c>
      <c r="AA25" s="1">
        <v>32</v>
      </c>
      <c r="AB25" s="1">
        <v>22</v>
      </c>
      <c r="AC25" s="1">
        <v>33</v>
      </c>
      <c r="AD25" s="1">
        <v>57</v>
      </c>
      <c r="AE25" s="1">
        <v>7</v>
      </c>
      <c r="AF25" s="1">
        <v>0</v>
      </c>
      <c r="AG25" s="1">
        <v>0</v>
      </c>
      <c r="AH25" s="1">
        <v>14</v>
      </c>
      <c r="AI25" s="1">
        <v>8</v>
      </c>
      <c r="AJ25" s="1">
        <v>0</v>
      </c>
      <c r="AK25" s="1">
        <v>0</v>
      </c>
      <c r="AL25" s="1">
        <v>0</v>
      </c>
      <c r="AM25" s="1">
        <v>1</v>
      </c>
      <c r="AN25" s="1">
        <v>11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9</v>
      </c>
      <c r="AU25" s="1">
        <v>15</v>
      </c>
      <c r="AV25" s="1">
        <v>15</v>
      </c>
      <c r="AW25" s="1">
        <v>11</v>
      </c>
      <c r="AX25" s="1">
        <v>12</v>
      </c>
      <c r="AY25" s="1">
        <v>4</v>
      </c>
      <c r="AZ25" s="1">
        <v>0</v>
      </c>
      <c r="BA25" s="1">
        <v>0</v>
      </c>
      <c r="BB25" s="1">
        <v>7</v>
      </c>
      <c r="BC25" s="1">
        <v>2</v>
      </c>
      <c r="BD25" s="1">
        <v>0</v>
      </c>
      <c r="BE25" s="1">
        <v>37</v>
      </c>
      <c r="BF25" s="1">
        <v>44</v>
      </c>
      <c r="BG25" s="1">
        <v>27</v>
      </c>
      <c r="BH25" s="1">
        <v>18</v>
      </c>
      <c r="BI25" s="1">
        <v>31</v>
      </c>
      <c r="BJ25" s="1">
        <v>0</v>
      </c>
      <c r="BK25" s="1">
        <v>0</v>
      </c>
      <c r="BL25" s="1">
        <v>0</v>
      </c>
      <c r="BM25" s="1">
        <v>0</v>
      </c>
      <c r="BN25" s="1">
        <v>9</v>
      </c>
    </row>
    <row r="26" spans="1:66" ht="12.75" x14ac:dyDescent="0.2">
      <c r="A26" s="1">
        <v>48069</v>
      </c>
      <c r="B26" s="1" t="s">
        <v>110</v>
      </c>
      <c r="C26" s="1">
        <v>12</v>
      </c>
      <c r="D26" s="1">
        <v>677</v>
      </c>
      <c r="E26" s="1" t="s">
        <v>64</v>
      </c>
      <c r="F26" s="1">
        <v>690</v>
      </c>
      <c r="G26" s="1" t="s">
        <v>101</v>
      </c>
      <c r="H26" s="2">
        <v>54.916699999999999</v>
      </c>
      <c r="I26" s="2">
        <v>659.00040000000001</v>
      </c>
      <c r="J26" s="14">
        <f t="shared" si="2"/>
        <v>0</v>
      </c>
      <c r="K26" s="15">
        <f t="shared" si="3"/>
        <v>0</v>
      </c>
      <c r="L26" s="1">
        <v>7.83</v>
      </c>
      <c r="M26" s="1">
        <v>2.42</v>
      </c>
      <c r="N26" s="5">
        <v>0</v>
      </c>
      <c r="O26" s="1">
        <v>7.21</v>
      </c>
      <c r="P26" s="1">
        <v>6.08</v>
      </c>
      <c r="Q26" s="17">
        <f t="shared" si="4"/>
        <v>1.9226666666666667</v>
      </c>
      <c r="R26" s="17">
        <f t="shared" si="5"/>
        <v>4.1573333333333338</v>
      </c>
      <c r="S26" s="5">
        <v>0</v>
      </c>
      <c r="T26" s="1">
        <v>6</v>
      </c>
      <c r="U26" s="1">
        <v>3.33</v>
      </c>
      <c r="V26" s="5"/>
      <c r="W26" s="5">
        <v>0</v>
      </c>
      <c r="X26" s="1">
        <v>0</v>
      </c>
      <c r="Y26" s="18">
        <v>13866.47</v>
      </c>
      <c r="Z26" s="2">
        <v>8457.17</v>
      </c>
      <c r="AA26" s="1">
        <v>24</v>
      </c>
      <c r="AB26" s="1">
        <v>24</v>
      </c>
      <c r="AC26" s="1">
        <v>19</v>
      </c>
      <c r="AD26" s="1">
        <v>36</v>
      </c>
      <c r="AE26" s="1">
        <v>5</v>
      </c>
      <c r="AF26" s="1">
        <v>0</v>
      </c>
      <c r="AG26" s="1">
        <v>0</v>
      </c>
      <c r="AH26" s="1">
        <v>6</v>
      </c>
      <c r="AI26" s="1">
        <v>12</v>
      </c>
      <c r="AJ26" s="1">
        <v>24</v>
      </c>
      <c r="AK26" s="1">
        <v>0</v>
      </c>
      <c r="AL26" s="1">
        <v>0</v>
      </c>
      <c r="AM26" s="1">
        <v>6</v>
      </c>
      <c r="AN26" s="1">
        <v>6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12</v>
      </c>
      <c r="AU26" s="1">
        <v>30</v>
      </c>
      <c r="AV26" s="1">
        <v>32</v>
      </c>
      <c r="AW26" s="1">
        <v>17</v>
      </c>
      <c r="AX26" s="1">
        <v>20</v>
      </c>
      <c r="AY26" s="1">
        <v>12</v>
      </c>
      <c r="AZ26" s="1">
        <v>3</v>
      </c>
      <c r="BA26" s="1">
        <v>4</v>
      </c>
      <c r="BB26" s="1">
        <v>7</v>
      </c>
      <c r="BC26" s="1">
        <v>3</v>
      </c>
      <c r="BD26" s="1">
        <v>61</v>
      </c>
      <c r="BE26" s="1">
        <v>26</v>
      </c>
      <c r="BF26" s="1">
        <v>34</v>
      </c>
      <c r="BG26" s="1">
        <v>20</v>
      </c>
      <c r="BH26" s="1">
        <v>18</v>
      </c>
      <c r="BI26" s="1">
        <v>40</v>
      </c>
      <c r="BJ26" s="1">
        <v>0</v>
      </c>
      <c r="BK26" s="1">
        <v>0</v>
      </c>
      <c r="BL26" s="1">
        <v>0</v>
      </c>
      <c r="BM26" s="1">
        <v>0</v>
      </c>
      <c r="BN26" s="1">
        <v>4</v>
      </c>
    </row>
    <row r="27" spans="1:66" ht="12.75" x14ac:dyDescent="0.2">
      <c r="A27" s="1">
        <v>48085</v>
      </c>
      <c r="B27" s="1" t="s">
        <v>105</v>
      </c>
      <c r="C27" s="1">
        <v>12</v>
      </c>
      <c r="D27" s="1">
        <v>677</v>
      </c>
      <c r="E27" s="1" t="s">
        <v>64</v>
      </c>
      <c r="F27" s="1">
        <v>690</v>
      </c>
      <c r="G27" s="1" t="s">
        <v>101</v>
      </c>
      <c r="H27" s="2">
        <v>54.916699999999999</v>
      </c>
      <c r="I27" s="2">
        <v>659.00040000000001</v>
      </c>
      <c r="J27" s="14">
        <f t="shared" si="2"/>
        <v>0</v>
      </c>
      <c r="K27" s="15">
        <f t="shared" si="3"/>
        <v>0</v>
      </c>
      <c r="L27" s="1">
        <v>9.25</v>
      </c>
      <c r="M27" s="1">
        <v>3.92</v>
      </c>
      <c r="N27" s="5">
        <v>0</v>
      </c>
      <c r="O27" s="1">
        <v>2.83</v>
      </c>
      <c r="P27" s="1">
        <v>0</v>
      </c>
      <c r="Q27" s="17">
        <f t="shared" si="4"/>
        <v>0.75466666666666671</v>
      </c>
      <c r="R27" s="17">
        <f t="shared" si="5"/>
        <v>-0.75466666666666671</v>
      </c>
      <c r="S27" s="5">
        <v>0</v>
      </c>
      <c r="T27" s="1">
        <v>6.04</v>
      </c>
      <c r="U27" s="1">
        <v>0</v>
      </c>
      <c r="V27" s="5"/>
      <c r="W27" s="5">
        <v>0</v>
      </c>
      <c r="X27" s="1">
        <v>0</v>
      </c>
      <c r="Y27" s="18">
        <v>11944.38</v>
      </c>
      <c r="Z27" s="2">
        <v>2745.84</v>
      </c>
      <c r="AA27" s="1">
        <v>0</v>
      </c>
      <c r="AB27" s="1">
        <v>21</v>
      </c>
      <c r="AC27" s="1">
        <v>51</v>
      </c>
      <c r="AD27" s="1">
        <v>48</v>
      </c>
      <c r="AE27" s="1">
        <v>11</v>
      </c>
      <c r="AF27" s="1">
        <v>0</v>
      </c>
      <c r="AG27" s="1">
        <v>0</v>
      </c>
      <c r="AH27" s="1">
        <v>12</v>
      </c>
      <c r="AI27" s="1">
        <v>1</v>
      </c>
      <c r="AJ27" s="1">
        <v>36</v>
      </c>
      <c r="AK27" s="1">
        <v>0</v>
      </c>
      <c r="AL27" s="1">
        <v>0</v>
      </c>
      <c r="AM27" s="1">
        <v>9</v>
      </c>
      <c r="AN27" s="1">
        <v>4</v>
      </c>
      <c r="AO27" s="1">
        <v>0</v>
      </c>
      <c r="AP27" s="1">
        <v>0</v>
      </c>
      <c r="AQ27" s="1">
        <v>0</v>
      </c>
      <c r="AR27" s="1">
        <v>2</v>
      </c>
      <c r="AS27" s="1">
        <v>0</v>
      </c>
      <c r="AT27" s="1">
        <v>3</v>
      </c>
      <c r="AU27" s="1">
        <v>0</v>
      </c>
      <c r="AV27" s="1">
        <v>0</v>
      </c>
      <c r="AW27" s="1">
        <v>24</v>
      </c>
      <c r="AX27" s="1">
        <v>11</v>
      </c>
      <c r="AY27" s="1">
        <v>0</v>
      </c>
      <c r="AZ27" s="1">
        <v>0</v>
      </c>
      <c r="BA27" s="1">
        <v>0</v>
      </c>
      <c r="BB27" s="1">
        <v>4</v>
      </c>
      <c r="BC27" s="1">
        <v>1</v>
      </c>
      <c r="BD27" s="1">
        <v>0</v>
      </c>
      <c r="BE27" s="1">
        <v>0</v>
      </c>
      <c r="BF27" s="1">
        <v>0</v>
      </c>
      <c r="BG27" s="1">
        <v>49</v>
      </c>
      <c r="BH27" s="1">
        <v>47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</row>
    <row r="28" spans="1:66" ht="12.75" x14ac:dyDescent="0.2">
      <c r="A28" s="1">
        <v>48055</v>
      </c>
      <c r="B28" s="1" t="s">
        <v>119</v>
      </c>
      <c r="C28" s="1">
        <v>12</v>
      </c>
      <c r="D28" s="1">
        <v>677</v>
      </c>
      <c r="E28" s="1" t="s">
        <v>64</v>
      </c>
      <c r="F28" s="1">
        <v>690</v>
      </c>
      <c r="G28" s="1" t="s">
        <v>101</v>
      </c>
      <c r="H28" s="2">
        <v>54.916699999999999</v>
      </c>
      <c r="I28" s="2">
        <v>659.00040000000001</v>
      </c>
      <c r="J28" s="14">
        <f t="shared" si="2"/>
        <v>0</v>
      </c>
      <c r="K28" s="15">
        <f t="shared" si="3"/>
        <v>0</v>
      </c>
      <c r="L28" s="1">
        <v>7.17</v>
      </c>
      <c r="M28" s="1">
        <v>8.58</v>
      </c>
      <c r="N28" s="5">
        <v>0</v>
      </c>
      <c r="O28" s="1">
        <v>1.46</v>
      </c>
      <c r="P28" s="1">
        <v>2.58</v>
      </c>
      <c r="Q28" s="17">
        <f t="shared" si="4"/>
        <v>0.38933333333333331</v>
      </c>
      <c r="R28" s="17">
        <f t="shared" si="5"/>
        <v>2.190666666666667</v>
      </c>
      <c r="S28" s="5">
        <v>0</v>
      </c>
      <c r="T28" s="1">
        <v>5.83</v>
      </c>
      <c r="U28" s="1">
        <v>9</v>
      </c>
      <c r="V28" s="17"/>
      <c r="W28" s="17">
        <f>MAX(0,(TRUNC((T28*0.8)-U28)))</f>
        <v>0</v>
      </c>
      <c r="X28" s="1">
        <v>0</v>
      </c>
      <c r="Y28" s="22">
        <v>9528.0499999999993</v>
      </c>
      <c r="Z28" s="2">
        <v>13948.84</v>
      </c>
      <c r="AA28" s="1">
        <v>16</v>
      </c>
      <c r="AB28" s="1">
        <v>26</v>
      </c>
      <c r="AC28" s="1">
        <v>28</v>
      </c>
      <c r="AD28" s="1">
        <v>13</v>
      </c>
      <c r="AE28" s="1">
        <v>79</v>
      </c>
      <c r="AF28" s="1">
        <v>0</v>
      </c>
      <c r="AG28" s="1">
        <v>0</v>
      </c>
      <c r="AH28" s="1">
        <v>7</v>
      </c>
      <c r="AI28" s="1">
        <v>11</v>
      </c>
      <c r="AJ28" s="1">
        <v>24</v>
      </c>
      <c r="AK28" s="1">
        <v>0</v>
      </c>
      <c r="AL28" s="1">
        <v>0</v>
      </c>
      <c r="AM28" s="1">
        <v>8</v>
      </c>
      <c r="AN28" s="1">
        <v>4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12</v>
      </c>
      <c r="AU28" s="1">
        <v>0</v>
      </c>
      <c r="AV28" s="1">
        <v>0</v>
      </c>
      <c r="AW28" s="1">
        <v>8</v>
      </c>
      <c r="AX28" s="1">
        <v>8</v>
      </c>
      <c r="AY28" s="1">
        <v>0</v>
      </c>
      <c r="AZ28" s="1">
        <v>0</v>
      </c>
      <c r="BA28" s="1">
        <v>3</v>
      </c>
      <c r="BB28" s="1">
        <v>4</v>
      </c>
      <c r="BC28" s="1">
        <v>0</v>
      </c>
      <c r="BD28" s="1">
        <v>31</v>
      </c>
      <c r="BE28" s="1">
        <v>26</v>
      </c>
      <c r="BF28" s="1">
        <v>22</v>
      </c>
      <c r="BG28" s="1">
        <v>21</v>
      </c>
      <c r="BH28" s="1">
        <v>24</v>
      </c>
      <c r="BI28" s="1">
        <v>108</v>
      </c>
      <c r="BJ28" s="1">
        <v>0</v>
      </c>
      <c r="BK28" s="1">
        <v>0</v>
      </c>
      <c r="BL28" s="1">
        <v>0</v>
      </c>
      <c r="BM28" s="1">
        <v>0</v>
      </c>
      <c r="BN28" s="1">
        <v>18</v>
      </c>
    </row>
    <row r="29" spans="1:66" ht="12.75" x14ac:dyDescent="0.2">
      <c r="A29" s="1">
        <v>48063</v>
      </c>
      <c r="B29" s="1" t="s">
        <v>118</v>
      </c>
      <c r="C29" s="1">
        <v>12</v>
      </c>
      <c r="D29" s="1">
        <v>677</v>
      </c>
      <c r="E29" s="1" t="s">
        <v>64</v>
      </c>
      <c r="F29" s="1">
        <v>690</v>
      </c>
      <c r="G29" s="1" t="s">
        <v>101</v>
      </c>
      <c r="H29" s="2">
        <v>54.916699999999999</v>
      </c>
      <c r="I29" s="2">
        <v>659.00040000000001</v>
      </c>
      <c r="J29" s="14">
        <f t="shared" si="2"/>
        <v>0</v>
      </c>
      <c r="K29" s="15">
        <f t="shared" si="3"/>
        <v>0</v>
      </c>
      <c r="L29" s="1">
        <v>6.08</v>
      </c>
      <c r="M29" s="1">
        <v>2.5</v>
      </c>
      <c r="N29" s="5">
        <v>0</v>
      </c>
      <c r="O29" s="1">
        <v>2.75</v>
      </c>
      <c r="P29" s="1">
        <v>0</v>
      </c>
      <c r="Q29" s="17">
        <f t="shared" si="4"/>
        <v>0.73333333333333328</v>
      </c>
      <c r="R29" s="17">
        <f t="shared" si="5"/>
        <v>-0.73333333333333328</v>
      </c>
      <c r="S29" s="5">
        <v>0</v>
      </c>
      <c r="T29" s="1">
        <v>4.04</v>
      </c>
      <c r="U29" s="1">
        <v>-0.25</v>
      </c>
      <c r="V29" s="5"/>
      <c r="W29" s="5">
        <v>0</v>
      </c>
      <c r="X29" s="1">
        <v>0</v>
      </c>
      <c r="Y29" s="22">
        <v>8484.6299999999992</v>
      </c>
      <c r="Z29" s="2">
        <v>2141.75</v>
      </c>
      <c r="AA29" s="1">
        <v>20</v>
      </c>
      <c r="AB29" s="1">
        <v>38</v>
      </c>
      <c r="AC29" s="1">
        <v>15</v>
      </c>
      <c r="AD29" s="1">
        <v>8</v>
      </c>
      <c r="AE29" s="1">
        <v>21</v>
      </c>
      <c r="AF29" s="1">
        <v>0</v>
      </c>
      <c r="AG29" s="1">
        <v>0</v>
      </c>
      <c r="AH29" s="1">
        <v>7</v>
      </c>
      <c r="AI29" s="1">
        <v>2</v>
      </c>
      <c r="AJ29" s="1">
        <v>9</v>
      </c>
      <c r="AK29" s="1">
        <v>0</v>
      </c>
      <c r="AL29" s="1">
        <v>0</v>
      </c>
      <c r="AM29" s="1">
        <v>6</v>
      </c>
      <c r="AN29" s="1">
        <v>2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12</v>
      </c>
      <c r="AU29" s="1">
        <v>7</v>
      </c>
      <c r="AV29" s="1">
        <v>15</v>
      </c>
      <c r="AW29" s="1">
        <v>9</v>
      </c>
      <c r="AX29" s="1">
        <v>9</v>
      </c>
      <c r="AY29" s="1">
        <v>0</v>
      </c>
      <c r="AZ29" s="1">
        <v>0</v>
      </c>
      <c r="BA29" s="1">
        <v>1</v>
      </c>
      <c r="BB29" s="1">
        <v>4</v>
      </c>
      <c r="BC29" s="1">
        <v>1</v>
      </c>
      <c r="BD29" s="1">
        <v>0</v>
      </c>
      <c r="BE29" s="1">
        <v>9</v>
      </c>
      <c r="BF29" s="1">
        <v>15</v>
      </c>
      <c r="BG29" s="1">
        <v>20</v>
      </c>
      <c r="BH29" s="1">
        <v>24</v>
      </c>
      <c r="BI29" s="1">
        <v>-3</v>
      </c>
      <c r="BJ29" s="1">
        <v>0</v>
      </c>
      <c r="BK29" s="1">
        <v>0</v>
      </c>
      <c r="BL29" s="1">
        <v>0</v>
      </c>
      <c r="BM29" s="1">
        <v>0</v>
      </c>
      <c r="BN29" s="1">
        <v>1</v>
      </c>
    </row>
    <row r="30" spans="1:66" ht="12.75" x14ac:dyDescent="0.2">
      <c r="A30" s="1">
        <v>47014</v>
      </c>
      <c r="B30" s="1" t="s">
        <v>97</v>
      </c>
      <c r="C30" s="1">
        <v>24</v>
      </c>
      <c r="D30" s="1">
        <v>677</v>
      </c>
      <c r="E30" s="1" t="s">
        <v>64</v>
      </c>
      <c r="F30" s="1">
        <v>61</v>
      </c>
      <c r="G30" s="1" t="s">
        <v>66</v>
      </c>
      <c r="H30" s="2">
        <v>43.319099999999999</v>
      </c>
      <c r="I30" s="2">
        <v>1039.6584</v>
      </c>
      <c r="J30" s="14">
        <f t="shared" si="2"/>
        <v>0</v>
      </c>
      <c r="K30" s="15">
        <f t="shared" si="3"/>
        <v>0</v>
      </c>
      <c r="L30" s="1">
        <v>2.85</v>
      </c>
      <c r="M30" s="1">
        <v>0.46</v>
      </c>
      <c r="N30" s="5">
        <v>0</v>
      </c>
      <c r="O30" s="1">
        <v>3.1</v>
      </c>
      <c r="P30" s="1">
        <v>3.21</v>
      </c>
      <c r="Q30" s="17">
        <f t="shared" si="4"/>
        <v>0.82666666666666666</v>
      </c>
      <c r="R30" s="17">
        <f t="shared" si="5"/>
        <v>2.3833333333333333</v>
      </c>
      <c r="S30" s="5">
        <v>0</v>
      </c>
      <c r="T30" s="1">
        <v>1.92</v>
      </c>
      <c r="U30" s="1">
        <v>0.67</v>
      </c>
      <c r="V30" s="17"/>
      <c r="W30" s="17">
        <f>MAX(0,(TRUNC((T30*0.8)-U30)))</f>
        <v>0</v>
      </c>
      <c r="X30" s="1">
        <v>0</v>
      </c>
      <c r="Y30" s="22">
        <v>8187.31</v>
      </c>
      <c r="Z30" s="2">
        <v>4721.78</v>
      </c>
      <c r="AA30" s="1">
        <v>9</v>
      </c>
      <c r="AB30" s="1">
        <v>13</v>
      </c>
      <c r="AC30" s="1">
        <v>34</v>
      </c>
      <c r="AD30" s="1">
        <v>7</v>
      </c>
      <c r="AE30" s="1">
        <v>11</v>
      </c>
      <c r="AF30" s="1">
        <v>0</v>
      </c>
      <c r="AG30" s="1">
        <v>0</v>
      </c>
      <c r="AH30" s="1">
        <v>5</v>
      </c>
      <c r="AI30" s="1">
        <v>7</v>
      </c>
      <c r="AJ30" s="1">
        <v>0</v>
      </c>
      <c r="AK30" s="1">
        <v>0</v>
      </c>
      <c r="AL30" s="1">
        <v>0</v>
      </c>
      <c r="AM30" s="1">
        <v>5</v>
      </c>
      <c r="AN30" s="1">
        <v>3</v>
      </c>
      <c r="AO30" s="1">
        <v>0</v>
      </c>
      <c r="AP30" s="1">
        <v>0</v>
      </c>
      <c r="AQ30" s="1">
        <v>0</v>
      </c>
      <c r="AR30" s="1">
        <v>0</v>
      </c>
      <c r="AS30" s="1">
        <v>1</v>
      </c>
      <c r="AT30" s="1">
        <v>5</v>
      </c>
      <c r="AU30" s="1">
        <v>17</v>
      </c>
      <c r="AV30" s="1">
        <v>19</v>
      </c>
      <c r="AW30" s="1">
        <v>32</v>
      </c>
      <c r="AX30" s="1">
        <v>12</v>
      </c>
      <c r="AY30" s="1">
        <v>17</v>
      </c>
      <c r="AZ30" s="1">
        <v>1</v>
      </c>
      <c r="BA30" s="1">
        <v>2</v>
      </c>
      <c r="BB30" s="1">
        <v>2</v>
      </c>
      <c r="BC30" s="1">
        <v>12</v>
      </c>
      <c r="BD30" s="1">
        <v>60</v>
      </c>
      <c r="BE30" s="1">
        <v>15</v>
      </c>
      <c r="BF30" s="1">
        <v>8</v>
      </c>
      <c r="BG30" s="1">
        <v>28</v>
      </c>
      <c r="BH30" s="1">
        <v>-2</v>
      </c>
      <c r="BI30" s="1">
        <v>16</v>
      </c>
      <c r="BJ30" s="1">
        <v>0</v>
      </c>
      <c r="BK30" s="1">
        <v>0</v>
      </c>
      <c r="BL30" s="1">
        <v>0</v>
      </c>
      <c r="BM30" s="1">
        <v>0</v>
      </c>
      <c r="BN30" s="1">
        <v>13</v>
      </c>
    </row>
    <row r="31" spans="1:66" ht="12.75" x14ac:dyDescent="0.2">
      <c r="A31" s="1">
        <v>48044</v>
      </c>
      <c r="B31" s="1" t="s">
        <v>121</v>
      </c>
      <c r="C31" s="1">
        <v>12</v>
      </c>
      <c r="D31" s="1">
        <v>677</v>
      </c>
      <c r="E31" s="1" t="s">
        <v>64</v>
      </c>
      <c r="F31" s="1">
        <v>690</v>
      </c>
      <c r="G31" s="1" t="s">
        <v>101</v>
      </c>
      <c r="H31" s="2">
        <v>54.916699999999999</v>
      </c>
      <c r="I31" s="2">
        <v>659.00040000000001</v>
      </c>
      <c r="J31" s="14">
        <f t="shared" si="2"/>
        <v>0</v>
      </c>
      <c r="K31" s="15">
        <f t="shared" si="3"/>
        <v>0</v>
      </c>
      <c r="L31" s="1">
        <v>5.92</v>
      </c>
      <c r="M31" s="1">
        <v>0.57999999999999996</v>
      </c>
      <c r="N31" s="5">
        <v>0</v>
      </c>
      <c r="O31" s="1">
        <v>2.04</v>
      </c>
      <c r="P31" s="1">
        <v>0</v>
      </c>
      <c r="Q31" s="17">
        <f t="shared" si="4"/>
        <v>0.54400000000000004</v>
      </c>
      <c r="R31" s="17">
        <f t="shared" si="5"/>
        <v>-0.54400000000000004</v>
      </c>
      <c r="S31" s="5">
        <v>0</v>
      </c>
      <c r="T31" s="1">
        <v>4.33</v>
      </c>
      <c r="U31" s="1">
        <v>0</v>
      </c>
      <c r="V31" s="5"/>
      <c r="W31" s="5">
        <v>0</v>
      </c>
      <c r="X31" s="1">
        <v>0</v>
      </c>
      <c r="Y31" s="22">
        <v>8100.21</v>
      </c>
      <c r="Z31" s="2">
        <v>439.33</v>
      </c>
      <c r="AA31" s="1">
        <v>10</v>
      </c>
      <c r="AB31" s="1">
        <v>26</v>
      </c>
      <c r="AC31" s="1">
        <v>23</v>
      </c>
      <c r="AD31" s="1">
        <v>15</v>
      </c>
      <c r="AE31" s="1">
        <v>7</v>
      </c>
      <c r="AF31" s="1">
        <v>0</v>
      </c>
      <c r="AG31" s="1">
        <v>0</v>
      </c>
      <c r="AH31" s="1">
        <v>10</v>
      </c>
      <c r="AI31" s="1">
        <v>7</v>
      </c>
      <c r="AJ31" s="1">
        <v>0</v>
      </c>
      <c r="AK31" s="1">
        <v>0</v>
      </c>
      <c r="AL31" s="1">
        <v>0</v>
      </c>
      <c r="AM31" s="1">
        <v>3</v>
      </c>
      <c r="AN31" s="1">
        <v>2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1</v>
      </c>
      <c r="AU31" s="1">
        <v>0</v>
      </c>
      <c r="AV31" s="1">
        <v>0</v>
      </c>
      <c r="AW31" s="1">
        <v>11</v>
      </c>
      <c r="AX31" s="1">
        <v>11</v>
      </c>
      <c r="AY31" s="1">
        <v>0</v>
      </c>
      <c r="AZ31" s="1">
        <v>0</v>
      </c>
      <c r="BA31" s="1">
        <v>0</v>
      </c>
      <c r="BB31" s="1">
        <v>6</v>
      </c>
      <c r="BC31" s="1">
        <v>4</v>
      </c>
      <c r="BD31" s="1">
        <v>0</v>
      </c>
      <c r="BE31" s="1">
        <v>3</v>
      </c>
      <c r="BF31" s="1">
        <v>9</v>
      </c>
      <c r="BG31" s="1">
        <v>33</v>
      </c>
      <c r="BH31" s="1">
        <v>23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</row>
    <row r="32" spans="1:66" ht="12.75" x14ac:dyDescent="0.2">
      <c r="A32" s="1">
        <v>48029</v>
      </c>
      <c r="B32" s="1" t="s">
        <v>111</v>
      </c>
      <c r="C32" s="1">
        <v>12</v>
      </c>
      <c r="D32" s="1">
        <v>677</v>
      </c>
      <c r="E32" s="1" t="s">
        <v>64</v>
      </c>
      <c r="F32" s="1">
        <v>690</v>
      </c>
      <c r="G32" s="1" t="s">
        <v>101</v>
      </c>
      <c r="H32" s="2">
        <v>54.916699999999999</v>
      </c>
      <c r="I32" s="2">
        <v>659.00040000000001</v>
      </c>
      <c r="J32" s="14">
        <f t="shared" si="2"/>
        <v>0</v>
      </c>
      <c r="K32" s="15">
        <f t="shared" si="3"/>
        <v>0</v>
      </c>
      <c r="L32" s="1">
        <v>4.75</v>
      </c>
      <c r="M32" s="1">
        <v>0.33</v>
      </c>
      <c r="N32" s="5">
        <v>0</v>
      </c>
      <c r="O32" s="1">
        <v>3.33</v>
      </c>
      <c r="P32" s="1">
        <v>-0.08</v>
      </c>
      <c r="Q32" s="17">
        <f t="shared" si="4"/>
        <v>0.88800000000000001</v>
      </c>
      <c r="R32" s="17">
        <f t="shared" si="5"/>
        <v>-0.96799999999999997</v>
      </c>
      <c r="S32" s="5">
        <v>0</v>
      </c>
      <c r="T32" s="1">
        <v>4.04</v>
      </c>
      <c r="U32" s="1">
        <v>1</v>
      </c>
      <c r="V32" s="5"/>
      <c r="W32" s="5">
        <v>0</v>
      </c>
      <c r="X32" s="1">
        <v>0</v>
      </c>
      <c r="Y32" s="22">
        <v>7990.38</v>
      </c>
      <c r="Z32" s="2">
        <v>1427.83</v>
      </c>
      <c r="AA32" s="1">
        <v>5</v>
      </c>
      <c r="AB32" s="1">
        <v>31</v>
      </c>
      <c r="AC32" s="1">
        <v>10</v>
      </c>
      <c r="AD32" s="1">
        <v>8</v>
      </c>
      <c r="AE32" s="1">
        <v>4</v>
      </c>
      <c r="AF32" s="1">
        <v>0</v>
      </c>
      <c r="AG32" s="1">
        <v>0</v>
      </c>
      <c r="AH32" s="1">
        <v>10</v>
      </c>
      <c r="AI32" s="1">
        <v>9</v>
      </c>
      <c r="AJ32" s="1">
        <v>0</v>
      </c>
      <c r="AK32" s="1">
        <v>0</v>
      </c>
      <c r="AL32" s="1">
        <v>0</v>
      </c>
      <c r="AM32" s="1">
        <v>5</v>
      </c>
      <c r="AN32" s="1">
        <v>6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11</v>
      </c>
      <c r="AU32" s="1">
        <v>12</v>
      </c>
      <c r="AV32" s="1">
        <v>7</v>
      </c>
      <c r="AW32" s="1">
        <v>13</v>
      </c>
      <c r="AX32" s="1">
        <v>16</v>
      </c>
      <c r="AY32" s="1">
        <v>-1</v>
      </c>
      <c r="AZ32" s="1">
        <v>0</v>
      </c>
      <c r="BA32" s="1">
        <v>0</v>
      </c>
      <c r="BB32" s="1">
        <v>3</v>
      </c>
      <c r="BC32" s="1">
        <v>1</v>
      </c>
      <c r="BD32" s="1">
        <v>0</v>
      </c>
      <c r="BE32" s="1">
        <v>1</v>
      </c>
      <c r="BF32" s="1">
        <v>11</v>
      </c>
      <c r="BG32" s="1">
        <v>29</v>
      </c>
      <c r="BH32" s="1">
        <v>26</v>
      </c>
      <c r="BI32" s="1">
        <v>12</v>
      </c>
      <c r="BJ32" s="1">
        <v>0</v>
      </c>
      <c r="BK32" s="1">
        <v>0</v>
      </c>
      <c r="BL32" s="1">
        <v>0</v>
      </c>
      <c r="BM32" s="1">
        <v>0</v>
      </c>
      <c r="BN32" s="1">
        <v>6</v>
      </c>
    </row>
    <row r="33" spans="1:66" ht="12.75" x14ac:dyDescent="0.2">
      <c r="A33" s="1">
        <v>48058</v>
      </c>
      <c r="B33" s="1" t="s">
        <v>116</v>
      </c>
      <c r="C33" s="1">
        <v>12</v>
      </c>
      <c r="D33" s="1">
        <v>677</v>
      </c>
      <c r="E33" s="1" t="s">
        <v>64</v>
      </c>
      <c r="F33" s="1">
        <v>690</v>
      </c>
      <c r="G33" s="1" t="s">
        <v>101</v>
      </c>
      <c r="H33" s="2">
        <v>54.916699999999999</v>
      </c>
      <c r="I33" s="2">
        <v>659.00040000000001</v>
      </c>
      <c r="J33" s="14">
        <f t="shared" si="2"/>
        <v>0</v>
      </c>
      <c r="K33" s="15">
        <f t="shared" si="3"/>
        <v>0</v>
      </c>
      <c r="L33" s="1">
        <v>6.67</v>
      </c>
      <c r="M33" s="1">
        <v>0.33</v>
      </c>
      <c r="N33" s="5">
        <v>0</v>
      </c>
      <c r="O33" s="1">
        <v>1.62</v>
      </c>
      <c r="P33" s="1">
        <v>0.33</v>
      </c>
      <c r="Q33" s="17">
        <f t="shared" si="4"/>
        <v>0.43200000000000005</v>
      </c>
      <c r="R33" s="17">
        <f t="shared" si="5"/>
        <v>-0.10200000000000004</v>
      </c>
      <c r="S33" s="5">
        <v>0</v>
      </c>
      <c r="T33" s="1">
        <v>2.71</v>
      </c>
      <c r="U33" s="1">
        <v>-0.17</v>
      </c>
      <c r="V33" s="5"/>
      <c r="W33" s="5">
        <v>0</v>
      </c>
      <c r="X33" s="1">
        <v>0</v>
      </c>
      <c r="Y33" s="22">
        <v>7249</v>
      </c>
      <c r="Z33" s="2">
        <v>933.58</v>
      </c>
      <c r="AA33" s="1">
        <v>16</v>
      </c>
      <c r="AB33" s="1">
        <v>41</v>
      </c>
      <c r="AC33" s="1">
        <v>21</v>
      </c>
      <c r="AD33" s="1">
        <v>30</v>
      </c>
      <c r="AE33" s="1">
        <v>4</v>
      </c>
      <c r="AF33" s="1">
        <v>0</v>
      </c>
      <c r="AG33" s="1">
        <v>0</v>
      </c>
      <c r="AH33" s="1">
        <v>1</v>
      </c>
      <c r="AI33" s="1">
        <v>5</v>
      </c>
      <c r="AJ33" s="1">
        <v>0</v>
      </c>
      <c r="AK33" s="1">
        <v>0</v>
      </c>
      <c r="AL33" s="1">
        <v>0</v>
      </c>
      <c r="AM33" s="1">
        <v>3</v>
      </c>
      <c r="AN33" s="1">
        <v>2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11</v>
      </c>
      <c r="AU33" s="1">
        <v>0</v>
      </c>
      <c r="AV33" s="1">
        <v>0</v>
      </c>
      <c r="AW33" s="1">
        <v>7</v>
      </c>
      <c r="AX33" s="1">
        <v>10</v>
      </c>
      <c r="AY33" s="1">
        <v>0</v>
      </c>
      <c r="AZ33" s="1">
        <v>3</v>
      </c>
      <c r="BA33" s="1">
        <v>3</v>
      </c>
      <c r="BB33" s="1">
        <v>3</v>
      </c>
      <c r="BC33" s="1">
        <v>0</v>
      </c>
      <c r="BD33" s="1">
        <v>4</v>
      </c>
      <c r="BE33" s="1">
        <v>0</v>
      </c>
      <c r="BF33" s="1">
        <v>0</v>
      </c>
      <c r="BG33" s="1">
        <v>20</v>
      </c>
      <c r="BH33" s="1">
        <v>25</v>
      </c>
      <c r="BI33" s="1">
        <v>-2</v>
      </c>
      <c r="BJ33" s="1">
        <v>0</v>
      </c>
      <c r="BK33" s="1">
        <v>0</v>
      </c>
      <c r="BL33" s="1">
        <v>0</v>
      </c>
      <c r="BM33" s="1">
        <v>0</v>
      </c>
      <c r="BN33" s="1">
        <v>5</v>
      </c>
    </row>
    <row r="34" spans="1:66" ht="12.75" x14ac:dyDescent="0.2">
      <c r="A34" s="1">
        <v>47019</v>
      </c>
      <c r="B34" s="1" t="s">
        <v>123</v>
      </c>
      <c r="C34" s="1">
        <v>8</v>
      </c>
      <c r="D34" s="1">
        <v>677</v>
      </c>
      <c r="E34" s="1" t="s">
        <v>64</v>
      </c>
      <c r="F34" s="1">
        <v>61</v>
      </c>
      <c r="G34" s="1" t="s">
        <v>66</v>
      </c>
      <c r="H34" s="2">
        <v>152.41</v>
      </c>
      <c r="I34" s="2">
        <v>1219.28</v>
      </c>
      <c r="J34" s="14">
        <f t="shared" si="2"/>
        <v>3657.84</v>
      </c>
      <c r="K34" s="15">
        <f t="shared" si="3"/>
        <v>3</v>
      </c>
      <c r="L34" s="1">
        <v>2.5</v>
      </c>
      <c r="M34" s="1">
        <v>3.38</v>
      </c>
      <c r="N34" s="17">
        <f t="shared" ref="N34:N35" si="11">MAX(0,(TRUNC((L34*0.8)-M34)))</f>
        <v>0</v>
      </c>
      <c r="O34" s="1">
        <v>3.06</v>
      </c>
      <c r="P34" s="1">
        <v>1.1200000000000001</v>
      </c>
      <c r="Q34" s="17">
        <f t="shared" si="4"/>
        <v>0.81600000000000006</v>
      </c>
      <c r="R34" s="17">
        <f t="shared" si="5"/>
        <v>0.30400000000000005</v>
      </c>
      <c r="S34" s="5">
        <v>3</v>
      </c>
      <c r="T34" s="1">
        <v>0.12</v>
      </c>
      <c r="U34" s="1">
        <v>0.62</v>
      </c>
      <c r="V34" s="17"/>
      <c r="W34" s="17">
        <f>MAX(0,(TRUNC((T34*0.8)-U34)))</f>
        <v>0</v>
      </c>
      <c r="X34" s="1">
        <v>0</v>
      </c>
      <c r="Y34" s="22">
        <v>6934.66</v>
      </c>
      <c r="Z34" s="2">
        <v>6248.81</v>
      </c>
      <c r="AA34" s="1">
        <v>0</v>
      </c>
      <c r="AB34" s="1">
        <v>0</v>
      </c>
      <c r="AC34" s="1">
        <v>14</v>
      </c>
      <c r="AD34" s="1">
        <v>9</v>
      </c>
      <c r="AE34" s="1">
        <v>25</v>
      </c>
      <c r="AF34" s="1">
        <v>0</v>
      </c>
      <c r="AG34" s="1">
        <v>0</v>
      </c>
      <c r="AH34" s="1">
        <v>0</v>
      </c>
      <c r="AI34" s="1">
        <v>0</v>
      </c>
      <c r="AJ34" s="1">
        <v>2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1</v>
      </c>
      <c r="AS34" s="1">
        <v>1</v>
      </c>
      <c r="AT34" s="1">
        <v>0</v>
      </c>
      <c r="AU34" s="1">
        <v>4</v>
      </c>
      <c r="AV34" s="1">
        <v>0</v>
      </c>
      <c r="AW34" s="1">
        <v>9</v>
      </c>
      <c r="AX34" s="1">
        <v>7</v>
      </c>
      <c r="AY34" s="1">
        <v>5</v>
      </c>
      <c r="AZ34" s="1">
        <v>1</v>
      </c>
      <c r="BA34" s="1">
        <v>3</v>
      </c>
      <c r="BB34" s="1">
        <v>4</v>
      </c>
      <c r="BC34" s="1">
        <v>3</v>
      </c>
      <c r="BD34" s="1">
        <v>4</v>
      </c>
      <c r="BE34" s="1">
        <v>0</v>
      </c>
      <c r="BF34" s="1">
        <v>0</v>
      </c>
      <c r="BG34" s="1">
        <v>1</v>
      </c>
      <c r="BH34" s="1">
        <v>0</v>
      </c>
      <c r="BI34" s="1">
        <v>5</v>
      </c>
      <c r="BJ34" s="1">
        <v>0</v>
      </c>
      <c r="BK34" s="1">
        <v>0</v>
      </c>
      <c r="BL34" s="1">
        <v>0</v>
      </c>
      <c r="BM34" s="1">
        <v>0</v>
      </c>
      <c r="BN34" s="1">
        <v>3</v>
      </c>
    </row>
    <row r="35" spans="1:66" ht="12.75" x14ac:dyDescent="0.2">
      <c r="A35" s="1">
        <v>47027</v>
      </c>
      <c r="B35" s="1" t="s">
        <v>95</v>
      </c>
      <c r="C35" s="1">
        <v>16</v>
      </c>
      <c r="D35" s="1">
        <v>677</v>
      </c>
      <c r="E35" s="1" t="s">
        <v>64</v>
      </c>
      <c r="F35" s="1">
        <v>999</v>
      </c>
      <c r="G35" s="1" t="s">
        <v>67</v>
      </c>
      <c r="H35" s="2">
        <v>56.59</v>
      </c>
      <c r="I35" s="2">
        <v>905.44</v>
      </c>
      <c r="J35" s="14">
        <f t="shared" si="2"/>
        <v>0</v>
      </c>
      <c r="K35" s="15">
        <f t="shared" si="3"/>
        <v>0</v>
      </c>
      <c r="L35" s="1">
        <v>1.03</v>
      </c>
      <c r="M35" s="1">
        <v>6.38</v>
      </c>
      <c r="N35" s="17">
        <f t="shared" si="11"/>
        <v>0</v>
      </c>
      <c r="O35" s="1">
        <v>2.91</v>
      </c>
      <c r="P35" s="1">
        <v>4.5</v>
      </c>
      <c r="Q35" s="17">
        <f t="shared" si="4"/>
        <v>0.77600000000000002</v>
      </c>
      <c r="R35" s="17">
        <f t="shared" si="5"/>
        <v>3.7240000000000002</v>
      </c>
      <c r="S35" s="5">
        <v>0</v>
      </c>
      <c r="T35" s="1">
        <v>3.72</v>
      </c>
      <c r="U35" s="1">
        <v>0.5</v>
      </c>
      <c r="V35" s="5"/>
      <c r="W35" s="5">
        <v>0</v>
      </c>
      <c r="X35" s="1">
        <v>0</v>
      </c>
      <c r="Y35" s="22">
        <v>6932.28</v>
      </c>
      <c r="Z35" s="2">
        <v>10808.69</v>
      </c>
      <c r="AA35" s="1">
        <v>12</v>
      </c>
      <c r="AB35" s="1">
        <v>9</v>
      </c>
      <c r="AC35" s="1">
        <v>0</v>
      </c>
      <c r="AD35" s="1">
        <v>0</v>
      </c>
      <c r="AE35" s="1">
        <v>96</v>
      </c>
      <c r="AF35" s="1">
        <v>0</v>
      </c>
      <c r="AG35" s="1">
        <v>0</v>
      </c>
      <c r="AH35" s="1">
        <v>0</v>
      </c>
      <c r="AI35" s="1">
        <v>0</v>
      </c>
      <c r="AJ35" s="1">
        <v>6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9</v>
      </c>
      <c r="AU35" s="1">
        <v>41</v>
      </c>
      <c r="AV35" s="1">
        <v>0</v>
      </c>
      <c r="AW35" s="1">
        <v>0</v>
      </c>
      <c r="AX35" s="1">
        <v>0</v>
      </c>
      <c r="AY35" s="1">
        <v>72</v>
      </c>
      <c r="AZ35" s="1">
        <v>0</v>
      </c>
      <c r="BA35" s="1">
        <v>11</v>
      </c>
      <c r="BB35" s="1">
        <v>0</v>
      </c>
      <c r="BC35" s="1">
        <v>0</v>
      </c>
      <c r="BD35" s="1">
        <v>0</v>
      </c>
      <c r="BE35" s="1">
        <v>48</v>
      </c>
      <c r="BF35" s="1">
        <v>23</v>
      </c>
      <c r="BG35" s="1">
        <v>0</v>
      </c>
      <c r="BH35" s="1">
        <v>0</v>
      </c>
      <c r="BI35" s="1">
        <v>8</v>
      </c>
      <c r="BJ35" s="1">
        <v>0</v>
      </c>
      <c r="BK35" s="1">
        <v>0</v>
      </c>
      <c r="BL35" s="1">
        <v>0</v>
      </c>
      <c r="BM35" s="1">
        <v>0</v>
      </c>
      <c r="BN35" s="1">
        <v>26</v>
      </c>
    </row>
    <row r="36" spans="1:66" ht="12.75" x14ac:dyDescent="0.2">
      <c r="A36" s="1">
        <v>48049</v>
      </c>
      <c r="B36" s="1" t="s">
        <v>124</v>
      </c>
      <c r="C36" s="1">
        <v>12</v>
      </c>
      <c r="D36" s="1">
        <v>677</v>
      </c>
      <c r="E36" s="1" t="s">
        <v>64</v>
      </c>
      <c r="F36" s="1">
        <v>690</v>
      </c>
      <c r="G36" s="1" t="s">
        <v>101</v>
      </c>
      <c r="H36" s="2">
        <v>54.916699999999999</v>
      </c>
      <c r="I36" s="2">
        <v>659.00040000000001</v>
      </c>
      <c r="J36" s="14">
        <f t="shared" si="2"/>
        <v>0</v>
      </c>
      <c r="K36" s="15">
        <f t="shared" si="3"/>
        <v>0</v>
      </c>
      <c r="L36" s="1">
        <v>4.25</v>
      </c>
      <c r="M36" s="1">
        <v>0</v>
      </c>
      <c r="N36" s="5">
        <v>0</v>
      </c>
      <c r="O36" s="1">
        <v>2.12</v>
      </c>
      <c r="P36" s="1">
        <v>0.83</v>
      </c>
      <c r="Q36" s="17">
        <f t="shared" si="4"/>
        <v>0.56533333333333335</v>
      </c>
      <c r="R36" s="17">
        <f t="shared" si="5"/>
        <v>0.26466666666666661</v>
      </c>
      <c r="S36" s="5">
        <v>0</v>
      </c>
      <c r="T36" s="1">
        <v>1.79</v>
      </c>
      <c r="U36" s="1">
        <v>0</v>
      </c>
      <c r="V36" s="5"/>
      <c r="W36" s="5">
        <v>0</v>
      </c>
      <c r="X36" s="1">
        <v>0</v>
      </c>
      <c r="Y36" s="22">
        <v>5381.84</v>
      </c>
      <c r="Z36" s="2">
        <v>1208.17</v>
      </c>
      <c r="AA36" s="1">
        <v>0</v>
      </c>
      <c r="AB36" s="1">
        <v>0</v>
      </c>
      <c r="AC36" s="1">
        <v>18</v>
      </c>
      <c r="AD36" s="1">
        <v>20</v>
      </c>
      <c r="AE36" s="1">
        <v>0</v>
      </c>
      <c r="AF36" s="1">
        <v>0</v>
      </c>
      <c r="AG36" s="1">
        <v>0</v>
      </c>
      <c r="AH36" s="1">
        <v>10</v>
      </c>
      <c r="AI36" s="1">
        <v>12</v>
      </c>
      <c r="AJ36" s="1">
        <v>0</v>
      </c>
      <c r="AK36" s="1">
        <v>0</v>
      </c>
      <c r="AL36" s="1">
        <v>0</v>
      </c>
      <c r="AM36" s="1">
        <v>6</v>
      </c>
      <c r="AN36" s="1">
        <v>2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12</v>
      </c>
      <c r="AU36" s="1">
        <v>0</v>
      </c>
      <c r="AV36" s="1">
        <v>0</v>
      </c>
      <c r="AW36" s="1">
        <v>12</v>
      </c>
      <c r="AX36" s="1">
        <v>11</v>
      </c>
      <c r="AY36" s="1">
        <v>0</v>
      </c>
      <c r="AZ36" s="1">
        <v>0</v>
      </c>
      <c r="BA36" s="1">
        <v>2</v>
      </c>
      <c r="BB36" s="1">
        <v>5</v>
      </c>
      <c r="BC36" s="1">
        <v>4</v>
      </c>
      <c r="BD36" s="1">
        <v>10</v>
      </c>
      <c r="BE36" s="1">
        <v>0</v>
      </c>
      <c r="BF36" s="1">
        <v>0</v>
      </c>
      <c r="BG36" s="1">
        <v>15</v>
      </c>
      <c r="BH36" s="1">
        <v>13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22</v>
      </c>
    </row>
    <row r="37" spans="1:66" ht="12.75" x14ac:dyDescent="0.2">
      <c r="A37" s="1">
        <v>48080</v>
      </c>
      <c r="B37" s="1" t="s">
        <v>122</v>
      </c>
      <c r="C37" s="1">
        <v>12</v>
      </c>
      <c r="D37" s="1">
        <v>677</v>
      </c>
      <c r="E37" s="1" t="s">
        <v>64</v>
      </c>
      <c r="F37" s="1">
        <v>690</v>
      </c>
      <c r="G37" s="1" t="s">
        <v>101</v>
      </c>
      <c r="H37" s="2">
        <v>54.916699999999999</v>
      </c>
      <c r="I37" s="2">
        <v>659.00040000000001</v>
      </c>
      <c r="J37" s="14">
        <f t="shared" si="2"/>
        <v>0</v>
      </c>
      <c r="K37" s="15">
        <f t="shared" si="3"/>
        <v>0</v>
      </c>
      <c r="L37" s="1">
        <v>2</v>
      </c>
      <c r="M37" s="1">
        <v>0</v>
      </c>
      <c r="N37" s="5">
        <v>0</v>
      </c>
      <c r="O37" s="1">
        <v>1.33</v>
      </c>
      <c r="P37" s="1">
        <v>0</v>
      </c>
      <c r="Q37" s="17">
        <f t="shared" si="4"/>
        <v>0.35466666666666669</v>
      </c>
      <c r="R37" s="17">
        <f t="shared" si="5"/>
        <v>-0.35466666666666669</v>
      </c>
      <c r="S37" s="5">
        <v>0</v>
      </c>
      <c r="T37" s="1">
        <v>2.42</v>
      </c>
      <c r="U37" s="1">
        <v>0</v>
      </c>
      <c r="V37" s="5"/>
      <c r="W37" s="5">
        <v>0</v>
      </c>
      <c r="X37" s="1">
        <v>0</v>
      </c>
      <c r="Y37" s="20">
        <v>3789.25</v>
      </c>
      <c r="Z37" s="2">
        <v>0</v>
      </c>
      <c r="AA37" s="1">
        <v>0</v>
      </c>
      <c r="AB37" s="1">
        <v>0</v>
      </c>
      <c r="AC37" s="1">
        <v>12</v>
      </c>
      <c r="AD37" s="1">
        <v>7</v>
      </c>
      <c r="AE37" s="1">
        <v>0</v>
      </c>
      <c r="AF37" s="1">
        <v>0</v>
      </c>
      <c r="AG37" s="1">
        <v>0</v>
      </c>
      <c r="AH37" s="1">
        <v>4</v>
      </c>
      <c r="AI37" s="1">
        <v>7</v>
      </c>
      <c r="AJ37" s="1">
        <v>0</v>
      </c>
      <c r="AK37" s="1">
        <v>0</v>
      </c>
      <c r="AL37" s="1">
        <v>0</v>
      </c>
      <c r="AM37" s="1">
        <v>0</v>
      </c>
      <c r="AN37" s="1">
        <v>2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8</v>
      </c>
      <c r="AX37" s="1">
        <v>8</v>
      </c>
      <c r="AY37" s="1">
        <v>0</v>
      </c>
      <c r="AZ37" s="1">
        <v>0</v>
      </c>
      <c r="BA37" s="1">
        <v>0</v>
      </c>
      <c r="BB37" s="1">
        <v>3</v>
      </c>
      <c r="BC37" s="1">
        <v>2</v>
      </c>
      <c r="BD37" s="1">
        <v>0</v>
      </c>
      <c r="BE37" s="1">
        <v>0</v>
      </c>
      <c r="BF37" s="1">
        <v>0</v>
      </c>
      <c r="BG37" s="1">
        <v>17</v>
      </c>
      <c r="BH37" s="1">
        <v>24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17</v>
      </c>
    </row>
    <row r="38" spans="1:66" ht="12.75" x14ac:dyDescent="0.2">
      <c r="A38" s="1">
        <v>48056</v>
      </c>
      <c r="B38" s="1" t="s">
        <v>134</v>
      </c>
      <c r="C38" s="1">
        <v>12</v>
      </c>
      <c r="D38" s="1">
        <v>677</v>
      </c>
      <c r="E38" s="1" t="s">
        <v>64</v>
      </c>
      <c r="F38" s="1">
        <v>690</v>
      </c>
      <c r="G38" s="1" t="s">
        <v>101</v>
      </c>
      <c r="H38" s="2">
        <v>54.916699999999999</v>
      </c>
      <c r="I38" s="2">
        <v>659.00040000000001</v>
      </c>
      <c r="J38" s="14">
        <f t="shared" si="2"/>
        <v>0</v>
      </c>
      <c r="K38" s="15">
        <f t="shared" si="3"/>
        <v>0</v>
      </c>
      <c r="L38" s="1">
        <v>1.71</v>
      </c>
      <c r="M38" s="1">
        <v>0</v>
      </c>
      <c r="N38" s="5">
        <v>0</v>
      </c>
      <c r="O38" s="1">
        <v>1.38</v>
      </c>
      <c r="P38" s="1">
        <v>0</v>
      </c>
      <c r="Q38" s="17">
        <f t="shared" si="4"/>
        <v>0.36799999999999999</v>
      </c>
      <c r="R38" s="17">
        <f t="shared" si="5"/>
        <v>-0.36799999999999999</v>
      </c>
      <c r="S38" s="5">
        <v>0</v>
      </c>
      <c r="T38" s="1">
        <v>2.46</v>
      </c>
      <c r="U38" s="1">
        <v>0</v>
      </c>
      <c r="V38" s="5"/>
      <c r="W38" s="5">
        <v>0</v>
      </c>
      <c r="X38" s="1">
        <v>0</v>
      </c>
      <c r="Y38" s="20">
        <v>3651.96</v>
      </c>
      <c r="Z38" s="2">
        <v>0</v>
      </c>
      <c r="AA38" s="1">
        <v>0</v>
      </c>
      <c r="AB38" s="1">
        <v>0</v>
      </c>
      <c r="AC38" s="1">
        <v>12</v>
      </c>
      <c r="AD38" s="1">
        <v>2</v>
      </c>
      <c r="AE38" s="1">
        <v>0</v>
      </c>
      <c r="AF38" s="1">
        <v>0</v>
      </c>
      <c r="AG38" s="1">
        <v>0</v>
      </c>
      <c r="AH38" s="1">
        <v>5</v>
      </c>
      <c r="AI38" s="1">
        <v>1</v>
      </c>
      <c r="AJ38" s="1">
        <v>0</v>
      </c>
      <c r="AK38" s="1">
        <v>0</v>
      </c>
      <c r="AL38" s="1">
        <v>0</v>
      </c>
      <c r="AM38" s="1">
        <v>1</v>
      </c>
      <c r="AN38" s="1">
        <v>2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6</v>
      </c>
      <c r="AX38" s="1">
        <v>6</v>
      </c>
      <c r="AY38" s="1">
        <v>0</v>
      </c>
      <c r="AZ38" s="1">
        <v>0</v>
      </c>
      <c r="BA38" s="1">
        <v>0</v>
      </c>
      <c r="BB38" s="1">
        <v>7</v>
      </c>
      <c r="BC38" s="1">
        <v>1</v>
      </c>
      <c r="BD38" s="1">
        <v>0</v>
      </c>
      <c r="BE38" s="1">
        <v>0</v>
      </c>
      <c r="BF38" s="1">
        <v>0</v>
      </c>
      <c r="BG38" s="1">
        <v>25</v>
      </c>
      <c r="BH38" s="1">
        <v>9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</row>
    <row r="39" spans="1:66" ht="12.75" x14ac:dyDescent="0.2">
      <c r="A39" s="1">
        <v>48066</v>
      </c>
      <c r="B39" s="1" t="s">
        <v>129</v>
      </c>
      <c r="C39" s="1">
        <v>12</v>
      </c>
      <c r="D39" s="1">
        <v>677</v>
      </c>
      <c r="E39" s="1" t="s">
        <v>64</v>
      </c>
      <c r="F39" s="1">
        <v>690</v>
      </c>
      <c r="G39" s="1" t="s">
        <v>101</v>
      </c>
      <c r="H39" s="2">
        <v>54.916699999999999</v>
      </c>
      <c r="I39" s="2">
        <v>659.00040000000001</v>
      </c>
      <c r="J39" s="14">
        <f t="shared" si="2"/>
        <v>0</v>
      </c>
      <c r="K39" s="15">
        <f t="shared" si="3"/>
        <v>0</v>
      </c>
      <c r="L39" s="1">
        <v>2.38</v>
      </c>
      <c r="M39" s="1">
        <v>0</v>
      </c>
      <c r="N39" s="5">
        <v>0</v>
      </c>
      <c r="O39" s="1">
        <v>1.33</v>
      </c>
      <c r="P39" s="1">
        <v>1.75</v>
      </c>
      <c r="Q39" s="17">
        <f t="shared" si="4"/>
        <v>0.35466666666666669</v>
      </c>
      <c r="R39" s="17">
        <f t="shared" si="5"/>
        <v>1.3953333333333333</v>
      </c>
      <c r="S39" s="5">
        <v>0</v>
      </c>
      <c r="T39" s="1">
        <v>0.92</v>
      </c>
      <c r="U39" s="1">
        <v>0</v>
      </c>
      <c r="V39" s="17"/>
      <c r="W39" s="17">
        <f t="shared" ref="W39:W92" si="12">MAX(0,(TRUNC((T39*0.8)-U39)))</f>
        <v>0</v>
      </c>
      <c r="X39" s="1">
        <v>0</v>
      </c>
      <c r="Y39" s="20">
        <v>3047.88</v>
      </c>
      <c r="Z39" s="2">
        <v>1153.25</v>
      </c>
      <c r="AA39" s="1">
        <v>0</v>
      </c>
      <c r="AB39" s="1">
        <v>0</v>
      </c>
      <c r="AC39" s="1">
        <v>6</v>
      </c>
      <c r="AD39" s="1">
        <v>16</v>
      </c>
      <c r="AE39" s="1">
        <v>0</v>
      </c>
      <c r="AF39" s="1">
        <v>0</v>
      </c>
      <c r="AG39" s="1">
        <v>0</v>
      </c>
      <c r="AH39" s="1">
        <v>9</v>
      </c>
      <c r="AI39" s="1">
        <v>8</v>
      </c>
      <c r="AJ39" s="1">
        <v>0</v>
      </c>
      <c r="AK39" s="1">
        <v>0</v>
      </c>
      <c r="AL39" s="1">
        <v>0</v>
      </c>
      <c r="AM39" s="1">
        <v>1</v>
      </c>
      <c r="AN39" s="1">
        <v>1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4</v>
      </c>
      <c r="AV39" s="1">
        <v>5</v>
      </c>
      <c r="AW39" s="1">
        <v>6</v>
      </c>
      <c r="AX39" s="1">
        <v>3</v>
      </c>
      <c r="AY39" s="1">
        <v>15</v>
      </c>
      <c r="AZ39" s="1">
        <v>0</v>
      </c>
      <c r="BA39" s="1">
        <v>0</v>
      </c>
      <c r="BB39" s="1">
        <v>2</v>
      </c>
      <c r="BC39" s="1">
        <v>0</v>
      </c>
      <c r="BD39" s="1">
        <v>6</v>
      </c>
      <c r="BE39" s="1">
        <v>0</v>
      </c>
      <c r="BF39" s="1">
        <v>0</v>
      </c>
      <c r="BG39" s="1">
        <v>7</v>
      </c>
      <c r="BH39" s="1">
        <v>8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14</v>
      </c>
    </row>
    <row r="40" spans="1:66" ht="12.75" x14ac:dyDescent="0.2">
      <c r="A40" s="1">
        <v>47210</v>
      </c>
      <c r="B40" s="1" t="s">
        <v>127</v>
      </c>
      <c r="C40" s="1">
        <v>12</v>
      </c>
      <c r="D40" s="1">
        <v>677</v>
      </c>
      <c r="E40" s="1" t="s">
        <v>64</v>
      </c>
      <c r="F40" s="1">
        <v>61</v>
      </c>
      <c r="G40" s="1" t="s">
        <v>66</v>
      </c>
      <c r="H40" s="2">
        <v>48.1554</v>
      </c>
      <c r="I40" s="2">
        <v>577.86479999999995</v>
      </c>
      <c r="J40" s="14">
        <f t="shared" si="2"/>
        <v>2889.3239999999996</v>
      </c>
      <c r="K40" s="15">
        <f t="shared" si="3"/>
        <v>5</v>
      </c>
      <c r="L40" s="1">
        <v>0.57999999999999996</v>
      </c>
      <c r="M40" s="1">
        <v>0.42</v>
      </c>
      <c r="N40" s="17">
        <f t="shared" ref="N40:N92" si="13">MAX(0,(TRUNC((L40*0.8)-M40)))</f>
        <v>0</v>
      </c>
      <c r="O40" s="1">
        <v>2.54</v>
      </c>
      <c r="P40" s="1">
        <v>0</v>
      </c>
      <c r="Q40" s="17">
        <f t="shared" si="4"/>
        <v>0.67733333333333334</v>
      </c>
      <c r="R40" s="17">
        <f t="shared" si="5"/>
        <v>-0.67733333333333334</v>
      </c>
      <c r="S40" s="5">
        <v>5</v>
      </c>
      <c r="T40" s="1">
        <v>0.28999999999999998</v>
      </c>
      <c r="U40" s="1">
        <v>0</v>
      </c>
      <c r="V40" s="17"/>
      <c r="W40" s="17">
        <f t="shared" si="12"/>
        <v>0</v>
      </c>
      <c r="X40" s="1">
        <v>0</v>
      </c>
      <c r="Y40" s="20">
        <v>1974.37</v>
      </c>
      <c r="Z40" s="2">
        <v>240.78</v>
      </c>
      <c r="AA40" s="1">
        <v>0</v>
      </c>
      <c r="AB40" s="1">
        <v>0</v>
      </c>
      <c r="AC40" s="1">
        <v>7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5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5</v>
      </c>
      <c r="AV40" s="1">
        <v>6</v>
      </c>
      <c r="AW40" s="1">
        <v>9</v>
      </c>
      <c r="AX40" s="1">
        <v>12</v>
      </c>
      <c r="AY40" s="1">
        <v>0</v>
      </c>
      <c r="AZ40" s="1">
        <v>0</v>
      </c>
      <c r="BA40" s="1">
        <v>0</v>
      </c>
      <c r="BB40" s="1">
        <v>6</v>
      </c>
      <c r="BC40" s="1">
        <v>3</v>
      </c>
      <c r="BD40" s="1">
        <v>0</v>
      </c>
      <c r="BE40" s="1">
        <v>3</v>
      </c>
      <c r="BF40" s="1">
        <v>1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12</v>
      </c>
    </row>
    <row r="41" spans="1:66" ht="12.75" x14ac:dyDescent="0.2">
      <c r="A41" s="1">
        <v>47026</v>
      </c>
      <c r="B41" s="1" t="s">
        <v>120</v>
      </c>
      <c r="C41" s="1">
        <v>12</v>
      </c>
      <c r="D41" s="1">
        <v>677</v>
      </c>
      <c r="E41" s="1" t="s">
        <v>64</v>
      </c>
      <c r="F41" s="1">
        <v>999</v>
      </c>
      <c r="G41" s="1" t="s">
        <v>67</v>
      </c>
      <c r="H41" s="2">
        <v>48.56</v>
      </c>
      <c r="I41" s="2">
        <v>582.72</v>
      </c>
      <c r="J41" s="14">
        <f t="shared" si="2"/>
        <v>5827.2000000000007</v>
      </c>
      <c r="K41" s="15">
        <f t="shared" si="3"/>
        <v>10</v>
      </c>
      <c r="L41" s="1">
        <v>0</v>
      </c>
      <c r="M41" s="1">
        <v>0.92</v>
      </c>
      <c r="N41" s="17">
        <f t="shared" si="13"/>
        <v>0</v>
      </c>
      <c r="O41" s="1">
        <v>2.71</v>
      </c>
      <c r="P41" s="1">
        <v>2.17</v>
      </c>
      <c r="Q41" s="17">
        <f t="shared" si="4"/>
        <v>0.72266666666666668</v>
      </c>
      <c r="R41" s="17">
        <f t="shared" si="5"/>
        <v>1.4473333333333334</v>
      </c>
      <c r="S41" s="5">
        <v>10</v>
      </c>
      <c r="T41" s="1">
        <v>0</v>
      </c>
      <c r="U41" s="1">
        <v>0</v>
      </c>
      <c r="V41" s="5">
        <v>1</v>
      </c>
      <c r="W41" s="17">
        <f t="shared" si="12"/>
        <v>0</v>
      </c>
      <c r="X41" s="1">
        <v>0</v>
      </c>
      <c r="Y41" s="20">
        <v>1578.2</v>
      </c>
      <c r="Z41" s="2">
        <v>1796.72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11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8</v>
      </c>
      <c r="AV41" s="1">
        <v>36</v>
      </c>
      <c r="AW41" s="1">
        <v>0</v>
      </c>
      <c r="AX41" s="1">
        <v>0</v>
      </c>
      <c r="AY41" s="1">
        <v>0</v>
      </c>
      <c r="AZ41" s="1">
        <v>1</v>
      </c>
      <c r="BA41" s="1">
        <v>11</v>
      </c>
      <c r="BB41" s="1">
        <v>0</v>
      </c>
      <c r="BC41" s="1">
        <v>0</v>
      </c>
      <c r="BD41" s="1">
        <v>26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</row>
    <row r="42" spans="1:66" ht="12.75" hidden="1" x14ac:dyDescent="0.2">
      <c r="A42" s="1">
        <v>560</v>
      </c>
      <c r="B42" s="1" t="s">
        <v>133</v>
      </c>
      <c r="C42" s="1">
        <v>96</v>
      </c>
      <c r="D42" s="1">
        <v>677</v>
      </c>
      <c r="E42" s="1" t="s">
        <v>64</v>
      </c>
      <c r="F42" s="1">
        <v>690</v>
      </c>
      <c r="G42" s="1" t="s">
        <v>101</v>
      </c>
      <c r="H42" s="2">
        <v>6.8646000000000003</v>
      </c>
      <c r="I42" s="2">
        <v>659.00160000000005</v>
      </c>
      <c r="J42" s="14">
        <f t="shared" si="2"/>
        <v>659.00160000000005</v>
      </c>
      <c r="K42" s="15">
        <f t="shared" si="3"/>
        <v>1</v>
      </c>
      <c r="L42" s="1">
        <v>1.48</v>
      </c>
      <c r="M42" s="1">
        <v>-0.76</v>
      </c>
      <c r="N42" s="17">
        <f t="shared" si="13"/>
        <v>1</v>
      </c>
      <c r="O42" s="1">
        <v>0.18</v>
      </c>
      <c r="P42" s="1">
        <v>0.08</v>
      </c>
      <c r="Q42" s="17">
        <f t="shared" si="4"/>
        <v>4.8000000000000001E-2</v>
      </c>
      <c r="R42" s="17">
        <f t="shared" si="5"/>
        <v>3.2000000000000001E-2</v>
      </c>
      <c r="S42" s="17"/>
      <c r="T42" s="1">
        <v>0</v>
      </c>
      <c r="U42" s="1">
        <v>0</v>
      </c>
      <c r="V42" s="17"/>
      <c r="W42" s="17">
        <f t="shared" si="12"/>
        <v>0</v>
      </c>
      <c r="X42" s="1">
        <v>0</v>
      </c>
      <c r="Y42" s="20">
        <v>1094.9000000000001</v>
      </c>
      <c r="Z42" s="2">
        <v>-459.93</v>
      </c>
      <c r="AA42" s="1">
        <v>0</v>
      </c>
      <c r="AB42" s="1">
        <v>22</v>
      </c>
      <c r="AC42" s="1">
        <v>51</v>
      </c>
      <c r="AD42" s="1">
        <v>38</v>
      </c>
      <c r="AE42" s="1">
        <v>-73</v>
      </c>
      <c r="AF42" s="1">
        <v>0</v>
      </c>
      <c r="AG42" s="1">
        <v>0</v>
      </c>
      <c r="AH42" s="1">
        <v>42</v>
      </c>
      <c r="AI42" s="1">
        <v>5</v>
      </c>
      <c r="AJ42" s="1">
        <v>0</v>
      </c>
      <c r="AK42" s="1">
        <v>0</v>
      </c>
      <c r="AL42" s="1">
        <v>0</v>
      </c>
      <c r="AM42" s="1">
        <v>13</v>
      </c>
      <c r="AN42" s="1">
        <v>7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-2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5</v>
      </c>
      <c r="BA42" s="1">
        <v>3</v>
      </c>
      <c r="BB42" s="1">
        <v>9</v>
      </c>
      <c r="BC42" s="1">
        <v>4</v>
      </c>
      <c r="BD42" s="1">
        <v>8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</row>
    <row r="43" spans="1:66" ht="12.75" hidden="1" x14ac:dyDescent="0.2">
      <c r="A43" s="1">
        <v>564</v>
      </c>
      <c r="B43" s="1" t="s">
        <v>136</v>
      </c>
      <c r="C43" s="1">
        <v>96</v>
      </c>
      <c r="D43" s="1">
        <v>677</v>
      </c>
      <c r="E43" s="1" t="s">
        <v>64</v>
      </c>
      <c r="F43" s="1">
        <v>690</v>
      </c>
      <c r="G43" s="1" t="s">
        <v>101</v>
      </c>
      <c r="H43" s="2">
        <v>6.8646000000000003</v>
      </c>
      <c r="I43" s="2">
        <v>659.00160000000005</v>
      </c>
      <c r="J43" s="14">
        <f t="shared" si="2"/>
        <v>1318.0032000000001</v>
      </c>
      <c r="K43" s="15">
        <f t="shared" si="3"/>
        <v>2</v>
      </c>
      <c r="L43" s="1">
        <v>1.57</v>
      </c>
      <c r="M43" s="1">
        <v>-0.77</v>
      </c>
      <c r="N43" s="17">
        <f t="shared" si="13"/>
        <v>2</v>
      </c>
      <c r="O43" s="1">
        <v>7.0000000000000007E-2</v>
      </c>
      <c r="P43" s="1">
        <v>0.1</v>
      </c>
      <c r="Q43" s="17">
        <f t="shared" si="4"/>
        <v>1.8666666666666668E-2</v>
      </c>
      <c r="R43" s="17">
        <f t="shared" si="5"/>
        <v>8.1333333333333341E-2</v>
      </c>
      <c r="S43" s="17"/>
      <c r="T43" s="1">
        <v>0.01</v>
      </c>
      <c r="U43" s="1">
        <v>0.11</v>
      </c>
      <c r="V43" s="17"/>
      <c r="W43" s="17">
        <f t="shared" si="12"/>
        <v>0</v>
      </c>
      <c r="X43" s="1">
        <v>0</v>
      </c>
      <c r="Y43" s="20">
        <v>1088.04</v>
      </c>
      <c r="Z43" s="2">
        <v>-418.74</v>
      </c>
      <c r="AA43" s="1">
        <v>39</v>
      </c>
      <c r="AB43" s="1">
        <v>27</v>
      </c>
      <c r="AC43" s="1">
        <v>34</v>
      </c>
      <c r="AD43" s="1">
        <v>37</v>
      </c>
      <c r="AE43" s="1">
        <v>-76</v>
      </c>
      <c r="AF43" s="1">
        <v>0</v>
      </c>
      <c r="AG43" s="1">
        <v>0</v>
      </c>
      <c r="AH43" s="1">
        <v>24</v>
      </c>
      <c r="AI43" s="1">
        <v>30</v>
      </c>
      <c r="AJ43" s="1">
        <v>2</v>
      </c>
      <c r="AK43" s="1">
        <v>0</v>
      </c>
      <c r="AL43" s="1">
        <v>0</v>
      </c>
      <c r="AM43" s="1">
        <v>7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-8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1</v>
      </c>
      <c r="BA43" s="1">
        <v>2</v>
      </c>
      <c r="BB43" s="1">
        <v>4</v>
      </c>
      <c r="BC43" s="1">
        <v>2</v>
      </c>
      <c r="BD43" s="1">
        <v>10</v>
      </c>
      <c r="BE43" s="1">
        <v>0</v>
      </c>
      <c r="BF43" s="1">
        <v>1</v>
      </c>
      <c r="BG43" s="1">
        <v>0</v>
      </c>
      <c r="BH43" s="1">
        <v>0</v>
      </c>
      <c r="BI43" s="1">
        <v>11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</row>
    <row r="44" spans="1:66" ht="12.75" hidden="1" x14ac:dyDescent="0.2">
      <c r="A44" s="1">
        <v>47036</v>
      </c>
      <c r="B44" s="1" t="s">
        <v>117</v>
      </c>
      <c r="C44" s="1">
        <v>24</v>
      </c>
      <c r="D44" s="1">
        <v>677</v>
      </c>
      <c r="E44" s="1" t="s">
        <v>64</v>
      </c>
      <c r="F44" s="1">
        <v>61</v>
      </c>
      <c r="G44" s="1" t="s">
        <v>66</v>
      </c>
      <c r="H44" s="2">
        <v>38.6661</v>
      </c>
      <c r="I44" s="2">
        <v>927.9864</v>
      </c>
      <c r="J44" s="14">
        <f t="shared" si="2"/>
        <v>0</v>
      </c>
      <c r="K44" s="15">
        <f t="shared" si="3"/>
        <v>0</v>
      </c>
      <c r="L44" s="1">
        <v>1.1499999999999999</v>
      </c>
      <c r="M44" s="1">
        <v>0</v>
      </c>
      <c r="N44" s="17">
        <f t="shared" si="13"/>
        <v>0</v>
      </c>
      <c r="O44" s="1">
        <v>0</v>
      </c>
      <c r="P44" s="1">
        <v>0</v>
      </c>
      <c r="Q44" s="17">
        <f t="shared" si="4"/>
        <v>0</v>
      </c>
      <c r="R44" s="17">
        <f t="shared" si="5"/>
        <v>0</v>
      </c>
      <c r="S44" s="5"/>
      <c r="T44" s="1">
        <v>0</v>
      </c>
      <c r="U44" s="1">
        <v>0</v>
      </c>
      <c r="V44" s="17"/>
      <c r="W44" s="17">
        <f t="shared" si="12"/>
        <v>0</v>
      </c>
      <c r="X44" s="1">
        <v>0</v>
      </c>
      <c r="Y44" s="20">
        <v>1063.32</v>
      </c>
      <c r="Z44" s="2">
        <v>116</v>
      </c>
      <c r="AA44" s="1">
        <v>0</v>
      </c>
      <c r="AB44" s="1">
        <v>0</v>
      </c>
      <c r="AC44" s="1">
        <v>21</v>
      </c>
      <c r="AD44" s="1">
        <v>0</v>
      </c>
      <c r="AE44" s="1">
        <v>0</v>
      </c>
      <c r="AF44" s="1">
        <v>0</v>
      </c>
      <c r="AG44" s="1">
        <v>0</v>
      </c>
      <c r="AH44" s="1">
        <v>2</v>
      </c>
      <c r="AI44" s="1">
        <v>2</v>
      </c>
      <c r="AJ44" s="1">
        <v>0</v>
      </c>
      <c r="AK44" s="1">
        <v>0</v>
      </c>
      <c r="AL44" s="1">
        <v>0</v>
      </c>
      <c r="AM44" s="1">
        <v>0</v>
      </c>
      <c r="AN44" s="1">
        <v>2</v>
      </c>
      <c r="AO44" s="1">
        <v>0</v>
      </c>
      <c r="AP44" s="1">
        <v>0</v>
      </c>
      <c r="AQ44" s="1">
        <v>0</v>
      </c>
      <c r="AR44" s="1">
        <v>2</v>
      </c>
      <c r="AS44" s="1">
        <v>1</v>
      </c>
      <c r="AT44" s="1">
        <v>3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</row>
    <row r="45" spans="1:66" ht="12.75" hidden="1" x14ac:dyDescent="0.2">
      <c r="A45" s="1">
        <v>567</v>
      </c>
      <c r="B45" s="1" t="s">
        <v>135</v>
      </c>
      <c r="C45" s="1">
        <v>96</v>
      </c>
      <c r="D45" s="1">
        <v>677</v>
      </c>
      <c r="E45" s="1" t="s">
        <v>64</v>
      </c>
      <c r="F45" s="1">
        <v>690</v>
      </c>
      <c r="G45" s="1" t="s">
        <v>101</v>
      </c>
      <c r="H45" s="2">
        <v>6.8646000000000003</v>
      </c>
      <c r="I45" s="2">
        <v>659.00160000000005</v>
      </c>
      <c r="J45" s="14">
        <f t="shared" si="2"/>
        <v>659.00160000000005</v>
      </c>
      <c r="K45" s="15">
        <f t="shared" si="3"/>
        <v>1</v>
      </c>
      <c r="L45" s="1">
        <v>1.44</v>
      </c>
      <c r="M45" s="1">
        <v>-0.3</v>
      </c>
      <c r="N45" s="17">
        <f t="shared" si="13"/>
        <v>1</v>
      </c>
      <c r="O45" s="1">
        <v>0.15</v>
      </c>
      <c r="P45" s="1">
        <v>0.08</v>
      </c>
      <c r="Q45" s="17"/>
      <c r="R45" s="17"/>
      <c r="S45" s="17"/>
      <c r="T45" s="1">
        <v>0</v>
      </c>
      <c r="U45" s="1">
        <v>0.01</v>
      </c>
      <c r="V45" s="17"/>
      <c r="W45" s="17">
        <f t="shared" si="12"/>
        <v>0</v>
      </c>
      <c r="X45" s="1">
        <v>0</v>
      </c>
      <c r="Y45" s="20">
        <v>1046.8499999999999</v>
      </c>
      <c r="Z45" s="2">
        <v>-123.56</v>
      </c>
      <c r="AA45" s="1">
        <v>6</v>
      </c>
      <c r="AB45" s="1">
        <v>17</v>
      </c>
      <c r="AC45" s="1">
        <v>23</v>
      </c>
      <c r="AD45" s="1">
        <v>22</v>
      </c>
      <c r="AE45" s="1">
        <v>-32</v>
      </c>
      <c r="AF45" s="1">
        <v>0</v>
      </c>
      <c r="AG45" s="1">
        <v>0</v>
      </c>
      <c r="AH45" s="1">
        <v>51</v>
      </c>
      <c r="AI45" s="1">
        <v>37</v>
      </c>
      <c r="AJ45" s="1">
        <v>3</v>
      </c>
      <c r="AK45" s="1">
        <v>0</v>
      </c>
      <c r="AL45" s="1">
        <v>0</v>
      </c>
      <c r="AM45" s="1">
        <v>16</v>
      </c>
      <c r="AN45" s="1">
        <v>8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2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3</v>
      </c>
      <c r="BA45" s="1">
        <v>3</v>
      </c>
      <c r="BB45" s="1">
        <v>10</v>
      </c>
      <c r="BC45" s="1">
        <v>0</v>
      </c>
      <c r="BD45" s="1">
        <v>8</v>
      </c>
      <c r="BE45" s="1">
        <v>0</v>
      </c>
      <c r="BF45" s="1">
        <v>0</v>
      </c>
      <c r="BG45" s="1">
        <v>0</v>
      </c>
      <c r="BH45" s="1">
        <v>0</v>
      </c>
      <c r="BI45" s="1">
        <v>1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</row>
    <row r="46" spans="1:66" ht="12.75" hidden="1" x14ac:dyDescent="0.2">
      <c r="A46" s="1">
        <v>562</v>
      </c>
      <c r="B46" s="1" t="s">
        <v>131</v>
      </c>
      <c r="C46" s="1">
        <v>96</v>
      </c>
      <c r="D46" s="1">
        <v>677</v>
      </c>
      <c r="E46" s="1" t="s">
        <v>64</v>
      </c>
      <c r="F46" s="1">
        <v>690</v>
      </c>
      <c r="G46" s="1" t="s">
        <v>101</v>
      </c>
      <c r="H46" s="2">
        <v>6.8646000000000003</v>
      </c>
      <c r="I46" s="2">
        <v>659.00160000000005</v>
      </c>
      <c r="J46" s="14">
        <f t="shared" si="2"/>
        <v>659.00160000000005</v>
      </c>
      <c r="K46" s="15">
        <f t="shared" si="3"/>
        <v>1</v>
      </c>
      <c r="L46" s="1">
        <v>1.32</v>
      </c>
      <c r="M46" s="1">
        <v>-0.61</v>
      </c>
      <c r="N46" s="17">
        <f t="shared" si="13"/>
        <v>1</v>
      </c>
      <c r="O46" s="1">
        <v>0.06</v>
      </c>
      <c r="P46" s="1">
        <v>0.25</v>
      </c>
      <c r="Q46" s="17"/>
      <c r="R46" s="17"/>
      <c r="S46" s="17"/>
      <c r="T46" s="1">
        <v>0.02</v>
      </c>
      <c r="U46" s="1">
        <v>-0.03</v>
      </c>
      <c r="V46" s="17"/>
      <c r="W46" s="17">
        <f t="shared" si="12"/>
        <v>0</v>
      </c>
      <c r="X46" s="1">
        <v>0</v>
      </c>
      <c r="Y46" s="20">
        <v>919.86</v>
      </c>
      <c r="Z46" s="2">
        <v>-302.04000000000002</v>
      </c>
      <c r="AA46" s="1">
        <v>18</v>
      </c>
      <c r="AB46" s="1">
        <v>29</v>
      </c>
      <c r="AC46" s="1">
        <v>21</v>
      </c>
      <c r="AD46" s="1">
        <v>26</v>
      </c>
      <c r="AE46" s="1">
        <v>-57</v>
      </c>
      <c r="AF46" s="1">
        <v>0</v>
      </c>
      <c r="AG46" s="1">
        <v>0</v>
      </c>
      <c r="AH46" s="1">
        <v>36</v>
      </c>
      <c r="AI46" s="1">
        <v>30</v>
      </c>
      <c r="AJ46" s="1">
        <v>-2</v>
      </c>
      <c r="AK46" s="1">
        <v>0</v>
      </c>
      <c r="AL46" s="1">
        <v>0</v>
      </c>
      <c r="AM46" s="1">
        <v>4</v>
      </c>
      <c r="AN46" s="1">
        <v>11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-6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1</v>
      </c>
      <c r="BA46" s="1">
        <v>2</v>
      </c>
      <c r="BB46" s="1">
        <v>3</v>
      </c>
      <c r="BC46" s="1">
        <v>1</v>
      </c>
      <c r="BD46" s="1">
        <v>24</v>
      </c>
      <c r="BE46" s="1">
        <v>0</v>
      </c>
      <c r="BF46" s="1">
        <v>3</v>
      </c>
      <c r="BG46" s="1">
        <v>0</v>
      </c>
      <c r="BH46" s="1">
        <v>0</v>
      </c>
      <c r="BI46" s="1">
        <v>-3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</row>
    <row r="47" spans="1:66" ht="12.75" hidden="1" x14ac:dyDescent="0.2">
      <c r="A47" s="1">
        <v>566</v>
      </c>
      <c r="B47" s="1" t="s">
        <v>140</v>
      </c>
      <c r="C47" s="1">
        <v>96</v>
      </c>
      <c r="D47" s="1">
        <v>677</v>
      </c>
      <c r="E47" s="1" t="s">
        <v>64</v>
      </c>
      <c r="F47" s="1">
        <v>690</v>
      </c>
      <c r="G47" s="1" t="s">
        <v>101</v>
      </c>
      <c r="H47" s="2">
        <v>6.8646000000000003</v>
      </c>
      <c r="I47" s="2">
        <v>659.00160000000005</v>
      </c>
      <c r="J47" s="14">
        <f t="shared" si="2"/>
        <v>659.00160000000005</v>
      </c>
      <c r="K47" s="15">
        <f t="shared" si="3"/>
        <v>1</v>
      </c>
      <c r="L47" s="1">
        <v>1.19</v>
      </c>
      <c r="M47" s="1">
        <v>-0.38</v>
      </c>
      <c r="N47" s="17">
        <f t="shared" si="13"/>
        <v>1</v>
      </c>
      <c r="O47" s="1">
        <v>0</v>
      </c>
      <c r="P47" s="1">
        <v>0</v>
      </c>
      <c r="Q47" s="17"/>
      <c r="R47" s="17"/>
      <c r="S47" s="17"/>
      <c r="T47" s="1">
        <v>0</v>
      </c>
      <c r="U47" s="1">
        <v>0</v>
      </c>
      <c r="V47" s="17"/>
      <c r="W47" s="17">
        <f t="shared" si="12"/>
        <v>0</v>
      </c>
      <c r="X47" s="1">
        <v>0</v>
      </c>
      <c r="Y47" s="20">
        <v>782.56</v>
      </c>
      <c r="Z47" s="2">
        <v>-247.13</v>
      </c>
      <c r="AA47" s="1">
        <v>16</v>
      </c>
      <c r="AB47" s="1">
        <v>10</v>
      </c>
      <c r="AC47" s="1">
        <v>18</v>
      </c>
      <c r="AD47" s="1">
        <v>25</v>
      </c>
      <c r="AE47" s="1">
        <v>-36</v>
      </c>
      <c r="AF47" s="1">
        <v>0</v>
      </c>
      <c r="AG47" s="1">
        <v>0</v>
      </c>
      <c r="AH47" s="1">
        <v>40</v>
      </c>
      <c r="AI47" s="1">
        <v>14</v>
      </c>
      <c r="AJ47" s="1">
        <v>0</v>
      </c>
      <c r="AK47" s="1">
        <v>0</v>
      </c>
      <c r="AL47" s="1">
        <v>0</v>
      </c>
      <c r="AM47" s="1">
        <v>14</v>
      </c>
      <c r="AN47" s="1">
        <v>3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</row>
    <row r="48" spans="1:66" ht="12.75" hidden="1" x14ac:dyDescent="0.2">
      <c r="A48" s="1">
        <v>565</v>
      </c>
      <c r="B48" s="1" t="s">
        <v>137</v>
      </c>
      <c r="C48" s="1">
        <v>96</v>
      </c>
      <c r="D48" s="1">
        <v>677</v>
      </c>
      <c r="E48" s="1" t="s">
        <v>64</v>
      </c>
      <c r="F48" s="1">
        <v>690</v>
      </c>
      <c r="G48" s="1" t="s">
        <v>101</v>
      </c>
      <c r="H48" s="2">
        <v>6.8646000000000003</v>
      </c>
      <c r="I48" s="2">
        <v>659.00160000000005</v>
      </c>
      <c r="J48" s="14">
        <f t="shared" si="2"/>
        <v>659.00160000000005</v>
      </c>
      <c r="K48" s="15">
        <f t="shared" si="3"/>
        <v>1</v>
      </c>
      <c r="L48" s="1">
        <v>1.17</v>
      </c>
      <c r="M48" s="1">
        <v>-0.67</v>
      </c>
      <c r="N48" s="17">
        <f t="shared" si="13"/>
        <v>1</v>
      </c>
      <c r="O48" s="1">
        <v>0</v>
      </c>
      <c r="P48" s="1">
        <v>0</v>
      </c>
      <c r="Q48" s="17"/>
      <c r="R48" s="17"/>
      <c r="S48" s="17"/>
      <c r="T48" s="1">
        <v>0.01</v>
      </c>
      <c r="U48" s="1">
        <v>0.05</v>
      </c>
      <c r="V48" s="17"/>
      <c r="W48" s="17">
        <f t="shared" si="12"/>
        <v>0</v>
      </c>
      <c r="X48" s="1">
        <v>0</v>
      </c>
      <c r="Y48" s="20">
        <v>772.27</v>
      </c>
      <c r="Z48" s="2">
        <v>-453.06</v>
      </c>
      <c r="AA48" s="1">
        <v>38</v>
      </c>
      <c r="AB48" s="1">
        <v>16</v>
      </c>
      <c r="AC48" s="1">
        <v>4</v>
      </c>
      <c r="AD48" s="1">
        <v>23</v>
      </c>
      <c r="AE48" s="1">
        <v>-64</v>
      </c>
      <c r="AF48" s="1">
        <v>0</v>
      </c>
      <c r="AG48" s="1">
        <v>0</v>
      </c>
      <c r="AH48" s="1">
        <v>28</v>
      </c>
      <c r="AI48" s="1">
        <v>30</v>
      </c>
      <c r="AJ48" s="1">
        <v>0</v>
      </c>
      <c r="AK48" s="1">
        <v>0</v>
      </c>
      <c r="AL48" s="1">
        <v>0</v>
      </c>
      <c r="AM48" s="1">
        <v>4</v>
      </c>
      <c r="AN48" s="1">
        <v>7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-7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1</v>
      </c>
      <c r="BG48" s="1">
        <v>0</v>
      </c>
      <c r="BH48" s="1">
        <v>0</v>
      </c>
      <c r="BI48" s="1">
        <v>5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</row>
    <row r="49" spans="1:66" ht="12.75" hidden="1" x14ac:dyDescent="0.2">
      <c r="A49" s="1">
        <v>561</v>
      </c>
      <c r="B49" s="1" t="s">
        <v>132</v>
      </c>
      <c r="C49" s="1">
        <v>96</v>
      </c>
      <c r="D49" s="1">
        <v>677</v>
      </c>
      <c r="E49" s="1" t="s">
        <v>64</v>
      </c>
      <c r="F49" s="1">
        <v>690</v>
      </c>
      <c r="G49" s="1" t="s">
        <v>101</v>
      </c>
      <c r="H49" s="2">
        <v>6.8646000000000003</v>
      </c>
      <c r="I49" s="2">
        <v>659.00160000000005</v>
      </c>
      <c r="J49" s="14">
        <f t="shared" si="2"/>
        <v>659.00160000000005</v>
      </c>
      <c r="K49" s="15">
        <f t="shared" si="3"/>
        <v>1</v>
      </c>
      <c r="L49" s="1">
        <v>0.87</v>
      </c>
      <c r="M49" s="1">
        <v>-0.92</v>
      </c>
      <c r="N49" s="17">
        <f t="shared" si="13"/>
        <v>1</v>
      </c>
      <c r="O49" s="1">
        <v>7.0000000000000007E-2</v>
      </c>
      <c r="P49" s="1">
        <v>0.01</v>
      </c>
      <c r="Q49" s="17"/>
      <c r="R49" s="17"/>
      <c r="S49" s="17"/>
      <c r="T49" s="1">
        <v>0.01</v>
      </c>
      <c r="U49" s="1">
        <v>0.1</v>
      </c>
      <c r="V49" s="17"/>
      <c r="W49" s="17">
        <f t="shared" si="12"/>
        <v>0</v>
      </c>
      <c r="X49" s="1">
        <v>0</v>
      </c>
      <c r="Y49" s="20">
        <v>628.11</v>
      </c>
      <c r="Z49" s="2">
        <v>-549.16999999999996</v>
      </c>
      <c r="AA49" s="1">
        <v>26</v>
      </c>
      <c r="AB49" s="1">
        <v>32</v>
      </c>
      <c r="AC49" s="1">
        <v>20</v>
      </c>
      <c r="AD49" s="1">
        <v>21</v>
      </c>
      <c r="AE49" s="1">
        <v>-86</v>
      </c>
      <c r="AF49" s="1">
        <v>0</v>
      </c>
      <c r="AG49" s="1">
        <v>0</v>
      </c>
      <c r="AH49" s="1">
        <v>8</v>
      </c>
      <c r="AI49" s="1">
        <v>0</v>
      </c>
      <c r="AJ49" s="1">
        <v>-2</v>
      </c>
      <c r="AK49" s="1">
        <v>0</v>
      </c>
      <c r="AL49" s="1">
        <v>0</v>
      </c>
      <c r="AM49" s="1">
        <v>3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-3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4</v>
      </c>
      <c r="BA49" s="1">
        <v>3</v>
      </c>
      <c r="BB49" s="1">
        <v>1</v>
      </c>
      <c r="BC49" s="1">
        <v>1</v>
      </c>
      <c r="BD49" s="1">
        <v>1</v>
      </c>
      <c r="BE49" s="1">
        <v>0</v>
      </c>
      <c r="BF49" s="1">
        <v>2</v>
      </c>
      <c r="BG49" s="1">
        <v>0</v>
      </c>
      <c r="BH49" s="1">
        <v>0</v>
      </c>
      <c r="BI49" s="1">
        <v>10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</row>
    <row r="50" spans="1:66" ht="12.75" hidden="1" x14ac:dyDescent="0.2">
      <c r="A50" s="1">
        <v>510</v>
      </c>
      <c r="B50" s="1" t="s">
        <v>146</v>
      </c>
      <c r="C50" s="1">
        <v>96</v>
      </c>
      <c r="D50" s="1">
        <v>677</v>
      </c>
      <c r="E50" s="1" t="s">
        <v>64</v>
      </c>
      <c r="F50" s="1">
        <v>690</v>
      </c>
      <c r="G50" s="1" t="s">
        <v>101</v>
      </c>
      <c r="H50" s="2">
        <v>6.8646000000000003</v>
      </c>
      <c r="I50" s="2">
        <v>659.00160000000005</v>
      </c>
      <c r="J50" s="14">
        <f t="shared" si="2"/>
        <v>659.00160000000005</v>
      </c>
      <c r="K50" s="15">
        <f t="shared" si="3"/>
        <v>1</v>
      </c>
      <c r="L50" s="1">
        <v>0.86</v>
      </c>
      <c r="M50" s="1">
        <v>-0.42</v>
      </c>
      <c r="N50" s="17">
        <f t="shared" si="13"/>
        <v>1</v>
      </c>
      <c r="O50" s="1">
        <v>0.02</v>
      </c>
      <c r="P50" s="1">
        <v>0</v>
      </c>
      <c r="Q50" s="17"/>
      <c r="R50" s="17"/>
      <c r="S50" s="17"/>
      <c r="T50" s="1">
        <v>0</v>
      </c>
      <c r="U50" s="1">
        <v>0</v>
      </c>
      <c r="V50" s="17"/>
      <c r="W50" s="17">
        <f t="shared" si="12"/>
        <v>0</v>
      </c>
      <c r="X50" s="1">
        <v>0</v>
      </c>
      <c r="Y50" s="20">
        <v>576.63</v>
      </c>
      <c r="Z50" s="2">
        <v>-226.53</v>
      </c>
      <c r="AA50" s="1">
        <v>7</v>
      </c>
      <c r="AB50" s="1">
        <v>7</v>
      </c>
      <c r="AC50" s="1">
        <v>2</v>
      </c>
      <c r="AD50" s="1">
        <v>11</v>
      </c>
      <c r="AE50" s="1">
        <v>-40</v>
      </c>
      <c r="AF50" s="1">
        <v>0</v>
      </c>
      <c r="AG50" s="1">
        <v>0</v>
      </c>
      <c r="AH50" s="1">
        <v>44</v>
      </c>
      <c r="AI50" s="1">
        <v>24</v>
      </c>
      <c r="AJ50" s="1">
        <v>0</v>
      </c>
      <c r="AK50" s="1">
        <v>0</v>
      </c>
      <c r="AL50" s="1">
        <v>0</v>
      </c>
      <c r="AM50" s="1">
        <v>7</v>
      </c>
      <c r="AN50" s="1">
        <v>3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7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1</v>
      </c>
      <c r="BB50" s="1">
        <v>0</v>
      </c>
      <c r="BC50" s="1">
        <v>2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</row>
    <row r="51" spans="1:66" ht="12.75" hidden="1" x14ac:dyDescent="0.2">
      <c r="A51" s="1">
        <v>501</v>
      </c>
      <c r="B51" s="1" t="s">
        <v>145</v>
      </c>
      <c r="C51" s="1">
        <v>96</v>
      </c>
      <c r="D51" s="1">
        <v>677</v>
      </c>
      <c r="E51" s="1" t="s">
        <v>64</v>
      </c>
      <c r="F51" s="1">
        <v>690</v>
      </c>
      <c r="G51" s="1" t="s">
        <v>101</v>
      </c>
      <c r="H51" s="2">
        <v>6.8646000000000003</v>
      </c>
      <c r="I51" s="2">
        <v>659.00160000000005</v>
      </c>
      <c r="J51" s="14">
        <f t="shared" si="2"/>
        <v>659.00160000000005</v>
      </c>
      <c r="K51" s="15">
        <f t="shared" si="3"/>
        <v>1</v>
      </c>
      <c r="L51" s="1">
        <v>0.67</v>
      </c>
      <c r="M51" s="1">
        <v>-0.68</v>
      </c>
      <c r="N51" s="17">
        <f t="shared" si="13"/>
        <v>1</v>
      </c>
      <c r="O51" s="1">
        <v>0.08</v>
      </c>
      <c r="P51" s="1">
        <v>-0.01</v>
      </c>
      <c r="Q51" s="17"/>
      <c r="R51" s="17"/>
      <c r="S51" s="17"/>
      <c r="T51" s="1">
        <v>0</v>
      </c>
      <c r="U51" s="1">
        <v>0</v>
      </c>
      <c r="V51" s="17"/>
      <c r="W51" s="17">
        <f t="shared" si="12"/>
        <v>0</v>
      </c>
      <c r="X51" s="1">
        <v>0</v>
      </c>
      <c r="Y51" s="20">
        <v>494.25</v>
      </c>
      <c r="Z51" s="2">
        <v>-459.93</v>
      </c>
      <c r="AA51" s="1">
        <v>22</v>
      </c>
      <c r="AB51" s="1">
        <v>20</v>
      </c>
      <c r="AC51" s="1">
        <v>9</v>
      </c>
      <c r="AD51" s="1">
        <v>2</v>
      </c>
      <c r="AE51" s="1">
        <v>-62</v>
      </c>
      <c r="AF51" s="1">
        <v>0</v>
      </c>
      <c r="AG51" s="1">
        <v>0</v>
      </c>
      <c r="AH51" s="1">
        <v>12</v>
      </c>
      <c r="AI51" s="1">
        <v>16</v>
      </c>
      <c r="AJ51" s="1">
        <v>-3</v>
      </c>
      <c r="AK51" s="1">
        <v>0</v>
      </c>
      <c r="AL51" s="1">
        <v>0</v>
      </c>
      <c r="AM51" s="1">
        <v>1</v>
      </c>
      <c r="AN51" s="1">
        <v>3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-1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2</v>
      </c>
      <c r="BA51" s="1">
        <v>0</v>
      </c>
      <c r="BB51" s="1">
        <v>5</v>
      </c>
      <c r="BC51" s="1">
        <v>1</v>
      </c>
      <c r="BD51" s="1">
        <v>-1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</row>
    <row r="52" spans="1:66" ht="12.75" hidden="1" x14ac:dyDescent="0.2">
      <c r="A52" s="1">
        <v>504</v>
      </c>
      <c r="B52" s="1" t="s">
        <v>138</v>
      </c>
      <c r="C52" s="1">
        <v>96</v>
      </c>
      <c r="D52" s="1">
        <v>677</v>
      </c>
      <c r="E52" s="1" t="s">
        <v>64</v>
      </c>
      <c r="F52" s="1">
        <v>690</v>
      </c>
      <c r="G52" s="1" t="s">
        <v>101</v>
      </c>
      <c r="H52" s="2">
        <v>6.8646000000000003</v>
      </c>
      <c r="I52" s="2">
        <v>659.00160000000005</v>
      </c>
      <c r="J52" s="14">
        <f t="shared" si="2"/>
        <v>0</v>
      </c>
      <c r="K52" s="15">
        <f t="shared" si="3"/>
        <v>0</v>
      </c>
      <c r="L52" s="1">
        <v>0.61</v>
      </c>
      <c r="M52" s="1">
        <v>-0.45</v>
      </c>
      <c r="N52" s="17">
        <f t="shared" si="13"/>
        <v>0</v>
      </c>
      <c r="O52" s="1">
        <v>0.08</v>
      </c>
      <c r="P52" s="1">
        <v>-0.01</v>
      </c>
      <c r="Q52" s="17"/>
      <c r="R52" s="17"/>
      <c r="S52" s="17"/>
      <c r="T52" s="1">
        <v>0</v>
      </c>
      <c r="U52" s="1">
        <v>0</v>
      </c>
      <c r="V52" s="17"/>
      <c r="W52" s="17">
        <f t="shared" si="12"/>
        <v>0</v>
      </c>
      <c r="X52" s="1">
        <v>0</v>
      </c>
      <c r="Y52" s="20">
        <v>456.5</v>
      </c>
      <c r="Z52" s="2">
        <v>-308.91000000000003</v>
      </c>
      <c r="AA52" s="1">
        <v>6</v>
      </c>
      <c r="AB52" s="1">
        <v>28</v>
      </c>
      <c r="AC52" s="1">
        <v>12</v>
      </c>
      <c r="AD52" s="1">
        <v>20</v>
      </c>
      <c r="AE52" s="1">
        <v>-41</v>
      </c>
      <c r="AF52" s="1">
        <v>0</v>
      </c>
      <c r="AG52" s="1">
        <v>0</v>
      </c>
      <c r="AH52" s="1">
        <v>8</v>
      </c>
      <c r="AI52" s="1">
        <v>14</v>
      </c>
      <c r="AJ52" s="1">
        <v>-2</v>
      </c>
      <c r="AK52" s="1">
        <v>0</v>
      </c>
      <c r="AL52" s="1">
        <v>0</v>
      </c>
      <c r="AM52" s="1">
        <v>0</v>
      </c>
      <c r="AN52" s="1">
        <v>3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-1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1</v>
      </c>
      <c r="BA52" s="1">
        <v>2</v>
      </c>
      <c r="BB52" s="1">
        <v>4</v>
      </c>
      <c r="BC52" s="1">
        <v>4</v>
      </c>
      <c r="BD52" s="1">
        <v>-1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</row>
    <row r="53" spans="1:66" ht="12.75" hidden="1" x14ac:dyDescent="0.2">
      <c r="A53" s="1">
        <v>519</v>
      </c>
      <c r="B53" s="1" t="s">
        <v>143</v>
      </c>
      <c r="C53" s="1">
        <v>96</v>
      </c>
      <c r="D53" s="1">
        <v>677</v>
      </c>
      <c r="E53" s="1" t="s">
        <v>64</v>
      </c>
      <c r="F53" s="1">
        <v>690</v>
      </c>
      <c r="G53" s="1" t="s">
        <v>101</v>
      </c>
      <c r="H53" s="2">
        <v>6.8646000000000003</v>
      </c>
      <c r="I53" s="2">
        <v>659.00160000000005</v>
      </c>
      <c r="J53" s="14">
        <f t="shared" si="2"/>
        <v>0</v>
      </c>
      <c r="K53" s="15">
        <f t="shared" si="3"/>
        <v>0</v>
      </c>
      <c r="L53" s="1">
        <v>0.6</v>
      </c>
      <c r="M53" s="1">
        <v>-0.28999999999999998</v>
      </c>
      <c r="N53" s="17">
        <f t="shared" si="13"/>
        <v>0</v>
      </c>
      <c r="O53" s="1">
        <v>0.05</v>
      </c>
      <c r="P53" s="1">
        <v>7.0000000000000007E-2</v>
      </c>
      <c r="Q53" s="17"/>
      <c r="R53" s="17"/>
      <c r="S53" s="17"/>
      <c r="T53" s="1">
        <v>0</v>
      </c>
      <c r="U53" s="1">
        <v>0</v>
      </c>
      <c r="V53" s="17"/>
      <c r="W53" s="17">
        <f t="shared" si="12"/>
        <v>0</v>
      </c>
      <c r="X53" s="1">
        <v>0</v>
      </c>
      <c r="Y53" s="20">
        <v>429.04</v>
      </c>
      <c r="Z53" s="2">
        <v>-144.16</v>
      </c>
      <c r="AA53" s="1">
        <v>9</v>
      </c>
      <c r="AB53" s="1">
        <v>9</v>
      </c>
      <c r="AC53" s="1">
        <v>7</v>
      </c>
      <c r="AD53" s="1">
        <v>6</v>
      </c>
      <c r="AE53" s="1">
        <v>-30</v>
      </c>
      <c r="AF53" s="1">
        <v>0</v>
      </c>
      <c r="AG53" s="1">
        <v>0</v>
      </c>
      <c r="AH53" s="1">
        <v>24</v>
      </c>
      <c r="AI53" s="1">
        <v>13</v>
      </c>
      <c r="AJ53" s="1">
        <v>2</v>
      </c>
      <c r="AK53" s="1">
        <v>0</v>
      </c>
      <c r="AL53" s="1">
        <v>0</v>
      </c>
      <c r="AM53" s="1">
        <v>4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2</v>
      </c>
      <c r="BA53" s="1">
        <v>3</v>
      </c>
      <c r="BB53" s="1">
        <v>0</v>
      </c>
      <c r="BC53" s="1">
        <v>2</v>
      </c>
      <c r="BD53" s="1">
        <v>7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</row>
    <row r="54" spans="1:66" ht="12.75" hidden="1" x14ac:dyDescent="0.2">
      <c r="A54" s="1">
        <v>526</v>
      </c>
      <c r="B54" s="1" t="s">
        <v>144</v>
      </c>
      <c r="C54" s="1">
        <v>96</v>
      </c>
      <c r="D54" s="1">
        <v>677</v>
      </c>
      <c r="E54" s="1" t="s">
        <v>64</v>
      </c>
      <c r="F54" s="1">
        <v>690</v>
      </c>
      <c r="G54" s="1" t="s">
        <v>101</v>
      </c>
      <c r="H54" s="2">
        <v>6.8646000000000003</v>
      </c>
      <c r="I54" s="2">
        <v>659.00160000000005</v>
      </c>
      <c r="J54" s="14">
        <f t="shared" si="2"/>
        <v>0</v>
      </c>
      <c r="K54" s="15">
        <f t="shared" si="3"/>
        <v>0</v>
      </c>
      <c r="L54" s="1">
        <v>0.54</v>
      </c>
      <c r="M54" s="1">
        <v>0</v>
      </c>
      <c r="N54" s="17">
        <f t="shared" si="13"/>
        <v>0</v>
      </c>
      <c r="O54" s="1">
        <v>0.02</v>
      </c>
      <c r="P54" s="1">
        <v>0</v>
      </c>
      <c r="Q54" s="17"/>
      <c r="R54" s="17"/>
      <c r="S54" s="17"/>
      <c r="T54" s="1">
        <v>0</v>
      </c>
      <c r="U54" s="1">
        <v>0</v>
      </c>
      <c r="V54" s="17"/>
      <c r="W54" s="17">
        <f t="shared" si="12"/>
        <v>0</v>
      </c>
      <c r="X54" s="1">
        <v>0</v>
      </c>
      <c r="Y54" s="20">
        <v>363.82</v>
      </c>
      <c r="Z54" s="2">
        <v>-13.73</v>
      </c>
      <c r="AA54" s="1">
        <v>0</v>
      </c>
      <c r="AB54" s="1">
        <v>0</v>
      </c>
      <c r="AC54" s="1">
        <v>8</v>
      </c>
      <c r="AD54" s="1">
        <v>13</v>
      </c>
      <c r="AE54" s="1">
        <v>0</v>
      </c>
      <c r="AF54" s="1">
        <v>0</v>
      </c>
      <c r="AG54" s="1">
        <v>0</v>
      </c>
      <c r="AH54" s="1">
        <v>20</v>
      </c>
      <c r="AI54" s="1">
        <v>20</v>
      </c>
      <c r="AJ54" s="1">
        <v>0</v>
      </c>
      <c r="AK54" s="1">
        <v>0</v>
      </c>
      <c r="AL54" s="1">
        <v>0</v>
      </c>
      <c r="AM54" s="1">
        <v>5</v>
      </c>
      <c r="AN54" s="1">
        <v>4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-2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1</v>
      </c>
      <c r="BA54" s="1">
        <v>0</v>
      </c>
      <c r="BB54" s="1">
        <v>0</v>
      </c>
      <c r="BC54" s="1">
        <v>1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</row>
    <row r="55" spans="1:66" ht="12.75" hidden="1" x14ac:dyDescent="0.2">
      <c r="A55" s="1">
        <v>506</v>
      </c>
      <c r="B55" s="1" t="s">
        <v>139</v>
      </c>
      <c r="C55" s="1">
        <v>96</v>
      </c>
      <c r="D55" s="1">
        <v>677</v>
      </c>
      <c r="E55" s="1" t="s">
        <v>64</v>
      </c>
      <c r="F55" s="1">
        <v>690</v>
      </c>
      <c r="G55" s="1" t="s">
        <v>101</v>
      </c>
      <c r="H55" s="2">
        <v>6.8646000000000003</v>
      </c>
      <c r="I55" s="2">
        <v>659.00160000000005</v>
      </c>
      <c r="J55" s="14">
        <f t="shared" si="2"/>
        <v>0</v>
      </c>
      <c r="K55" s="15">
        <f t="shared" si="3"/>
        <v>0</v>
      </c>
      <c r="L55" s="1">
        <v>0.41</v>
      </c>
      <c r="M55" s="1">
        <v>-0.28999999999999998</v>
      </c>
      <c r="N55" s="17">
        <f t="shared" si="13"/>
        <v>0</v>
      </c>
      <c r="O55" s="1">
        <v>0.03</v>
      </c>
      <c r="P55" s="1">
        <v>0.01</v>
      </c>
      <c r="Q55" s="17"/>
      <c r="R55" s="17"/>
      <c r="S55" s="17"/>
      <c r="T55" s="1">
        <v>0</v>
      </c>
      <c r="U55" s="1">
        <v>0</v>
      </c>
      <c r="V55" s="17"/>
      <c r="W55" s="17">
        <f t="shared" si="12"/>
        <v>0</v>
      </c>
      <c r="X55" s="1">
        <v>0</v>
      </c>
      <c r="Y55" s="20">
        <v>288.31</v>
      </c>
      <c r="Z55" s="2">
        <v>-199.07</v>
      </c>
      <c r="AA55" s="1">
        <v>6</v>
      </c>
      <c r="AB55" s="1">
        <v>6</v>
      </c>
      <c r="AC55" s="1">
        <v>3</v>
      </c>
      <c r="AD55" s="1">
        <v>21</v>
      </c>
      <c r="AE55" s="1">
        <v>-28</v>
      </c>
      <c r="AF55" s="1">
        <v>0</v>
      </c>
      <c r="AG55" s="1">
        <v>0</v>
      </c>
      <c r="AH55" s="1">
        <v>6</v>
      </c>
      <c r="AI55" s="1">
        <v>18</v>
      </c>
      <c r="AJ55" s="1">
        <v>0</v>
      </c>
      <c r="AK55" s="1">
        <v>0</v>
      </c>
      <c r="AL55" s="1">
        <v>0</v>
      </c>
      <c r="AM55" s="1">
        <v>2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-2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1</v>
      </c>
      <c r="BA55" s="1">
        <v>0</v>
      </c>
      <c r="BB55" s="1">
        <v>1</v>
      </c>
      <c r="BC55" s="1">
        <v>1</v>
      </c>
      <c r="BD55" s="1">
        <v>1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</row>
    <row r="56" spans="1:66" ht="12.75" hidden="1" x14ac:dyDescent="0.2">
      <c r="A56" s="1">
        <v>509</v>
      </c>
      <c r="B56" s="1" t="s">
        <v>141</v>
      </c>
      <c r="C56" s="1">
        <v>96</v>
      </c>
      <c r="D56" s="1">
        <v>677</v>
      </c>
      <c r="E56" s="1" t="s">
        <v>64</v>
      </c>
      <c r="F56" s="1">
        <v>690</v>
      </c>
      <c r="G56" s="1" t="s">
        <v>101</v>
      </c>
      <c r="H56" s="2">
        <v>6.8646000000000003</v>
      </c>
      <c r="I56" s="2">
        <v>659.00160000000005</v>
      </c>
      <c r="J56" s="14">
        <f t="shared" si="2"/>
        <v>0</v>
      </c>
      <c r="K56" s="15">
        <f t="shared" si="3"/>
        <v>0</v>
      </c>
      <c r="L56" s="1">
        <v>0.32</v>
      </c>
      <c r="M56" s="1">
        <v>0.02</v>
      </c>
      <c r="N56" s="17">
        <f t="shared" si="13"/>
        <v>0</v>
      </c>
      <c r="O56" s="1">
        <v>0.03</v>
      </c>
      <c r="P56" s="1">
        <v>0.02</v>
      </c>
      <c r="Q56" s="17"/>
      <c r="R56" s="17"/>
      <c r="S56" s="17"/>
      <c r="T56" s="1">
        <v>0</v>
      </c>
      <c r="U56" s="1">
        <v>0</v>
      </c>
      <c r="V56" s="17"/>
      <c r="W56" s="17">
        <f t="shared" si="12"/>
        <v>0</v>
      </c>
      <c r="X56" s="1">
        <v>0</v>
      </c>
      <c r="Y56" s="20">
        <v>229.96</v>
      </c>
      <c r="Z56" s="2">
        <v>27.46</v>
      </c>
      <c r="AA56" s="1">
        <v>0</v>
      </c>
      <c r="AB56" s="1">
        <v>0</v>
      </c>
      <c r="AC56" s="1">
        <v>4</v>
      </c>
      <c r="AD56" s="1">
        <v>8</v>
      </c>
      <c r="AE56" s="1">
        <v>0</v>
      </c>
      <c r="AF56" s="1">
        <v>0</v>
      </c>
      <c r="AG56" s="1">
        <v>0</v>
      </c>
      <c r="AH56" s="1">
        <v>17</v>
      </c>
      <c r="AI56" s="1">
        <v>10</v>
      </c>
      <c r="AJ56" s="1">
        <v>2</v>
      </c>
      <c r="AK56" s="1">
        <v>0</v>
      </c>
      <c r="AL56" s="1">
        <v>0</v>
      </c>
      <c r="AM56" s="1">
        <v>0</v>
      </c>
      <c r="AN56" s="1">
        <v>2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2</v>
      </c>
      <c r="BA56" s="1">
        <v>0</v>
      </c>
      <c r="BB56" s="1">
        <v>0</v>
      </c>
      <c r="BC56" s="1">
        <v>1</v>
      </c>
      <c r="BD56" s="1">
        <v>2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</row>
    <row r="57" spans="1:66" ht="12.75" hidden="1" x14ac:dyDescent="0.2">
      <c r="A57" s="1">
        <v>515</v>
      </c>
      <c r="B57" s="1" t="s">
        <v>152</v>
      </c>
      <c r="C57" s="1">
        <v>96</v>
      </c>
      <c r="D57" s="1">
        <v>677</v>
      </c>
      <c r="E57" s="1" t="s">
        <v>64</v>
      </c>
      <c r="F57" s="1">
        <v>690</v>
      </c>
      <c r="G57" s="1" t="s">
        <v>101</v>
      </c>
      <c r="H57" s="2">
        <v>6.8646000000000003</v>
      </c>
      <c r="I57" s="2">
        <v>659.00160000000005</v>
      </c>
      <c r="J57" s="14">
        <f t="shared" si="2"/>
        <v>0</v>
      </c>
      <c r="K57" s="15">
        <f t="shared" si="3"/>
        <v>0</v>
      </c>
      <c r="L57" s="1">
        <v>0.33</v>
      </c>
      <c r="M57" s="1">
        <v>0.04</v>
      </c>
      <c r="N57" s="17">
        <f t="shared" si="13"/>
        <v>0</v>
      </c>
      <c r="O57" s="1">
        <v>0</v>
      </c>
      <c r="P57" s="1">
        <v>0</v>
      </c>
      <c r="Q57" s="17"/>
      <c r="R57" s="17"/>
      <c r="S57" s="17"/>
      <c r="T57" s="1">
        <v>0</v>
      </c>
      <c r="U57" s="1">
        <v>0</v>
      </c>
      <c r="V57" s="17"/>
      <c r="W57" s="17">
        <f t="shared" si="12"/>
        <v>0</v>
      </c>
      <c r="X57" s="1">
        <v>0</v>
      </c>
      <c r="Y57" s="20">
        <v>219.67</v>
      </c>
      <c r="Z57" s="2">
        <v>27.46</v>
      </c>
      <c r="AA57" s="1">
        <v>0</v>
      </c>
      <c r="AB57" s="1">
        <v>0</v>
      </c>
      <c r="AC57" s="1">
        <v>4</v>
      </c>
      <c r="AD57" s="1">
        <v>7</v>
      </c>
      <c r="AE57" s="1">
        <v>0</v>
      </c>
      <c r="AF57" s="1">
        <v>0</v>
      </c>
      <c r="AG57" s="1">
        <v>0</v>
      </c>
      <c r="AH57" s="1">
        <v>17</v>
      </c>
      <c r="AI57" s="1">
        <v>15</v>
      </c>
      <c r="AJ57" s="1">
        <v>4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</row>
    <row r="58" spans="1:66" ht="12.75" hidden="1" x14ac:dyDescent="0.2">
      <c r="A58" s="1">
        <v>514</v>
      </c>
      <c r="B58" s="1" t="s">
        <v>147</v>
      </c>
      <c r="C58" s="1">
        <v>96</v>
      </c>
      <c r="D58" s="1">
        <v>677</v>
      </c>
      <c r="E58" s="1" t="s">
        <v>64</v>
      </c>
      <c r="F58" s="1">
        <v>690</v>
      </c>
      <c r="G58" s="1" t="s">
        <v>101</v>
      </c>
      <c r="H58" s="2">
        <v>6.8646000000000003</v>
      </c>
      <c r="I58" s="2">
        <v>659.00160000000005</v>
      </c>
      <c r="J58" s="14">
        <f t="shared" si="2"/>
        <v>0</v>
      </c>
      <c r="K58" s="15">
        <f t="shared" si="3"/>
        <v>0</v>
      </c>
      <c r="L58" s="1">
        <v>0.27</v>
      </c>
      <c r="M58" s="1">
        <v>0.08</v>
      </c>
      <c r="N58" s="17">
        <f t="shared" si="13"/>
        <v>0</v>
      </c>
      <c r="O58" s="1">
        <v>0.04</v>
      </c>
      <c r="P58" s="1">
        <v>0</v>
      </c>
      <c r="Q58" s="17"/>
      <c r="R58" s="17"/>
      <c r="S58" s="17"/>
      <c r="T58" s="1">
        <v>0</v>
      </c>
      <c r="U58" s="1">
        <v>0</v>
      </c>
      <c r="V58" s="17"/>
      <c r="W58" s="17">
        <f t="shared" si="12"/>
        <v>0</v>
      </c>
      <c r="X58" s="1">
        <v>0</v>
      </c>
      <c r="Y58" s="20">
        <v>199.07</v>
      </c>
      <c r="Z58" s="2">
        <v>54.92</v>
      </c>
      <c r="AA58" s="1">
        <v>0</v>
      </c>
      <c r="AB58" s="1">
        <v>0</v>
      </c>
      <c r="AC58" s="1">
        <v>1</v>
      </c>
      <c r="AD58" s="1">
        <v>6</v>
      </c>
      <c r="AE58" s="1">
        <v>0</v>
      </c>
      <c r="AF58" s="1">
        <v>0</v>
      </c>
      <c r="AG58" s="1">
        <v>0</v>
      </c>
      <c r="AH58" s="1">
        <v>17</v>
      </c>
      <c r="AI58" s="1">
        <v>4</v>
      </c>
      <c r="AJ58" s="1">
        <v>8</v>
      </c>
      <c r="AK58" s="1">
        <v>0</v>
      </c>
      <c r="AL58" s="1">
        <v>0</v>
      </c>
      <c r="AM58" s="1">
        <v>2</v>
      </c>
      <c r="AN58" s="1">
        <v>1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2</v>
      </c>
      <c r="BC58" s="1">
        <v>3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</row>
    <row r="59" spans="1:66" ht="12.75" hidden="1" x14ac:dyDescent="0.2">
      <c r="A59" s="1">
        <v>85</v>
      </c>
      <c r="B59" s="1" t="s">
        <v>148</v>
      </c>
      <c r="C59" s="1">
        <v>192</v>
      </c>
      <c r="D59" s="1">
        <v>677</v>
      </c>
      <c r="E59" s="1" t="s">
        <v>64</v>
      </c>
      <c r="F59" s="1">
        <v>1</v>
      </c>
      <c r="G59" s="1" t="s">
        <v>149</v>
      </c>
      <c r="H59" s="2">
        <v>6</v>
      </c>
      <c r="I59" s="2">
        <v>1152</v>
      </c>
      <c r="J59" s="14">
        <f t="shared" si="2"/>
        <v>0</v>
      </c>
      <c r="K59" s="15">
        <f t="shared" si="3"/>
        <v>0</v>
      </c>
      <c r="L59" s="1">
        <v>0</v>
      </c>
      <c r="M59" s="1">
        <v>0</v>
      </c>
      <c r="N59" s="17">
        <f t="shared" si="13"/>
        <v>0</v>
      </c>
      <c r="O59" s="1">
        <v>0</v>
      </c>
      <c r="P59" s="1">
        <v>0</v>
      </c>
      <c r="Q59" s="17"/>
      <c r="R59" s="17"/>
      <c r="S59" s="17"/>
      <c r="T59" s="1">
        <v>0</v>
      </c>
      <c r="U59" s="1">
        <v>0</v>
      </c>
      <c r="V59" s="17"/>
      <c r="W59" s="17">
        <f t="shared" si="12"/>
        <v>0</v>
      </c>
      <c r="X59" s="1">
        <v>0</v>
      </c>
      <c r="Y59" s="20">
        <v>0</v>
      </c>
      <c r="Z59" s="2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</row>
    <row r="60" spans="1:66" ht="12.75" hidden="1" x14ac:dyDescent="0.2">
      <c r="A60" s="1">
        <v>511</v>
      </c>
      <c r="B60" s="1" t="s">
        <v>150</v>
      </c>
      <c r="C60" s="1">
        <v>96</v>
      </c>
      <c r="D60" s="1">
        <v>677</v>
      </c>
      <c r="E60" s="1" t="s">
        <v>64</v>
      </c>
      <c r="F60" s="1">
        <v>690</v>
      </c>
      <c r="G60" s="1" t="s">
        <v>101</v>
      </c>
      <c r="H60" s="2">
        <v>6.8646000000000003</v>
      </c>
      <c r="I60" s="2">
        <v>659.00160000000005</v>
      </c>
      <c r="J60" s="14">
        <f t="shared" si="2"/>
        <v>0</v>
      </c>
      <c r="K60" s="15">
        <f t="shared" si="3"/>
        <v>0</v>
      </c>
      <c r="L60" s="1">
        <v>0</v>
      </c>
      <c r="M60" s="1">
        <v>0</v>
      </c>
      <c r="N60" s="17">
        <f t="shared" si="13"/>
        <v>0</v>
      </c>
      <c r="O60" s="1">
        <v>0</v>
      </c>
      <c r="P60" s="1">
        <v>0</v>
      </c>
      <c r="Q60" s="17"/>
      <c r="R60" s="17"/>
      <c r="S60" s="17"/>
      <c r="T60" s="1">
        <v>0</v>
      </c>
      <c r="U60" s="1">
        <v>0</v>
      </c>
      <c r="V60" s="17"/>
      <c r="W60" s="17">
        <f t="shared" si="12"/>
        <v>0</v>
      </c>
      <c r="X60" s="1">
        <v>0</v>
      </c>
      <c r="Y60" s="20">
        <v>0</v>
      </c>
      <c r="Z60" s="2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</row>
    <row r="61" spans="1:66" ht="12.75" hidden="1" x14ac:dyDescent="0.2">
      <c r="A61" s="1">
        <v>512</v>
      </c>
      <c r="B61" s="1" t="s">
        <v>151</v>
      </c>
      <c r="C61" s="1">
        <v>96</v>
      </c>
      <c r="D61" s="1">
        <v>677</v>
      </c>
      <c r="E61" s="1" t="s">
        <v>64</v>
      </c>
      <c r="F61" s="1">
        <v>690</v>
      </c>
      <c r="G61" s="1" t="s">
        <v>101</v>
      </c>
      <c r="H61" s="2">
        <v>6.8646000000000003</v>
      </c>
      <c r="I61" s="2">
        <v>659.00160000000005</v>
      </c>
      <c r="J61" s="14">
        <f t="shared" si="2"/>
        <v>0</v>
      </c>
      <c r="K61" s="15">
        <f t="shared" si="3"/>
        <v>0</v>
      </c>
      <c r="L61" s="1">
        <v>0</v>
      </c>
      <c r="M61" s="1">
        <v>0</v>
      </c>
      <c r="N61" s="17">
        <f t="shared" si="13"/>
        <v>0</v>
      </c>
      <c r="O61" s="1">
        <v>0</v>
      </c>
      <c r="P61" s="1">
        <v>0</v>
      </c>
      <c r="Q61" s="17"/>
      <c r="R61" s="17"/>
      <c r="S61" s="17"/>
      <c r="T61" s="1">
        <v>0</v>
      </c>
      <c r="U61" s="1">
        <v>0</v>
      </c>
      <c r="V61" s="17"/>
      <c r="W61" s="17">
        <f t="shared" si="12"/>
        <v>0</v>
      </c>
      <c r="X61" s="1">
        <v>0</v>
      </c>
      <c r="Y61" s="20">
        <v>0</v>
      </c>
      <c r="Z61" s="2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</row>
    <row r="62" spans="1:66" ht="12.75" hidden="1" x14ac:dyDescent="0.2">
      <c r="A62" s="1">
        <v>516</v>
      </c>
      <c r="B62" s="1" t="s">
        <v>153</v>
      </c>
      <c r="C62" s="1">
        <v>96</v>
      </c>
      <c r="D62" s="1">
        <v>677</v>
      </c>
      <c r="E62" s="1" t="s">
        <v>64</v>
      </c>
      <c r="F62" s="1">
        <v>690</v>
      </c>
      <c r="G62" s="1" t="s">
        <v>101</v>
      </c>
      <c r="H62" s="2">
        <v>6.8646000000000003</v>
      </c>
      <c r="I62" s="2">
        <v>659.00160000000005</v>
      </c>
      <c r="J62" s="14">
        <f t="shared" si="2"/>
        <v>0</v>
      </c>
      <c r="K62" s="15">
        <f t="shared" si="3"/>
        <v>0</v>
      </c>
      <c r="L62" s="1">
        <v>0</v>
      </c>
      <c r="M62" s="1">
        <v>0</v>
      </c>
      <c r="N62" s="17">
        <f t="shared" si="13"/>
        <v>0</v>
      </c>
      <c r="O62" s="1">
        <v>0</v>
      </c>
      <c r="P62" s="1">
        <v>0</v>
      </c>
      <c r="Q62" s="17"/>
      <c r="R62" s="17"/>
      <c r="S62" s="17"/>
      <c r="T62" s="1">
        <v>0</v>
      </c>
      <c r="U62" s="1">
        <v>0</v>
      </c>
      <c r="V62" s="17"/>
      <c r="W62" s="17">
        <f t="shared" si="12"/>
        <v>0</v>
      </c>
      <c r="X62" s="1">
        <v>0</v>
      </c>
      <c r="Y62" s="20">
        <v>0</v>
      </c>
      <c r="Z62" s="2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</row>
    <row r="63" spans="1:66" ht="12.75" hidden="1" x14ac:dyDescent="0.2">
      <c r="A63" s="1">
        <v>543</v>
      </c>
      <c r="B63" s="1" t="s">
        <v>154</v>
      </c>
      <c r="C63" s="1">
        <v>96</v>
      </c>
      <c r="D63" s="1">
        <v>677</v>
      </c>
      <c r="E63" s="1" t="s">
        <v>64</v>
      </c>
      <c r="F63" s="1">
        <v>690</v>
      </c>
      <c r="G63" s="1" t="s">
        <v>101</v>
      </c>
      <c r="H63" s="2">
        <v>6.8646000000000003</v>
      </c>
      <c r="I63" s="2">
        <v>659.00160000000005</v>
      </c>
      <c r="J63" s="14">
        <f t="shared" si="2"/>
        <v>0</v>
      </c>
      <c r="K63" s="15">
        <f t="shared" si="3"/>
        <v>0</v>
      </c>
      <c r="L63" s="1">
        <v>0</v>
      </c>
      <c r="M63" s="1">
        <v>0</v>
      </c>
      <c r="N63" s="17">
        <f t="shared" si="13"/>
        <v>0</v>
      </c>
      <c r="O63" s="1">
        <v>0</v>
      </c>
      <c r="P63" s="1">
        <v>0</v>
      </c>
      <c r="Q63" s="17"/>
      <c r="R63" s="17"/>
      <c r="S63" s="17"/>
      <c r="T63" s="1">
        <v>0</v>
      </c>
      <c r="U63" s="1">
        <v>0</v>
      </c>
      <c r="V63" s="17"/>
      <c r="W63" s="17">
        <f t="shared" si="12"/>
        <v>0</v>
      </c>
      <c r="X63" s="1">
        <v>0</v>
      </c>
      <c r="Y63" s="20">
        <v>0</v>
      </c>
      <c r="Z63" s="2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</row>
    <row r="64" spans="1:66" ht="12.75" hidden="1" x14ac:dyDescent="0.2">
      <c r="A64" s="1">
        <v>563</v>
      </c>
      <c r="B64" s="1" t="s">
        <v>155</v>
      </c>
      <c r="C64" s="1">
        <v>96</v>
      </c>
      <c r="D64" s="1">
        <v>677</v>
      </c>
      <c r="E64" s="1" t="s">
        <v>64</v>
      </c>
      <c r="F64" s="1">
        <v>690</v>
      </c>
      <c r="G64" s="1" t="s">
        <v>101</v>
      </c>
      <c r="H64" s="2">
        <v>6.8646000000000003</v>
      </c>
      <c r="I64" s="2">
        <v>659.00160000000005</v>
      </c>
      <c r="J64" s="14">
        <f t="shared" si="2"/>
        <v>0</v>
      </c>
      <c r="K64" s="15">
        <f t="shared" si="3"/>
        <v>0</v>
      </c>
      <c r="L64" s="1">
        <v>0</v>
      </c>
      <c r="M64" s="1">
        <v>0</v>
      </c>
      <c r="N64" s="17">
        <f t="shared" si="13"/>
        <v>0</v>
      </c>
      <c r="O64" s="1">
        <v>0</v>
      </c>
      <c r="P64" s="1">
        <v>0</v>
      </c>
      <c r="Q64" s="17"/>
      <c r="R64" s="17"/>
      <c r="S64" s="17"/>
      <c r="T64" s="1">
        <v>0</v>
      </c>
      <c r="U64" s="1">
        <v>0</v>
      </c>
      <c r="V64" s="17"/>
      <c r="W64" s="17">
        <f t="shared" si="12"/>
        <v>0</v>
      </c>
      <c r="X64" s="1">
        <v>0</v>
      </c>
      <c r="Y64" s="20">
        <v>0</v>
      </c>
      <c r="Z64" s="2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</row>
    <row r="65" spans="1:66" ht="12.75" hidden="1" x14ac:dyDescent="0.2">
      <c r="A65" s="1">
        <v>8038</v>
      </c>
      <c r="B65" s="1" t="s">
        <v>156</v>
      </c>
      <c r="C65" s="1">
        <v>6</v>
      </c>
      <c r="D65" s="1">
        <v>677</v>
      </c>
      <c r="E65" s="1" t="s">
        <v>64</v>
      </c>
      <c r="F65" s="1">
        <v>61</v>
      </c>
      <c r="G65" s="1" t="s">
        <v>66</v>
      </c>
      <c r="H65" s="2">
        <v>77</v>
      </c>
      <c r="I65" s="2">
        <v>462</v>
      </c>
      <c r="J65" s="14">
        <f t="shared" si="2"/>
        <v>0</v>
      </c>
      <c r="K65" s="15">
        <f t="shared" si="3"/>
        <v>0</v>
      </c>
      <c r="L65" s="1">
        <v>0</v>
      </c>
      <c r="M65" s="1">
        <v>0</v>
      </c>
      <c r="N65" s="17">
        <f t="shared" si="13"/>
        <v>0</v>
      </c>
      <c r="O65" s="1">
        <v>0</v>
      </c>
      <c r="P65" s="1">
        <v>0</v>
      </c>
      <c r="Q65" s="17"/>
      <c r="R65" s="17"/>
      <c r="S65" s="17"/>
      <c r="T65" s="1">
        <v>0</v>
      </c>
      <c r="U65" s="1">
        <v>0</v>
      </c>
      <c r="V65" s="17"/>
      <c r="W65" s="17">
        <f t="shared" si="12"/>
        <v>0</v>
      </c>
      <c r="X65" s="1">
        <v>0</v>
      </c>
      <c r="Y65" s="20">
        <v>0</v>
      </c>
      <c r="Z65" s="2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</row>
    <row r="66" spans="1:66" ht="12.75" hidden="1" x14ac:dyDescent="0.2">
      <c r="A66" s="1">
        <v>8041</v>
      </c>
      <c r="B66" s="1" t="s">
        <v>77</v>
      </c>
      <c r="C66" s="1">
        <v>72</v>
      </c>
      <c r="D66" s="1">
        <v>677</v>
      </c>
      <c r="E66" s="1" t="s">
        <v>64</v>
      </c>
      <c r="F66" s="1">
        <v>999</v>
      </c>
      <c r="G66" s="1" t="s">
        <v>67</v>
      </c>
      <c r="H66" s="2">
        <v>6.5368000000000004</v>
      </c>
      <c r="I66" s="2">
        <v>470.64960000000002</v>
      </c>
      <c r="J66" s="14">
        <f t="shared" si="2"/>
        <v>0</v>
      </c>
      <c r="K66" s="15">
        <f t="shared" si="3"/>
        <v>0</v>
      </c>
      <c r="L66" s="1">
        <v>0</v>
      </c>
      <c r="M66" s="1">
        <v>0</v>
      </c>
      <c r="N66" s="17">
        <f t="shared" si="13"/>
        <v>0</v>
      </c>
      <c r="O66" s="1">
        <v>0</v>
      </c>
      <c r="P66" s="1">
        <v>0</v>
      </c>
      <c r="Q66" s="17"/>
      <c r="R66" s="17"/>
      <c r="S66" s="17"/>
      <c r="T66" s="1">
        <v>0</v>
      </c>
      <c r="U66" s="1">
        <v>0</v>
      </c>
      <c r="V66" s="17"/>
      <c r="W66" s="17">
        <f t="shared" si="12"/>
        <v>0</v>
      </c>
      <c r="X66" s="1">
        <v>0</v>
      </c>
      <c r="Y66" s="20">
        <v>0</v>
      </c>
      <c r="Z66" s="2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</row>
    <row r="67" spans="1:66" ht="12.75" hidden="1" x14ac:dyDescent="0.2">
      <c r="A67" s="1">
        <v>8042</v>
      </c>
      <c r="B67" s="1" t="s">
        <v>77</v>
      </c>
      <c r="C67" s="1">
        <v>72</v>
      </c>
      <c r="D67" s="1">
        <v>677</v>
      </c>
      <c r="E67" s="1" t="s">
        <v>64</v>
      </c>
      <c r="F67" s="1">
        <v>999</v>
      </c>
      <c r="G67" s="1" t="s">
        <v>67</v>
      </c>
      <c r="H67" s="2">
        <v>6.5368000000000004</v>
      </c>
      <c r="I67" s="2">
        <v>470.64960000000002</v>
      </c>
      <c r="J67" s="14">
        <f t="shared" si="2"/>
        <v>0</v>
      </c>
      <c r="K67" s="15">
        <f t="shared" si="3"/>
        <v>0</v>
      </c>
      <c r="L67" s="1">
        <v>0</v>
      </c>
      <c r="M67" s="1">
        <v>0</v>
      </c>
      <c r="N67" s="17">
        <f t="shared" si="13"/>
        <v>0</v>
      </c>
      <c r="O67" s="1">
        <v>0</v>
      </c>
      <c r="P67" s="1">
        <v>0</v>
      </c>
      <c r="Q67" s="17"/>
      <c r="R67" s="17"/>
      <c r="S67" s="17"/>
      <c r="T67" s="1">
        <v>0</v>
      </c>
      <c r="U67" s="1">
        <v>0</v>
      </c>
      <c r="V67" s="17"/>
      <c r="W67" s="17">
        <f t="shared" si="12"/>
        <v>0</v>
      </c>
      <c r="X67" s="1">
        <v>0</v>
      </c>
      <c r="Y67" s="20">
        <v>0</v>
      </c>
      <c r="Z67" s="2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</row>
    <row r="68" spans="1:66" ht="12.75" hidden="1" x14ac:dyDescent="0.2">
      <c r="A68" s="1">
        <v>9099</v>
      </c>
      <c r="B68" s="1" t="s">
        <v>77</v>
      </c>
      <c r="C68" s="1">
        <v>24</v>
      </c>
      <c r="D68" s="1">
        <v>677</v>
      </c>
      <c r="E68" s="1" t="s">
        <v>64</v>
      </c>
      <c r="F68" s="1">
        <v>999</v>
      </c>
      <c r="G68" s="1" t="s">
        <v>67</v>
      </c>
      <c r="H68" s="2">
        <v>15.6492</v>
      </c>
      <c r="I68" s="2">
        <v>375.58080000000001</v>
      </c>
      <c r="J68" s="14">
        <f t="shared" si="2"/>
        <v>0</v>
      </c>
      <c r="K68" s="15">
        <f t="shared" si="3"/>
        <v>0</v>
      </c>
      <c r="L68" s="1">
        <v>0</v>
      </c>
      <c r="M68" s="1">
        <v>0</v>
      </c>
      <c r="N68" s="17">
        <f t="shared" si="13"/>
        <v>0</v>
      </c>
      <c r="O68" s="1">
        <v>0</v>
      </c>
      <c r="P68" s="1">
        <v>0</v>
      </c>
      <c r="Q68" s="17"/>
      <c r="R68" s="17"/>
      <c r="S68" s="17"/>
      <c r="T68" s="1">
        <v>0</v>
      </c>
      <c r="U68" s="1">
        <v>0</v>
      </c>
      <c r="V68" s="17"/>
      <c r="W68" s="17">
        <f t="shared" si="12"/>
        <v>0</v>
      </c>
      <c r="X68" s="1">
        <v>0</v>
      </c>
      <c r="Y68" s="20">
        <v>0</v>
      </c>
      <c r="Z68" s="2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</row>
    <row r="69" spans="1:66" ht="12.75" hidden="1" x14ac:dyDescent="0.2">
      <c r="A69" s="1">
        <v>47006</v>
      </c>
      <c r="B69" s="1" t="s">
        <v>72</v>
      </c>
      <c r="C69" s="1">
        <v>24</v>
      </c>
      <c r="D69" s="1">
        <v>677</v>
      </c>
      <c r="E69" s="1" t="s">
        <v>64</v>
      </c>
      <c r="F69" s="1">
        <v>998</v>
      </c>
      <c r="G69" s="1" t="s">
        <v>73</v>
      </c>
      <c r="H69" s="2">
        <v>20.635100000000001</v>
      </c>
      <c r="I69" s="2">
        <v>495.24239999999998</v>
      </c>
      <c r="J69" s="14">
        <f t="shared" si="2"/>
        <v>0</v>
      </c>
      <c r="K69" s="15">
        <f t="shared" si="3"/>
        <v>0</v>
      </c>
      <c r="L69" s="1">
        <v>0</v>
      </c>
      <c r="M69" s="1">
        <v>0</v>
      </c>
      <c r="N69" s="17">
        <f t="shared" si="13"/>
        <v>0</v>
      </c>
      <c r="O69" s="1">
        <v>0</v>
      </c>
      <c r="P69" s="1">
        <v>0</v>
      </c>
      <c r="Q69" s="17"/>
      <c r="R69" s="17"/>
      <c r="S69" s="17"/>
      <c r="T69" s="1">
        <v>0</v>
      </c>
      <c r="U69" s="1">
        <v>0</v>
      </c>
      <c r="V69" s="17"/>
      <c r="W69" s="17">
        <f t="shared" si="12"/>
        <v>0</v>
      </c>
      <c r="X69" s="1">
        <v>0</v>
      </c>
      <c r="Y69" s="20">
        <v>0</v>
      </c>
      <c r="Z69" s="2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</row>
    <row r="70" spans="1:66" ht="12.75" hidden="1" x14ac:dyDescent="0.2">
      <c r="A70" s="1">
        <v>47007</v>
      </c>
      <c r="B70" s="1" t="s">
        <v>157</v>
      </c>
      <c r="C70" s="1">
        <v>12</v>
      </c>
      <c r="D70" s="1">
        <v>677</v>
      </c>
      <c r="E70" s="1" t="s">
        <v>64</v>
      </c>
      <c r="F70" s="1">
        <v>1</v>
      </c>
      <c r="G70" s="1" t="s">
        <v>149</v>
      </c>
      <c r="H70" s="2">
        <v>7.68</v>
      </c>
      <c r="I70" s="2">
        <v>92.16</v>
      </c>
      <c r="J70" s="14">
        <f t="shared" si="2"/>
        <v>0</v>
      </c>
      <c r="K70" s="15">
        <f t="shared" si="3"/>
        <v>0</v>
      </c>
      <c r="L70" s="1">
        <v>0</v>
      </c>
      <c r="M70" s="1">
        <v>0</v>
      </c>
      <c r="N70" s="17">
        <f t="shared" si="13"/>
        <v>0</v>
      </c>
      <c r="O70" s="1">
        <v>0</v>
      </c>
      <c r="P70" s="1">
        <v>0</v>
      </c>
      <c r="Q70" s="17"/>
      <c r="R70" s="17"/>
      <c r="S70" s="17"/>
      <c r="T70" s="1">
        <v>0</v>
      </c>
      <c r="U70" s="1">
        <v>0</v>
      </c>
      <c r="V70" s="17"/>
      <c r="W70" s="17">
        <f t="shared" si="12"/>
        <v>0</v>
      </c>
      <c r="X70" s="1">
        <v>0</v>
      </c>
      <c r="Y70" s="20">
        <v>0</v>
      </c>
      <c r="Z70" s="2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</row>
    <row r="71" spans="1:66" ht="12.75" hidden="1" x14ac:dyDescent="0.2">
      <c r="A71" s="1">
        <v>47009</v>
      </c>
      <c r="B71" s="1" t="s">
        <v>130</v>
      </c>
      <c r="C71" s="1">
        <v>12</v>
      </c>
      <c r="D71" s="1">
        <v>677</v>
      </c>
      <c r="E71" s="1" t="s">
        <v>64</v>
      </c>
      <c r="F71" s="1">
        <v>61</v>
      </c>
      <c r="G71" s="1" t="s">
        <v>66</v>
      </c>
      <c r="H71" s="2">
        <v>138.47</v>
      </c>
      <c r="I71" s="2">
        <v>1661.64</v>
      </c>
      <c r="J71" s="14">
        <f t="shared" si="2"/>
        <v>0</v>
      </c>
      <c r="K71" s="15">
        <f t="shared" si="3"/>
        <v>0</v>
      </c>
      <c r="L71" s="1">
        <v>0</v>
      </c>
      <c r="M71" s="1">
        <v>0</v>
      </c>
      <c r="N71" s="17">
        <f t="shared" si="13"/>
        <v>0</v>
      </c>
      <c r="O71" s="1">
        <v>0</v>
      </c>
      <c r="P71" s="1">
        <v>0</v>
      </c>
      <c r="Q71" s="17"/>
      <c r="R71" s="17"/>
      <c r="S71" s="17"/>
      <c r="T71" s="1">
        <v>0</v>
      </c>
      <c r="U71" s="1">
        <v>0</v>
      </c>
      <c r="V71" s="17"/>
      <c r="W71" s="17">
        <f t="shared" si="12"/>
        <v>0</v>
      </c>
      <c r="X71" s="1">
        <v>0</v>
      </c>
      <c r="Y71" s="20">
        <v>0</v>
      </c>
      <c r="Z71" s="2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</row>
    <row r="72" spans="1:66" ht="12.75" hidden="1" x14ac:dyDescent="0.2">
      <c r="A72" s="1">
        <v>47011</v>
      </c>
      <c r="B72" s="1" t="s">
        <v>158</v>
      </c>
      <c r="C72" s="1">
        <v>24</v>
      </c>
      <c r="D72" s="1">
        <v>677</v>
      </c>
      <c r="E72" s="1" t="s">
        <v>64</v>
      </c>
      <c r="F72" s="1">
        <v>677</v>
      </c>
      <c r="G72" s="1" t="s">
        <v>84</v>
      </c>
      <c r="H72" s="2">
        <v>21.65</v>
      </c>
      <c r="I72" s="2">
        <v>519.6</v>
      </c>
      <c r="J72" s="14">
        <f t="shared" si="2"/>
        <v>0</v>
      </c>
      <c r="K72" s="15">
        <f t="shared" si="3"/>
        <v>0</v>
      </c>
      <c r="L72" s="1">
        <v>0</v>
      </c>
      <c r="M72" s="1">
        <v>0</v>
      </c>
      <c r="N72" s="17">
        <f t="shared" si="13"/>
        <v>0</v>
      </c>
      <c r="O72" s="1">
        <v>0</v>
      </c>
      <c r="P72" s="1">
        <v>0</v>
      </c>
      <c r="Q72" s="17"/>
      <c r="R72" s="17"/>
      <c r="S72" s="17"/>
      <c r="T72" s="1">
        <v>0</v>
      </c>
      <c r="U72" s="1">
        <v>0</v>
      </c>
      <c r="V72" s="17"/>
      <c r="W72" s="17">
        <f t="shared" si="12"/>
        <v>0</v>
      </c>
      <c r="X72" s="1">
        <v>0</v>
      </c>
      <c r="Y72" s="20">
        <v>0</v>
      </c>
      <c r="Z72" s="2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</row>
    <row r="73" spans="1:66" ht="12.75" hidden="1" x14ac:dyDescent="0.2">
      <c r="A73" s="1">
        <v>47013</v>
      </c>
      <c r="B73" s="1" t="s">
        <v>159</v>
      </c>
      <c r="C73" s="1">
        <v>4</v>
      </c>
      <c r="D73" s="1">
        <v>677</v>
      </c>
      <c r="E73" s="1" t="s">
        <v>64</v>
      </c>
      <c r="F73" s="1">
        <v>61</v>
      </c>
      <c r="G73" s="1" t="s">
        <v>66</v>
      </c>
      <c r="H73" s="2">
        <v>92.19</v>
      </c>
      <c r="I73" s="2">
        <v>368.76</v>
      </c>
      <c r="J73" s="14">
        <f t="shared" si="2"/>
        <v>0</v>
      </c>
      <c r="K73" s="15">
        <f t="shared" si="3"/>
        <v>0</v>
      </c>
      <c r="L73" s="1">
        <v>0</v>
      </c>
      <c r="M73" s="1">
        <v>0</v>
      </c>
      <c r="N73" s="17">
        <f t="shared" si="13"/>
        <v>0</v>
      </c>
      <c r="O73" s="1">
        <v>0</v>
      </c>
      <c r="P73" s="1">
        <v>0</v>
      </c>
      <c r="Q73" s="17"/>
      <c r="R73" s="17"/>
      <c r="S73" s="17"/>
      <c r="T73" s="1">
        <v>0</v>
      </c>
      <c r="U73" s="1">
        <v>0</v>
      </c>
      <c r="V73" s="17"/>
      <c r="W73" s="17">
        <f t="shared" si="12"/>
        <v>0</v>
      </c>
      <c r="X73" s="1">
        <v>0</v>
      </c>
      <c r="Y73" s="20">
        <v>0</v>
      </c>
      <c r="Z73" s="2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</row>
    <row r="74" spans="1:66" ht="12.75" hidden="1" x14ac:dyDescent="0.2">
      <c r="A74" s="1">
        <v>47016</v>
      </c>
      <c r="B74" s="1" t="s">
        <v>160</v>
      </c>
      <c r="C74" s="1">
        <v>12</v>
      </c>
      <c r="D74" s="1">
        <v>677</v>
      </c>
      <c r="E74" s="1" t="s">
        <v>64</v>
      </c>
      <c r="F74" s="1">
        <v>1</v>
      </c>
      <c r="G74" s="1" t="s">
        <v>149</v>
      </c>
      <c r="H74" s="2">
        <v>7.68</v>
      </c>
      <c r="I74" s="2">
        <v>92.16</v>
      </c>
      <c r="J74" s="14">
        <f t="shared" si="2"/>
        <v>0</v>
      </c>
      <c r="K74" s="15">
        <f t="shared" si="3"/>
        <v>0</v>
      </c>
      <c r="L74" s="1">
        <v>0</v>
      </c>
      <c r="M74" s="1">
        <v>0</v>
      </c>
      <c r="N74" s="17">
        <f t="shared" si="13"/>
        <v>0</v>
      </c>
      <c r="O74" s="1">
        <v>0</v>
      </c>
      <c r="P74" s="1">
        <v>0</v>
      </c>
      <c r="Q74" s="17"/>
      <c r="R74" s="17"/>
      <c r="S74" s="17"/>
      <c r="T74" s="1">
        <v>0</v>
      </c>
      <c r="U74" s="1">
        <v>0</v>
      </c>
      <c r="V74" s="17"/>
      <c r="W74" s="17">
        <f t="shared" si="12"/>
        <v>0</v>
      </c>
      <c r="X74" s="1">
        <v>0</v>
      </c>
      <c r="Y74" s="20">
        <v>0</v>
      </c>
      <c r="Z74" s="2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</row>
    <row r="75" spans="1:66" ht="12.75" hidden="1" x14ac:dyDescent="0.2">
      <c r="A75" s="1">
        <v>47017</v>
      </c>
      <c r="B75" s="1" t="s">
        <v>81</v>
      </c>
      <c r="C75" s="1">
        <v>6</v>
      </c>
      <c r="D75" s="1">
        <v>677</v>
      </c>
      <c r="E75" s="1" t="s">
        <v>64</v>
      </c>
      <c r="F75" s="1">
        <v>999</v>
      </c>
      <c r="G75" s="1" t="s">
        <v>67</v>
      </c>
      <c r="H75" s="2">
        <v>51.17</v>
      </c>
      <c r="I75" s="2">
        <v>307.02</v>
      </c>
      <c r="J75" s="14">
        <f t="shared" si="2"/>
        <v>0</v>
      </c>
      <c r="K75" s="15">
        <f t="shared" si="3"/>
        <v>0</v>
      </c>
      <c r="L75" s="1">
        <v>0</v>
      </c>
      <c r="M75" s="1">
        <v>0</v>
      </c>
      <c r="N75" s="17">
        <f t="shared" si="13"/>
        <v>0</v>
      </c>
      <c r="O75" s="1">
        <v>0</v>
      </c>
      <c r="P75" s="1">
        <v>0</v>
      </c>
      <c r="Q75" s="17"/>
      <c r="R75" s="17"/>
      <c r="S75" s="17">
        <f t="shared" ref="S75:S93" si="14">O75-R75</f>
        <v>0</v>
      </c>
      <c r="T75" s="1">
        <v>0</v>
      </c>
      <c r="U75" s="1">
        <v>0</v>
      </c>
      <c r="V75" s="17"/>
      <c r="W75" s="17">
        <f t="shared" si="12"/>
        <v>0</v>
      </c>
      <c r="X75" s="1">
        <v>0</v>
      </c>
      <c r="Y75" s="20">
        <v>0</v>
      </c>
      <c r="Z75" s="2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</row>
    <row r="76" spans="1:66" ht="12.75" hidden="1" x14ac:dyDescent="0.2">
      <c r="A76" s="1">
        <v>47018</v>
      </c>
      <c r="B76" s="1" t="s">
        <v>161</v>
      </c>
      <c r="C76" s="1">
        <v>6</v>
      </c>
      <c r="D76" s="1">
        <v>677</v>
      </c>
      <c r="E76" s="1" t="s">
        <v>64</v>
      </c>
      <c r="F76" s="1">
        <v>61</v>
      </c>
      <c r="G76" s="1" t="s">
        <v>66</v>
      </c>
      <c r="H76" s="2">
        <v>77.28</v>
      </c>
      <c r="I76" s="2">
        <v>463.68</v>
      </c>
      <c r="J76" s="14">
        <f t="shared" si="2"/>
        <v>0</v>
      </c>
      <c r="K76" s="15">
        <f t="shared" si="3"/>
        <v>0</v>
      </c>
      <c r="L76" s="1">
        <v>0</v>
      </c>
      <c r="M76" s="1">
        <v>0</v>
      </c>
      <c r="N76" s="17">
        <f t="shared" si="13"/>
        <v>0</v>
      </c>
      <c r="O76" s="1">
        <v>0</v>
      </c>
      <c r="P76" s="1">
        <v>0</v>
      </c>
      <c r="Q76" s="17"/>
      <c r="R76" s="17"/>
      <c r="S76" s="17">
        <f t="shared" si="14"/>
        <v>0</v>
      </c>
      <c r="T76" s="1">
        <v>0</v>
      </c>
      <c r="U76" s="1">
        <v>0</v>
      </c>
      <c r="V76" s="17"/>
      <c r="W76" s="17">
        <f t="shared" si="12"/>
        <v>0</v>
      </c>
      <c r="X76" s="1">
        <v>0</v>
      </c>
      <c r="Y76" s="20">
        <v>0</v>
      </c>
      <c r="Z76" s="2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</row>
    <row r="77" spans="1:66" ht="12.75" hidden="1" x14ac:dyDescent="0.2">
      <c r="A77" s="1">
        <v>47021</v>
      </c>
      <c r="B77" s="1" t="s">
        <v>81</v>
      </c>
      <c r="C77" s="1">
        <v>10</v>
      </c>
      <c r="D77" s="1">
        <v>677</v>
      </c>
      <c r="E77" s="1" t="s">
        <v>64</v>
      </c>
      <c r="F77" s="1">
        <v>999</v>
      </c>
      <c r="G77" s="1" t="s">
        <v>67</v>
      </c>
      <c r="H77" s="2">
        <v>34.318800000000003</v>
      </c>
      <c r="I77" s="2">
        <v>343.18799999999999</v>
      </c>
      <c r="J77" s="14">
        <f t="shared" si="2"/>
        <v>0</v>
      </c>
      <c r="K77" s="15">
        <f t="shared" si="3"/>
        <v>0</v>
      </c>
      <c r="L77" s="1">
        <v>0</v>
      </c>
      <c r="M77" s="1">
        <v>0</v>
      </c>
      <c r="N77" s="17">
        <f t="shared" si="13"/>
        <v>0</v>
      </c>
      <c r="O77" s="1">
        <v>0</v>
      </c>
      <c r="P77" s="1">
        <v>0</v>
      </c>
      <c r="Q77" s="17"/>
      <c r="R77" s="17"/>
      <c r="S77" s="17">
        <f t="shared" si="14"/>
        <v>0</v>
      </c>
      <c r="T77" s="1">
        <v>0</v>
      </c>
      <c r="U77" s="1">
        <v>0</v>
      </c>
      <c r="V77" s="17"/>
      <c r="W77" s="17">
        <f t="shared" si="12"/>
        <v>0</v>
      </c>
      <c r="X77" s="1">
        <v>0</v>
      </c>
      <c r="Y77" s="20">
        <v>0</v>
      </c>
      <c r="Z77" s="2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</row>
    <row r="78" spans="1:66" ht="12.75" hidden="1" x14ac:dyDescent="0.2">
      <c r="A78" s="1">
        <v>47022</v>
      </c>
      <c r="B78" s="1" t="s">
        <v>75</v>
      </c>
      <c r="C78" s="1">
        <v>10</v>
      </c>
      <c r="D78" s="1">
        <v>677</v>
      </c>
      <c r="E78" s="1" t="s">
        <v>64</v>
      </c>
      <c r="F78" s="1">
        <v>998</v>
      </c>
      <c r="G78" s="1" t="s">
        <v>73</v>
      </c>
      <c r="H78" s="2">
        <v>127.43</v>
      </c>
      <c r="I78" s="2">
        <v>1274.3</v>
      </c>
      <c r="J78" s="14">
        <f t="shared" si="2"/>
        <v>0</v>
      </c>
      <c r="K78" s="15">
        <f t="shared" si="3"/>
        <v>0</v>
      </c>
      <c r="L78" s="1">
        <v>0</v>
      </c>
      <c r="M78" s="1">
        <v>0</v>
      </c>
      <c r="N78" s="17">
        <f t="shared" si="13"/>
        <v>0</v>
      </c>
      <c r="O78" s="1">
        <v>0</v>
      </c>
      <c r="P78" s="1">
        <v>0</v>
      </c>
      <c r="Q78" s="17"/>
      <c r="R78" s="17"/>
      <c r="S78" s="17">
        <f t="shared" si="14"/>
        <v>0</v>
      </c>
      <c r="T78" s="1">
        <v>0</v>
      </c>
      <c r="U78" s="1">
        <v>0</v>
      </c>
      <c r="V78" s="17"/>
      <c r="W78" s="17">
        <f t="shared" si="12"/>
        <v>0</v>
      </c>
      <c r="X78" s="1">
        <v>0</v>
      </c>
      <c r="Y78" s="20">
        <v>0</v>
      </c>
      <c r="Z78" s="2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</row>
    <row r="79" spans="1:66" ht="12.75" hidden="1" x14ac:dyDescent="0.2">
      <c r="A79" s="1">
        <v>47025</v>
      </c>
      <c r="B79" s="1" t="s">
        <v>162</v>
      </c>
      <c r="C79" s="1">
        <v>24</v>
      </c>
      <c r="D79" s="1">
        <v>677</v>
      </c>
      <c r="E79" s="1" t="s">
        <v>64</v>
      </c>
      <c r="F79" s="1">
        <v>677</v>
      </c>
      <c r="G79" s="1" t="s">
        <v>84</v>
      </c>
      <c r="H79" s="2">
        <v>48.56</v>
      </c>
      <c r="I79" s="2">
        <v>1165.44</v>
      </c>
      <c r="J79" s="14">
        <f t="shared" si="2"/>
        <v>0</v>
      </c>
      <c r="K79" s="15">
        <f t="shared" si="3"/>
        <v>0</v>
      </c>
      <c r="L79" s="1">
        <v>0</v>
      </c>
      <c r="M79" s="1">
        <v>0</v>
      </c>
      <c r="N79" s="17">
        <f t="shared" si="13"/>
        <v>0</v>
      </c>
      <c r="O79" s="1">
        <v>0</v>
      </c>
      <c r="P79" s="1">
        <v>0</v>
      </c>
      <c r="Q79" s="17"/>
      <c r="R79" s="17"/>
      <c r="S79" s="17">
        <f t="shared" si="14"/>
        <v>0</v>
      </c>
      <c r="T79" s="1">
        <v>0</v>
      </c>
      <c r="U79" s="1">
        <v>0</v>
      </c>
      <c r="V79" s="17"/>
      <c r="W79" s="17">
        <f t="shared" si="12"/>
        <v>0</v>
      </c>
      <c r="X79" s="1">
        <v>0</v>
      </c>
      <c r="Y79" s="20">
        <v>0</v>
      </c>
      <c r="Z79" s="2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</row>
    <row r="80" spans="1:66" ht="12.75" hidden="1" x14ac:dyDescent="0.2">
      <c r="A80" s="1">
        <v>47028</v>
      </c>
      <c r="B80" s="1" t="s">
        <v>81</v>
      </c>
      <c r="C80" s="1">
        <v>24</v>
      </c>
      <c r="D80" s="1">
        <v>677</v>
      </c>
      <c r="E80" s="1" t="s">
        <v>64</v>
      </c>
      <c r="F80" s="1">
        <v>999</v>
      </c>
      <c r="G80" s="1" t="s">
        <v>67</v>
      </c>
      <c r="H80" s="2">
        <v>37.9</v>
      </c>
      <c r="I80" s="2">
        <v>909.6</v>
      </c>
      <c r="J80" s="14">
        <f t="shared" si="2"/>
        <v>0</v>
      </c>
      <c r="K80" s="15">
        <f t="shared" si="3"/>
        <v>0</v>
      </c>
      <c r="L80" s="1">
        <v>0</v>
      </c>
      <c r="M80" s="1">
        <v>0</v>
      </c>
      <c r="N80" s="17">
        <f t="shared" si="13"/>
        <v>0</v>
      </c>
      <c r="O80" s="1">
        <v>0</v>
      </c>
      <c r="P80" s="1">
        <v>0</v>
      </c>
      <c r="Q80" s="17"/>
      <c r="R80" s="17"/>
      <c r="S80" s="17">
        <f t="shared" si="14"/>
        <v>0</v>
      </c>
      <c r="T80" s="1">
        <v>0</v>
      </c>
      <c r="U80" s="1">
        <v>0</v>
      </c>
      <c r="V80" s="17"/>
      <c r="W80" s="17">
        <f t="shared" si="12"/>
        <v>0</v>
      </c>
      <c r="X80" s="1">
        <v>0</v>
      </c>
      <c r="Y80" s="20">
        <v>0</v>
      </c>
      <c r="Z80" s="2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</row>
    <row r="81" spans="1:66" ht="12.75" hidden="1" x14ac:dyDescent="0.2">
      <c r="A81" s="1">
        <v>47030</v>
      </c>
      <c r="B81" s="1" t="s">
        <v>163</v>
      </c>
      <c r="C81" s="1">
        <v>12</v>
      </c>
      <c r="D81" s="1">
        <v>677</v>
      </c>
      <c r="E81" s="1" t="s">
        <v>64</v>
      </c>
      <c r="F81" s="1">
        <v>999</v>
      </c>
      <c r="G81" s="1" t="s">
        <v>67</v>
      </c>
      <c r="H81" s="2">
        <v>109.64</v>
      </c>
      <c r="I81" s="2">
        <v>1315.68</v>
      </c>
      <c r="J81" s="14">
        <f t="shared" si="2"/>
        <v>0</v>
      </c>
      <c r="K81" s="15">
        <f t="shared" si="3"/>
        <v>0</v>
      </c>
      <c r="L81" s="1">
        <v>0</v>
      </c>
      <c r="M81" s="1">
        <v>0</v>
      </c>
      <c r="N81" s="17">
        <f t="shared" si="13"/>
        <v>0</v>
      </c>
      <c r="O81" s="1">
        <v>0</v>
      </c>
      <c r="P81" s="1">
        <v>0</v>
      </c>
      <c r="Q81" s="17"/>
      <c r="R81" s="17"/>
      <c r="S81" s="17">
        <f t="shared" si="14"/>
        <v>0</v>
      </c>
      <c r="T81" s="1">
        <v>0</v>
      </c>
      <c r="U81" s="1">
        <v>0</v>
      </c>
      <c r="V81" s="17"/>
      <c r="W81" s="17">
        <f t="shared" si="12"/>
        <v>0</v>
      </c>
      <c r="X81" s="1">
        <v>0</v>
      </c>
      <c r="Y81" s="20">
        <v>0</v>
      </c>
      <c r="Z81" s="2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</row>
    <row r="82" spans="1:66" ht="12.75" hidden="1" x14ac:dyDescent="0.2">
      <c r="A82" s="1">
        <v>47031</v>
      </c>
      <c r="B82" s="1" t="s">
        <v>164</v>
      </c>
      <c r="C82" s="1">
        <v>4</v>
      </c>
      <c r="D82" s="1">
        <v>677</v>
      </c>
      <c r="E82" s="1" t="s">
        <v>64</v>
      </c>
      <c r="F82" s="1">
        <v>61</v>
      </c>
      <c r="G82" s="1" t="s">
        <v>66</v>
      </c>
      <c r="H82" s="2">
        <v>92.19</v>
      </c>
      <c r="I82" s="2">
        <v>368.76</v>
      </c>
      <c r="J82" s="14">
        <f t="shared" si="2"/>
        <v>0</v>
      </c>
      <c r="K82" s="15">
        <f t="shared" si="3"/>
        <v>0</v>
      </c>
      <c r="L82" s="1">
        <v>0</v>
      </c>
      <c r="M82" s="1">
        <v>0</v>
      </c>
      <c r="N82" s="17">
        <f t="shared" si="13"/>
        <v>0</v>
      </c>
      <c r="O82" s="1">
        <v>0</v>
      </c>
      <c r="P82" s="1">
        <v>0</v>
      </c>
      <c r="Q82" s="17"/>
      <c r="R82" s="17"/>
      <c r="S82" s="17">
        <f t="shared" si="14"/>
        <v>0</v>
      </c>
      <c r="T82" s="1">
        <v>0</v>
      </c>
      <c r="U82" s="1">
        <v>0</v>
      </c>
      <c r="V82" s="17"/>
      <c r="W82" s="17">
        <f t="shared" si="12"/>
        <v>0</v>
      </c>
      <c r="X82" s="1">
        <v>0</v>
      </c>
      <c r="Y82" s="20">
        <v>0</v>
      </c>
      <c r="Z82" s="2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</row>
    <row r="83" spans="1:66" ht="12.75" hidden="1" x14ac:dyDescent="0.2">
      <c r="A83" s="1">
        <v>47032</v>
      </c>
      <c r="B83" s="1" t="s">
        <v>81</v>
      </c>
      <c r="C83" s="1">
        <v>12</v>
      </c>
      <c r="D83" s="1">
        <v>677</v>
      </c>
      <c r="E83" s="1" t="s">
        <v>64</v>
      </c>
      <c r="F83" s="1">
        <v>999</v>
      </c>
      <c r="G83" s="1" t="s">
        <v>67</v>
      </c>
      <c r="H83" s="2">
        <v>22.49</v>
      </c>
      <c r="I83" s="2">
        <v>269.88</v>
      </c>
      <c r="J83" s="14">
        <f t="shared" si="2"/>
        <v>0</v>
      </c>
      <c r="K83" s="15">
        <f t="shared" si="3"/>
        <v>0</v>
      </c>
      <c r="L83" s="1">
        <v>0</v>
      </c>
      <c r="M83" s="1">
        <v>0</v>
      </c>
      <c r="N83" s="17">
        <f t="shared" si="13"/>
        <v>0</v>
      </c>
      <c r="O83" s="1">
        <v>0</v>
      </c>
      <c r="P83" s="1">
        <v>0</v>
      </c>
      <c r="Q83" s="17"/>
      <c r="R83" s="17"/>
      <c r="S83" s="17">
        <f t="shared" si="14"/>
        <v>0</v>
      </c>
      <c r="T83" s="1">
        <v>0</v>
      </c>
      <c r="U83" s="1">
        <v>0</v>
      </c>
      <c r="V83" s="17"/>
      <c r="W83" s="17">
        <f t="shared" si="12"/>
        <v>0</v>
      </c>
      <c r="X83" s="1">
        <v>0</v>
      </c>
      <c r="Y83" s="20">
        <v>0</v>
      </c>
      <c r="Z83" s="2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</row>
    <row r="84" spans="1:66" ht="12.75" hidden="1" x14ac:dyDescent="0.2">
      <c r="A84" s="1">
        <v>47034</v>
      </c>
      <c r="B84" s="1" t="s">
        <v>81</v>
      </c>
      <c r="C84" s="1">
        <v>12</v>
      </c>
      <c r="D84" s="1">
        <v>677</v>
      </c>
      <c r="E84" s="1" t="s">
        <v>64</v>
      </c>
      <c r="F84" s="1">
        <v>999</v>
      </c>
      <c r="G84" s="1" t="s">
        <v>67</v>
      </c>
      <c r="H84" s="2">
        <v>25.038699999999999</v>
      </c>
      <c r="I84" s="2">
        <v>300.46440000000001</v>
      </c>
      <c r="J84" s="14">
        <f t="shared" si="2"/>
        <v>0</v>
      </c>
      <c r="K84" s="15">
        <f t="shared" si="3"/>
        <v>0</v>
      </c>
      <c r="L84" s="1">
        <v>0</v>
      </c>
      <c r="M84" s="1">
        <v>0</v>
      </c>
      <c r="N84" s="17">
        <f t="shared" si="13"/>
        <v>0</v>
      </c>
      <c r="O84" s="1">
        <v>0</v>
      </c>
      <c r="P84" s="1">
        <v>0</v>
      </c>
      <c r="Q84" s="17"/>
      <c r="R84" s="17"/>
      <c r="S84" s="17">
        <f t="shared" si="14"/>
        <v>0</v>
      </c>
      <c r="T84" s="1">
        <v>0</v>
      </c>
      <c r="U84" s="1">
        <v>0</v>
      </c>
      <c r="V84" s="17"/>
      <c r="W84" s="17">
        <f t="shared" si="12"/>
        <v>0</v>
      </c>
      <c r="X84" s="1">
        <v>0</v>
      </c>
      <c r="Y84" s="20">
        <v>0</v>
      </c>
      <c r="Z84" s="2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</row>
    <row r="85" spans="1:66" ht="12.75" hidden="1" x14ac:dyDescent="0.2">
      <c r="A85" s="1">
        <v>47037</v>
      </c>
      <c r="B85" s="1" t="s">
        <v>81</v>
      </c>
      <c r="C85" s="1">
        <v>24</v>
      </c>
      <c r="D85" s="1">
        <v>677</v>
      </c>
      <c r="E85" s="1" t="s">
        <v>64</v>
      </c>
      <c r="F85" s="1">
        <v>999</v>
      </c>
      <c r="G85" s="1" t="s">
        <v>67</v>
      </c>
      <c r="H85" s="2">
        <v>20.088100000000001</v>
      </c>
      <c r="I85" s="2">
        <v>482.11439999999999</v>
      </c>
      <c r="J85" s="14">
        <f t="shared" si="2"/>
        <v>0</v>
      </c>
      <c r="K85" s="15">
        <f t="shared" si="3"/>
        <v>0</v>
      </c>
      <c r="L85" s="1">
        <v>0</v>
      </c>
      <c r="M85" s="1">
        <v>0</v>
      </c>
      <c r="N85" s="17">
        <f t="shared" si="13"/>
        <v>0</v>
      </c>
      <c r="O85" s="1">
        <v>0</v>
      </c>
      <c r="P85" s="1">
        <v>0</v>
      </c>
      <c r="Q85" s="17"/>
      <c r="R85" s="17"/>
      <c r="S85" s="17">
        <f t="shared" si="14"/>
        <v>0</v>
      </c>
      <c r="T85" s="1">
        <v>0</v>
      </c>
      <c r="U85" s="1">
        <v>0</v>
      </c>
      <c r="V85" s="17"/>
      <c r="W85" s="17">
        <f t="shared" si="12"/>
        <v>0</v>
      </c>
      <c r="X85" s="1">
        <v>0</v>
      </c>
      <c r="Y85" s="20">
        <v>0</v>
      </c>
      <c r="Z85" s="2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</row>
    <row r="86" spans="1:66" ht="12.75" hidden="1" x14ac:dyDescent="0.2">
      <c r="A86" s="1">
        <v>47044</v>
      </c>
      <c r="B86" s="1" t="s">
        <v>81</v>
      </c>
      <c r="C86" s="1">
        <v>12</v>
      </c>
      <c r="D86" s="1">
        <v>677</v>
      </c>
      <c r="E86" s="1" t="s">
        <v>64</v>
      </c>
      <c r="F86" s="1">
        <v>999</v>
      </c>
      <c r="G86" s="1" t="s">
        <v>67</v>
      </c>
      <c r="H86" s="2">
        <v>18.04</v>
      </c>
      <c r="I86" s="2">
        <v>216.48</v>
      </c>
      <c r="J86" s="14">
        <f t="shared" si="2"/>
        <v>0</v>
      </c>
      <c r="K86" s="15">
        <f t="shared" si="3"/>
        <v>0</v>
      </c>
      <c r="L86" s="1">
        <v>0</v>
      </c>
      <c r="M86" s="1">
        <v>0</v>
      </c>
      <c r="N86" s="17">
        <f t="shared" si="13"/>
        <v>0</v>
      </c>
      <c r="O86" s="1">
        <v>0</v>
      </c>
      <c r="P86" s="1">
        <v>0</v>
      </c>
      <c r="Q86" s="17"/>
      <c r="R86" s="17"/>
      <c r="S86" s="17">
        <f t="shared" si="14"/>
        <v>0</v>
      </c>
      <c r="T86" s="1">
        <v>0</v>
      </c>
      <c r="U86" s="1">
        <v>0</v>
      </c>
      <c r="V86" s="17"/>
      <c r="W86" s="17">
        <f t="shared" si="12"/>
        <v>0</v>
      </c>
      <c r="X86" s="1">
        <v>0</v>
      </c>
      <c r="Y86" s="20">
        <v>0</v>
      </c>
      <c r="Z86" s="2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</row>
    <row r="87" spans="1:66" ht="12.75" hidden="1" x14ac:dyDescent="0.2">
      <c r="A87" s="1">
        <v>47047</v>
      </c>
      <c r="B87" s="1">
        <v>47047</v>
      </c>
      <c r="C87" s="1">
        <v>15</v>
      </c>
      <c r="D87" s="1">
        <v>677</v>
      </c>
      <c r="E87" s="1" t="s">
        <v>64</v>
      </c>
      <c r="F87" s="1">
        <v>999</v>
      </c>
      <c r="G87" s="1" t="s">
        <v>67</v>
      </c>
      <c r="H87" s="2">
        <v>20.947700000000001</v>
      </c>
      <c r="I87" s="2">
        <v>314.21550000000002</v>
      </c>
      <c r="J87" s="14">
        <f t="shared" si="2"/>
        <v>0</v>
      </c>
      <c r="K87" s="15">
        <f t="shared" si="3"/>
        <v>0</v>
      </c>
      <c r="L87" s="1">
        <v>0</v>
      </c>
      <c r="M87" s="1">
        <v>0</v>
      </c>
      <c r="N87" s="17">
        <f t="shared" si="13"/>
        <v>0</v>
      </c>
      <c r="O87" s="1">
        <v>0</v>
      </c>
      <c r="P87" s="1">
        <v>0</v>
      </c>
      <c r="Q87" s="17"/>
      <c r="R87" s="17"/>
      <c r="S87" s="17">
        <f t="shared" si="14"/>
        <v>0</v>
      </c>
      <c r="T87" s="1">
        <v>0</v>
      </c>
      <c r="U87" s="1">
        <v>0</v>
      </c>
      <c r="V87" s="17"/>
      <c r="W87" s="17">
        <f t="shared" si="12"/>
        <v>0</v>
      </c>
      <c r="X87" s="1">
        <v>0</v>
      </c>
      <c r="Y87" s="20">
        <v>0</v>
      </c>
      <c r="Z87" s="2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</row>
    <row r="88" spans="1:66" ht="12.75" x14ac:dyDescent="0.2">
      <c r="A88" s="1">
        <v>47048</v>
      </c>
      <c r="B88" s="1" t="s">
        <v>166</v>
      </c>
      <c r="C88" s="1">
        <v>4</v>
      </c>
      <c r="D88" s="1">
        <v>677</v>
      </c>
      <c r="E88" s="1" t="s">
        <v>64</v>
      </c>
      <c r="F88" s="1">
        <v>677</v>
      </c>
      <c r="G88" s="1" t="s">
        <v>84</v>
      </c>
      <c r="H88" s="2">
        <v>119.16</v>
      </c>
      <c r="I88" s="2">
        <v>476.64</v>
      </c>
      <c r="J88" s="14">
        <f t="shared" si="2"/>
        <v>0</v>
      </c>
      <c r="K88" s="15">
        <f t="shared" si="3"/>
        <v>0</v>
      </c>
      <c r="L88" s="1">
        <v>0</v>
      </c>
      <c r="M88" s="1">
        <v>0</v>
      </c>
      <c r="N88" s="17">
        <f t="shared" si="13"/>
        <v>0</v>
      </c>
      <c r="O88" s="1">
        <v>0</v>
      </c>
      <c r="P88" s="1">
        <v>0</v>
      </c>
      <c r="Q88" s="17"/>
      <c r="R88" s="17"/>
      <c r="S88" s="17">
        <f t="shared" si="14"/>
        <v>0</v>
      </c>
      <c r="T88" s="1">
        <v>0</v>
      </c>
      <c r="U88" s="1">
        <v>0</v>
      </c>
      <c r="V88" s="17"/>
      <c r="W88" s="17">
        <f t="shared" si="12"/>
        <v>0</v>
      </c>
      <c r="X88" s="1">
        <v>0</v>
      </c>
      <c r="Y88" s="20">
        <v>0</v>
      </c>
      <c r="Z88" s="2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</row>
    <row r="89" spans="1:66" ht="12.75" x14ac:dyDescent="0.2">
      <c r="A89" s="1">
        <v>47049</v>
      </c>
      <c r="B89" s="1" t="s">
        <v>165</v>
      </c>
      <c r="C89" s="1">
        <v>12</v>
      </c>
      <c r="D89" s="1">
        <v>677</v>
      </c>
      <c r="E89" s="1" t="s">
        <v>64</v>
      </c>
      <c r="F89" s="1">
        <v>999</v>
      </c>
      <c r="G89" s="1" t="s">
        <v>67</v>
      </c>
      <c r="H89" s="2">
        <v>34.17</v>
      </c>
      <c r="I89" s="2">
        <v>410.04</v>
      </c>
      <c r="J89" s="14">
        <f t="shared" si="2"/>
        <v>0</v>
      </c>
      <c r="K89" s="15">
        <f t="shared" si="3"/>
        <v>0</v>
      </c>
      <c r="L89" s="1">
        <v>0</v>
      </c>
      <c r="M89" s="1">
        <v>0</v>
      </c>
      <c r="N89" s="17">
        <f t="shared" si="13"/>
        <v>0</v>
      </c>
      <c r="O89" s="1">
        <v>0</v>
      </c>
      <c r="P89" s="1">
        <v>0</v>
      </c>
      <c r="Q89" s="17"/>
      <c r="R89" s="17"/>
      <c r="S89" s="17">
        <f t="shared" si="14"/>
        <v>0</v>
      </c>
      <c r="T89" s="1">
        <v>0</v>
      </c>
      <c r="U89" s="1">
        <v>0</v>
      </c>
      <c r="V89" s="17"/>
      <c r="W89" s="17">
        <f t="shared" si="12"/>
        <v>0</v>
      </c>
      <c r="X89" s="1">
        <v>0</v>
      </c>
      <c r="Y89" s="20">
        <v>0</v>
      </c>
      <c r="Z89" s="2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</row>
    <row r="90" spans="1:66" ht="12.75" x14ac:dyDescent="0.2">
      <c r="A90" s="1">
        <v>47050</v>
      </c>
      <c r="B90" s="1" t="s">
        <v>81</v>
      </c>
      <c r="C90" s="1">
        <v>24</v>
      </c>
      <c r="D90" s="1">
        <v>677</v>
      </c>
      <c r="E90" s="1" t="s">
        <v>64</v>
      </c>
      <c r="F90" s="1">
        <v>999</v>
      </c>
      <c r="G90" s="1" t="s">
        <v>67</v>
      </c>
      <c r="H90" s="2">
        <v>16.470099999999999</v>
      </c>
      <c r="I90" s="2">
        <v>395.2824</v>
      </c>
      <c r="J90" s="14">
        <f t="shared" si="2"/>
        <v>0</v>
      </c>
      <c r="K90" s="15">
        <f t="shared" si="3"/>
        <v>0</v>
      </c>
      <c r="L90" s="1">
        <v>0</v>
      </c>
      <c r="M90" s="1">
        <v>0</v>
      </c>
      <c r="N90" s="17">
        <f t="shared" si="13"/>
        <v>0</v>
      </c>
      <c r="O90" s="1">
        <v>0</v>
      </c>
      <c r="P90" s="1">
        <v>0</v>
      </c>
      <c r="Q90" s="17"/>
      <c r="R90" s="17"/>
      <c r="S90" s="17">
        <f t="shared" si="14"/>
        <v>0</v>
      </c>
      <c r="T90" s="1">
        <v>0</v>
      </c>
      <c r="U90" s="1">
        <v>0</v>
      </c>
      <c r="V90" s="17"/>
      <c r="W90" s="17">
        <f t="shared" si="12"/>
        <v>0</v>
      </c>
      <c r="X90" s="1">
        <v>0</v>
      </c>
      <c r="Y90" s="20">
        <v>0</v>
      </c>
      <c r="Z90" s="2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</row>
    <row r="91" spans="1:66" ht="12.75" x14ac:dyDescent="0.2">
      <c r="A91" s="1">
        <v>47125</v>
      </c>
      <c r="B91" s="1" t="s">
        <v>81</v>
      </c>
      <c r="C91" s="1">
        <v>15</v>
      </c>
      <c r="D91" s="1">
        <v>677</v>
      </c>
      <c r="E91" s="1" t="s">
        <v>64</v>
      </c>
      <c r="F91" s="1">
        <v>999</v>
      </c>
      <c r="G91" s="1" t="s">
        <v>67</v>
      </c>
      <c r="H91" s="2">
        <v>37.9</v>
      </c>
      <c r="I91" s="2">
        <v>568.5</v>
      </c>
      <c r="J91" s="14">
        <f t="shared" si="2"/>
        <v>0</v>
      </c>
      <c r="K91" s="15">
        <f t="shared" si="3"/>
        <v>0</v>
      </c>
      <c r="L91" s="1">
        <v>0</v>
      </c>
      <c r="M91" s="1">
        <v>0</v>
      </c>
      <c r="N91" s="17">
        <f t="shared" si="13"/>
        <v>0</v>
      </c>
      <c r="O91" s="1">
        <v>0</v>
      </c>
      <c r="P91" s="1">
        <v>0</v>
      </c>
      <c r="Q91" s="17"/>
      <c r="R91" s="17"/>
      <c r="S91" s="17">
        <f t="shared" si="14"/>
        <v>0</v>
      </c>
      <c r="T91" s="1">
        <v>0</v>
      </c>
      <c r="U91" s="1">
        <v>0</v>
      </c>
      <c r="V91" s="17"/>
      <c r="W91" s="17">
        <f t="shared" si="12"/>
        <v>0</v>
      </c>
      <c r="X91" s="1">
        <v>0</v>
      </c>
      <c r="Y91" s="20">
        <v>0</v>
      </c>
      <c r="Z91" s="2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</row>
    <row r="92" spans="1:66" ht="12.75" x14ac:dyDescent="0.2">
      <c r="A92" s="1">
        <v>48083</v>
      </c>
      <c r="B92" s="1" t="s">
        <v>142</v>
      </c>
      <c r="C92" s="1">
        <v>12</v>
      </c>
      <c r="D92" s="1">
        <v>677</v>
      </c>
      <c r="E92" s="1" t="s">
        <v>64</v>
      </c>
      <c r="F92" s="1">
        <v>690</v>
      </c>
      <c r="G92" s="1" t="s">
        <v>101</v>
      </c>
      <c r="H92" s="2">
        <v>54.916699999999999</v>
      </c>
      <c r="I92" s="2">
        <v>659.00040000000001</v>
      </c>
      <c r="J92" s="14">
        <f t="shared" si="2"/>
        <v>0</v>
      </c>
      <c r="K92" s="15">
        <f t="shared" si="3"/>
        <v>0</v>
      </c>
      <c r="L92" s="1">
        <v>0</v>
      </c>
      <c r="M92" s="1">
        <v>0</v>
      </c>
      <c r="N92" s="17">
        <f t="shared" si="13"/>
        <v>0</v>
      </c>
      <c r="O92" s="1">
        <v>0</v>
      </c>
      <c r="P92" s="1">
        <v>0</v>
      </c>
      <c r="Q92" s="17"/>
      <c r="R92" s="17"/>
      <c r="S92" s="17">
        <f t="shared" si="14"/>
        <v>0</v>
      </c>
      <c r="T92" s="1">
        <v>0</v>
      </c>
      <c r="U92" s="1">
        <v>0</v>
      </c>
      <c r="V92" s="17"/>
      <c r="W92" s="17">
        <f t="shared" si="12"/>
        <v>0</v>
      </c>
      <c r="X92" s="1">
        <v>0</v>
      </c>
      <c r="Y92" s="20">
        <v>0</v>
      </c>
      <c r="Z92" s="2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</row>
    <row r="93" spans="1:66" ht="12.75" x14ac:dyDescent="0.2">
      <c r="H93" s="26"/>
      <c r="I93" s="26"/>
      <c r="J93" s="26"/>
      <c r="S93" s="17">
        <f t="shared" si="14"/>
        <v>0</v>
      </c>
      <c r="Y93" s="26"/>
      <c r="Z93" s="26"/>
    </row>
    <row r="94" spans="1:66" ht="12.75" x14ac:dyDescent="0.2">
      <c r="B94" s="1" t="s">
        <v>176</v>
      </c>
      <c r="H94" s="26"/>
      <c r="I94" s="26"/>
      <c r="J94" s="26"/>
      <c r="Y94" s="26"/>
      <c r="Z94" s="26"/>
    </row>
    <row r="95" spans="1:66" ht="12.75" x14ac:dyDescent="0.2">
      <c r="B95" s="1" t="s">
        <v>177</v>
      </c>
      <c r="H95" s="26"/>
      <c r="I95" s="26"/>
      <c r="J95" s="26"/>
      <c r="Y95" s="26"/>
      <c r="Z95" s="26"/>
    </row>
    <row r="96" spans="1:66" ht="12.75" x14ac:dyDescent="0.2">
      <c r="B96" s="1" t="s">
        <v>178</v>
      </c>
      <c r="H96" s="26"/>
      <c r="I96" s="26"/>
      <c r="J96" s="26"/>
      <c r="Y96" s="26"/>
      <c r="Z96" s="26"/>
    </row>
    <row r="97" spans="2:26" ht="12.75" x14ac:dyDescent="0.2">
      <c r="B97" s="1" t="s">
        <v>179</v>
      </c>
      <c r="H97" s="26"/>
      <c r="I97" s="26"/>
      <c r="J97" s="26"/>
      <c r="Y97" s="26"/>
      <c r="Z97" s="26"/>
    </row>
    <row r="98" spans="2:26" ht="12.75" x14ac:dyDescent="0.2">
      <c r="B98" s="1" t="s">
        <v>180</v>
      </c>
      <c r="H98" s="26"/>
      <c r="I98" s="26"/>
      <c r="J98" s="26"/>
      <c r="Y98" s="26"/>
      <c r="Z98" s="26"/>
    </row>
    <row r="99" spans="2:26" ht="12.75" x14ac:dyDescent="0.2">
      <c r="H99" s="26"/>
      <c r="I99" s="26"/>
      <c r="J99" s="26"/>
      <c r="Y99" s="26"/>
      <c r="Z99" s="26"/>
    </row>
    <row r="100" spans="2:26" ht="12.75" x14ac:dyDescent="0.2">
      <c r="H100" s="26"/>
      <c r="I100" s="26"/>
      <c r="J100" s="26"/>
      <c r="Y100" s="26"/>
      <c r="Z100" s="26"/>
    </row>
    <row r="101" spans="2:26" ht="12.75" x14ac:dyDescent="0.2">
      <c r="H101" s="26"/>
      <c r="I101" s="26"/>
      <c r="J101" s="26"/>
      <c r="Y101" s="26"/>
      <c r="Z101" s="26"/>
    </row>
    <row r="102" spans="2:26" ht="12.75" x14ac:dyDescent="0.2">
      <c r="H102" s="26"/>
      <c r="I102" s="26"/>
      <c r="J102" s="26"/>
      <c r="Y102" s="26"/>
      <c r="Z102" s="26"/>
    </row>
    <row r="103" spans="2:26" ht="12.75" x14ac:dyDescent="0.2">
      <c r="H103" s="26"/>
      <c r="I103" s="26"/>
      <c r="J103" s="26"/>
      <c r="Y103" s="26"/>
      <c r="Z103" s="26"/>
    </row>
    <row r="104" spans="2:26" ht="12.75" x14ac:dyDescent="0.2">
      <c r="H104" s="26"/>
      <c r="I104" s="26"/>
      <c r="J104" s="26"/>
      <c r="Y104" s="26"/>
      <c r="Z104" s="26"/>
    </row>
    <row r="105" spans="2:26" ht="12.75" x14ac:dyDescent="0.2">
      <c r="H105" s="26"/>
      <c r="I105" s="26"/>
      <c r="J105" s="26"/>
      <c r="Y105" s="26"/>
      <c r="Z105" s="26"/>
    </row>
    <row r="106" spans="2:26" ht="12.75" x14ac:dyDescent="0.2">
      <c r="H106" s="26"/>
      <c r="I106" s="26"/>
      <c r="J106" s="26"/>
      <c r="Y106" s="26"/>
      <c r="Z106" s="26"/>
    </row>
    <row r="107" spans="2:26" ht="12.75" x14ac:dyDescent="0.2">
      <c r="H107" s="26"/>
      <c r="I107" s="26"/>
      <c r="J107" s="26"/>
      <c r="Y107" s="26"/>
      <c r="Z107" s="26"/>
    </row>
    <row r="108" spans="2:26" ht="12.75" x14ac:dyDescent="0.2">
      <c r="H108" s="26"/>
      <c r="I108" s="26"/>
      <c r="J108" s="26"/>
      <c r="Y108" s="26"/>
      <c r="Z108" s="26"/>
    </row>
    <row r="109" spans="2:26" ht="12.75" x14ac:dyDescent="0.2">
      <c r="H109" s="26"/>
      <c r="I109" s="26"/>
      <c r="J109" s="26"/>
      <c r="Y109" s="26"/>
      <c r="Z109" s="26"/>
    </row>
    <row r="110" spans="2:26" ht="12.75" x14ac:dyDescent="0.2">
      <c r="H110" s="26"/>
      <c r="I110" s="26"/>
      <c r="J110" s="26"/>
      <c r="Y110" s="26"/>
      <c r="Z110" s="26"/>
    </row>
    <row r="111" spans="2:26" ht="12.75" x14ac:dyDescent="0.2">
      <c r="H111" s="26"/>
      <c r="I111" s="26"/>
      <c r="J111" s="26"/>
      <c r="Y111" s="26"/>
      <c r="Z111" s="26"/>
    </row>
    <row r="112" spans="2:26" ht="12.75" x14ac:dyDescent="0.2">
      <c r="H112" s="26"/>
      <c r="I112" s="26"/>
      <c r="J112" s="26"/>
      <c r="Y112" s="26"/>
      <c r="Z112" s="26"/>
    </row>
    <row r="113" spans="8:26" ht="12.75" x14ac:dyDescent="0.2">
      <c r="H113" s="26"/>
      <c r="I113" s="26"/>
      <c r="J113" s="26"/>
      <c r="Y113" s="26"/>
      <c r="Z113" s="26"/>
    </row>
    <row r="114" spans="8:26" ht="12.75" x14ac:dyDescent="0.2">
      <c r="H114" s="26"/>
      <c r="I114" s="26"/>
      <c r="J114" s="26"/>
      <c r="Y114" s="26"/>
      <c r="Z114" s="26"/>
    </row>
    <row r="115" spans="8:26" ht="12.75" x14ac:dyDescent="0.2">
      <c r="H115" s="26"/>
      <c r="I115" s="26"/>
      <c r="J115" s="26"/>
      <c r="Y115" s="26"/>
      <c r="Z115" s="26"/>
    </row>
    <row r="116" spans="8:26" ht="12.75" x14ac:dyDescent="0.2">
      <c r="H116" s="26"/>
      <c r="I116" s="26"/>
      <c r="J116" s="26"/>
      <c r="Y116" s="26"/>
      <c r="Z116" s="26"/>
    </row>
    <row r="117" spans="8:26" ht="12.75" x14ac:dyDescent="0.2">
      <c r="H117" s="26"/>
      <c r="I117" s="26"/>
      <c r="J117" s="26"/>
      <c r="Y117" s="26"/>
      <c r="Z117" s="26"/>
    </row>
    <row r="118" spans="8:26" ht="12.75" x14ac:dyDescent="0.2">
      <c r="H118" s="26"/>
      <c r="I118" s="26"/>
      <c r="J118" s="26"/>
      <c r="Y118" s="26"/>
      <c r="Z118" s="26"/>
    </row>
    <row r="119" spans="8:26" ht="12.75" x14ac:dyDescent="0.2">
      <c r="H119" s="26"/>
      <c r="I119" s="26"/>
      <c r="J119" s="26"/>
      <c r="Y119" s="26"/>
      <c r="Z119" s="26"/>
    </row>
    <row r="120" spans="8:26" ht="12.75" x14ac:dyDescent="0.2">
      <c r="H120" s="26"/>
      <c r="I120" s="26"/>
      <c r="J120" s="26"/>
      <c r="Y120" s="26"/>
      <c r="Z120" s="26"/>
    </row>
    <row r="121" spans="8:26" ht="12.75" x14ac:dyDescent="0.2">
      <c r="H121" s="26"/>
      <c r="I121" s="26"/>
      <c r="J121" s="26"/>
      <c r="Y121" s="26"/>
      <c r="Z121" s="26"/>
    </row>
    <row r="122" spans="8:26" ht="12.75" x14ac:dyDescent="0.2">
      <c r="H122" s="26"/>
      <c r="I122" s="26"/>
      <c r="J122" s="26"/>
      <c r="Y122" s="26"/>
      <c r="Z122" s="26"/>
    </row>
    <row r="123" spans="8:26" ht="12.75" x14ac:dyDescent="0.2">
      <c r="H123" s="26"/>
      <c r="I123" s="26"/>
      <c r="J123" s="26"/>
      <c r="Y123" s="26"/>
      <c r="Z123" s="26"/>
    </row>
    <row r="124" spans="8:26" ht="12.75" x14ac:dyDescent="0.2">
      <c r="H124" s="26"/>
      <c r="I124" s="26"/>
      <c r="J124" s="26"/>
      <c r="Y124" s="26"/>
      <c r="Z124" s="26"/>
    </row>
    <row r="125" spans="8:26" ht="12.75" x14ac:dyDescent="0.2">
      <c r="H125" s="26"/>
      <c r="I125" s="26"/>
      <c r="J125" s="26"/>
      <c r="Y125" s="26"/>
      <c r="Z125" s="26"/>
    </row>
    <row r="126" spans="8:26" ht="12.75" x14ac:dyDescent="0.2">
      <c r="H126" s="26"/>
      <c r="I126" s="26"/>
      <c r="J126" s="26"/>
      <c r="Y126" s="26"/>
      <c r="Z126" s="26"/>
    </row>
    <row r="127" spans="8:26" ht="12.75" x14ac:dyDescent="0.2">
      <c r="H127" s="26"/>
      <c r="I127" s="26"/>
      <c r="J127" s="26"/>
      <c r="Y127" s="26"/>
      <c r="Z127" s="26"/>
    </row>
    <row r="128" spans="8:26" ht="12.75" x14ac:dyDescent="0.2">
      <c r="H128" s="26"/>
      <c r="I128" s="26"/>
      <c r="J128" s="26"/>
      <c r="Y128" s="26"/>
      <c r="Z128" s="26"/>
    </row>
    <row r="129" spans="8:26" ht="12.75" x14ac:dyDescent="0.2">
      <c r="H129" s="26"/>
      <c r="I129" s="26"/>
      <c r="J129" s="26"/>
      <c r="Y129" s="26"/>
      <c r="Z129" s="26"/>
    </row>
    <row r="130" spans="8:26" ht="12.75" x14ac:dyDescent="0.2">
      <c r="H130" s="26"/>
      <c r="I130" s="26"/>
      <c r="J130" s="26"/>
      <c r="Y130" s="26"/>
      <c r="Z130" s="26"/>
    </row>
    <row r="131" spans="8:26" ht="12.75" x14ac:dyDescent="0.2">
      <c r="H131" s="26"/>
      <c r="I131" s="26"/>
      <c r="J131" s="26"/>
      <c r="Y131" s="26"/>
      <c r="Z131" s="26"/>
    </row>
    <row r="132" spans="8:26" ht="12.75" x14ac:dyDescent="0.2">
      <c r="H132" s="26"/>
      <c r="I132" s="26"/>
      <c r="J132" s="26"/>
      <c r="Y132" s="26"/>
      <c r="Z132" s="26"/>
    </row>
    <row r="133" spans="8:26" ht="12.75" x14ac:dyDescent="0.2">
      <c r="H133" s="26"/>
      <c r="I133" s="26"/>
      <c r="J133" s="26"/>
      <c r="Y133" s="26"/>
      <c r="Z133" s="26"/>
    </row>
    <row r="134" spans="8:26" ht="12.75" x14ac:dyDescent="0.2">
      <c r="H134" s="26"/>
      <c r="I134" s="26"/>
      <c r="J134" s="26"/>
      <c r="Y134" s="26"/>
      <c r="Z134" s="26"/>
    </row>
    <row r="135" spans="8:26" ht="12.75" x14ac:dyDescent="0.2">
      <c r="H135" s="26"/>
      <c r="I135" s="26"/>
      <c r="J135" s="26"/>
      <c r="Y135" s="26"/>
      <c r="Z135" s="26"/>
    </row>
    <row r="136" spans="8:26" ht="12.75" x14ac:dyDescent="0.2">
      <c r="H136" s="26"/>
      <c r="I136" s="26"/>
      <c r="J136" s="26"/>
      <c r="Y136" s="26"/>
      <c r="Z136" s="26"/>
    </row>
    <row r="137" spans="8:26" ht="12.75" x14ac:dyDescent="0.2">
      <c r="H137" s="26"/>
      <c r="I137" s="26"/>
      <c r="J137" s="26"/>
      <c r="Y137" s="26"/>
      <c r="Z137" s="26"/>
    </row>
    <row r="138" spans="8:26" ht="12.75" x14ac:dyDescent="0.2">
      <c r="H138" s="26"/>
      <c r="I138" s="26"/>
      <c r="J138" s="26"/>
      <c r="Y138" s="26"/>
      <c r="Z138" s="26"/>
    </row>
    <row r="139" spans="8:26" ht="12.75" x14ac:dyDescent="0.2">
      <c r="H139" s="26"/>
      <c r="I139" s="26"/>
      <c r="J139" s="26"/>
      <c r="Y139" s="26"/>
      <c r="Z139" s="26"/>
    </row>
    <row r="140" spans="8:26" ht="12.75" x14ac:dyDescent="0.2">
      <c r="H140" s="26"/>
      <c r="I140" s="26"/>
      <c r="J140" s="26"/>
      <c r="Y140" s="26"/>
      <c r="Z140" s="26"/>
    </row>
    <row r="141" spans="8:26" ht="12.75" x14ac:dyDescent="0.2">
      <c r="H141" s="26"/>
      <c r="I141" s="26"/>
      <c r="J141" s="26"/>
      <c r="Y141" s="26"/>
      <c r="Z141" s="26"/>
    </row>
    <row r="142" spans="8:26" ht="12.75" x14ac:dyDescent="0.2">
      <c r="H142" s="26"/>
      <c r="I142" s="26"/>
      <c r="J142" s="26"/>
      <c r="Y142" s="26"/>
      <c r="Z142" s="26"/>
    </row>
    <row r="143" spans="8:26" ht="12.75" x14ac:dyDescent="0.2">
      <c r="H143" s="26"/>
      <c r="I143" s="26"/>
      <c r="J143" s="26"/>
      <c r="Y143" s="26"/>
      <c r="Z143" s="26"/>
    </row>
    <row r="144" spans="8:26" ht="12.75" x14ac:dyDescent="0.2">
      <c r="H144" s="26"/>
      <c r="I144" s="26"/>
      <c r="J144" s="26"/>
      <c r="Y144" s="26"/>
      <c r="Z144" s="26"/>
    </row>
    <row r="145" spans="8:26" ht="12.75" x14ac:dyDescent="0.2">
      <c r="H145" s="26"/>
      <c r="I145" s="26"/>
      <c r="J145" s="26"/>
      <c r="Y145" s="26"/>
      <c r="Z145" s="26"/>
    </row>
    <row r="146" spans="8:26" ht="12.75" x14ac:dyDescent="0.2">
      <c r="H146" s="26"/>
      <c r="I146" s="26"/>
      <c r="J146" s="26"/>
      <c r="Y146" s="26"/>
      <c r="Z146" s="26"/>
    </row>
    <row r="147" spans="8:26" ht="12.75" x14ac:dyDescent="0.2">
      <c r="H147" s="26"/>
      <c r="I147" s="26"/>
      <c r="J147" s="26"/>
      <c r="Y147" s="26"/>
      <c r="Z147" s="26"/>
    </row>
    <row r="148" spans="8:26" ht="12.75" x14ac:dyDescent="0.2">
      <c r="H148" s="26"/>
      <c r="I148" s="26"/>
      <c r="J148" s="26"/>
      <c r="Y148" s="26"/>
      <c r="Z148" s="26"/>
    </row>
    <row r="149" spans="8:26" ht="12.75" x14ac:dyDescent="0.2">
      <c r="H149" s="26"/>
      <c r="I149" s="26"/>
      <c r="J149" s="26"/>
      <c r="Y149" s="26"/>
      <c r="Z149" s="26"/>
    </row>
    <row r="150" spans="8:26" ht="12.75" x14ac:dyDescent="0.2">
      <c r="H150" s="26"/>
      <c r="I150" s="26"/>
      <c r="J150" s="26"/>
      <c r="Y150" s="26"/>
      <c r="Z150" s="26"/>
    </row>
    <row r="151" spans="8:26" ht="12.75" x14ac:dyDescent="0.2">
      <c r="H151" s="26"/>
      <c r="I151" s="26"/>
      <c r="J151" s="26"/>
      <c r="Y151" s="26"/>
      <c r="Z151" s="26"/>
    </row>
    <row r="152" spans="8:26" ht="12.75" x14ac:dyDescent="0.2">
      <c r="H152" s="26"/>
      <c r="I152" s="26"/>
      <c r="J152" s="26"/>
      <c r="Y152" s="26"/>
      <c r="Z152" s="26"/>
    </row>
    <row r="153" spans="8:26" ht="12.75" x14ac:dyDescent="0.2">
      <c r="H153" s="26"/>
      <c r="I153" s="26"/>
      <c r="J153" s="26"/>
      <c r="Y153" s="26"/>
      <c r="Z153" s="26"/>
    </row>
    <row r="154" spans="8:26" ht="12.75" x14ac:dyDescent="0.2">
      <c r="H154" s="26"/>
      <c r="I154" s="26"/>
      <c r="J154" s="26"/>
      <c r="Y154" s="26"/>
      <c r="Z154" s="26"/>
    </row>
    <row r="155" spans="8:26" ht="12.75" x14ac:dyDescent="0.2">
      <c r="H155" s="26"/>
      <c r="I155" s="26"/>
      <c r="J155" s="26"/>
      <c r="Y155" s="26"/>
      <c r="Z155" s="26"/>
    </row>
    <row r="156" spans="8:26" ht="12.75" x14ac:dyDescent="0.2">
      <c r="H156" s="26"/>
      <c r="I156" s="26"/>
      <c r="J156" s="26"/>
      <c r="Y156" s="26"/>
      <c r="Z156" s="26"/>
    </row>
    <row r="157" spans="8:26" ht="12.75" x14ac:dyDescent="0.2">
      <c r="H157" s="26"/>
      <c r="I157" s="26"/>
      <c r="J157" s="26"/>
      <c r="Y157" s="26"/>
      <c r="Z157" s="26"/>
    </row>
    <row r="158" spans="8:26" ht="12.75" x14ac:dyDescent="0.2">
      <c r="H158" s="26"/>
      <c r="I158" s="26"/>
      <c r="J158" s="26"/>
      <c r="Y158" s="26"/>
      <c r="Z158" s="26"/>
    </row>
    <row r="159" spans="8:26" ht="12.75" x14ac:dyDescent="0.2">
      <c r="H159" s="26"/>
      <c r="I159" s="26"/>
      <c r="J159" s="26"/>
      <c r="Y159" s="26"/>
      <c r="Z159" s="26"/>
    </row>
    <row r="160" spans="8:26" ht="12.75" x14ac:dyDescent="0.2">
      <c r="H160" s="26"/>
      <c r="I160" s="26"/>
      <c r="J160" s="26"/>
      <c r="Y160" s="26"/>
      <c r="Z160" s="26"/>
    </row>
    <row r="161" spans="8:26" ht="12.75" x14ac:dyDescent="0.2">
      <c r="H161" s="26"/>
      <c r="I161" s="26"/>
      <c r="J161" s="26"/>
      <c r="Y161" s="26"/>
      <c r="Z161" s="26"/>
    </row>
    <row r="162" spans="8:26" ht="12.75" x14ac:dyDescent="0.2">
      <c r="H162" s="26"/>
      <c r="I162" s="26"/>
      <c r="J162" s="26"/>
      <c r="Y162" s="26"/>
      <c r="Z162" s="26"/>
    </row>
    <row r="163" spans="8:26" ht="12.75" x14ac:dyDescent="0.2">
      <c r="H163" s="26"/>
      <c r="I163" s="26"/>
      <c r="J163" s="26"/>
      <c r="Y163" s="26"/>
      <c r="Z163" s="26"/>
    </row>
    <row r="164" spans="8:26" ht="12.75" x14ac:dyDescent="0.2">
      <c r="H164" s="26"/>
      <c r="I164" s="26"/>
      <c r="J164" s="26"/>
      <c r="Y164" s="26"/>
      <c r="Z164" s="26"/>
    </row>
    <row r="165" spans="8:26" ht="12.75" x14ac:dyDescent="0.2">
      <c r="H165" s="26"/>
      <c r="I165" s="26"/>
      <c r="J165" s="26"/>
      <c r="Y165" s="26"/>
      <c r="Z165" s="26"/>
    </row>
    <row r="166" spans="8:26" ht="12.75" x14ac:dyDescent="0.2">
      <c r="H166" s="26"/>
      <c r="I166" s="26"/>
      <c r="J166" s="26"/>
      <c r="Y166" s="26"/>
      <c r="Z166" s="26"/>
    </row>
    <row r="167" spans="8:26" ht="12.75" x14ac:dyDescent="0.2">
      <c r="H167" s="26"/>
      <c r="I167" s="26"/>
      <c r="J167" s="26"/>
      <c r="Y167" s="26"/>
      <c r="Z167" s="26"/>
    </row>
    <row r="168" spans="8:26" ht="12.75" x14ac:dyDescent="0.2">
      <c r="H168" s="26"/>
      <c r="I168" s="26"/>
      <c r="J168" s="26"/>
      <c r="Y168" s="26"/>
      <c r="Z168" s="26"/>
    </row>
    <row r="169" spans="8:26" ht="12.75" x14ac:dyDescent="0.2">
      <c r="H169" s="26"/>
      <c r="I169" s="26"/>
      <c r="J169" s="26"/>
      <c r="Y169" s="26"/>
      <c r="Z169" s="26"/>
    </row>
    <row r="170" spans="8:26" ht="12.75" x14ac:dyDescent="0.2">
      <c r="H170" s="26"/>
      <c r="I170" s="26"/>
      <c r="J170" s="26"/>
      <c r="Y170" s="26"/>
      <c r="Z170" s="26"/>
    </row>
    <row r="171" spans="8:26" ht="12.75" x14ac:dyDescent="0.2">
      <c r="H171" s="26"/>
      <c r="I171" s="26"/>
      <c r="J171" s="26"/>
      <c r="Y171" s="26"/>
      <c r="Z171" s="26"/>
    </row>
    <row r="172" spans="8:26" ht="12.75" x14ac:dyDescent="0.2">
      <c r="H172" s="26"/>
      <c r="I172" s="26"/>
      <c r="J172" s="26"/>
      <c r="Y172" s="26"/>
      <c r="Z172" s="26"/>
    </row>
    <row r="173" spans="8:26" ht="12.75" x14ac:dyDescent="0.2">
      <c r="H173" s="26"/>
      <c r="I173" s="26"/>
      <c r="J173" s="26"/>
      <c r="Y173" s="26"/>
      <c r="Z173" s="26"/>
    </row>
    <row r="174" spans="8:26" ht="12.75" x14ac:dyDescent="0.2">
      <c r="H174" s="26"/>
      <c r="I174" s="26"/>
      <c r="J174" s="26"/>
      <c r="Y174" s="26"/>
      <c r="Z174" s="26"/>
    </row>
    <row r="175" spans="8:26" ht="12.75" x14ac:dyDescent="0.2">
      <c r="H175" s="26"/>
      <c r="I175" s="26"/>
      <c r="J175" s="26"/>
      <c r="Y175" s="26"/>
      <c r="Z175" s="26"/>
    </row>
    <row r="176" spans="8:26" ht="12.75" x14ac:dyDescent="0.2">
      <c r="H176" s="26"/>
      <c r="I176" s="26"/>
      <c r="J176" s="26"/>
      <c r="Y176" s="26"/>
      <c r="Z176" s="26"/>
    </row>
    <row r="177" spans="8:26" ht="12.75" x14ac:dyDescent="0.2">
      <c r="H177" s="26"/>
      <c r="I177" s="26"/>
      <c r="J177" s="26"/>
      <c r="Y177" s="26"/>
      <c r="Z177" s="26"/>
    </row>
    <row r="178" spans="8:26" ht="12.75" x14ac:dyDescent="0.2">
      <c r="H178" s="26"/>
      <c r="I178" s="26"/>
      <c r="J178" s="26"/>
      <c r="Y178" s="26"/>
      <c r="Z178" s="26"/>
    </row>
    <row r="179" spans="8:26" ht="12.75" x14ac:dyDescent="0.2">
      <c r="H179" s="26"/>
      <c r="I179" s="26"/>
      <c r="J179" s="26"/>
      <c r="Y179" s="26"/>
      <c r="Z179" s="26"/>
    </row>
    <row r="180" spans="8:26" ht="12.75" x14ac:dyDescent="0.2">
      <c r="H180" s="26"/>
      <c r="I180" s="26"/>
      <c r="J180" s="26"/>
      <c r="Y180" s="26"/>
      <c r="Z180" s="26"/>
    </row>
    <row r="181" spans="8:26" ht="12.75" x14ac:dyDescent="0.2">
      <c r="H181" s="26"/>
      <c r="I181" s="26"/>
      <c r="J181" s="26"/>
      <c r="Y181" s="26"/>
      <c r="Z181" s="26"/>
    </row>
    <row r="182" spans="8:26" ht="12.75" x14ac:dyDescent="0.2">
      <c r="H182" s="26"/>
      <c r="I182" s="26"/>
      <c r="J182" s="26"/>
      <c r="Y182" s="26"/>
      <c r="Z182" s="26"/>
    </row>
    <row r="183" spans="8:26" ht="12.75" x14ac:dyDescent="0.2">
      <c r="H183" s="26"/>
      <c r="I183" s="26"/>
      <c r="J183" s="26"/>
      <c r="Y183" s="26"/>
      <c r="Z183" s="26"/>
    </row>
    <row r="184" spans="8:26" ht="12.75" x14ac:dyDescent="0.2">
      <c r="H184" s="26"/>
      <c r="I184" s="26"/>
      <c r="J184" s="26"/>
      <c r="Y184" s="26"/>
      <c r="Z184" s="26"/>
    </row>
    <row r="185" spans="8:26" ht="12.75" x14ac:dyDescent="0.2">
      <c r="H185" s="26"/>
      <c r="I185" s="26"/>
      <c r="J185" s="26"/>
      <c r="Y185" s="26"/>
      <c r="Z185" s="26"/>
    </row>
    <row r="186" spans="8:26" ht="12.75" x14ac:dyDescent="0.2">
      <c r="H186" s="26"/>
      <c r="I186" s="26"/>
      <c r="J186" s="26"/>
      <c r="Y186" s="26"/>
      <c r="Z186" s="26"/>
    </row>
    <row r="187" spans="8:26" ht="12.75" x14ac:dyDescent="0.2">
      <c r="H187" s="26"/>
      <c r="I187" s="26"/>
      <c r="J187" s="26"/>
      <c r="Y187" s="26"/>
      <c r="Z187" s="26"/>
    </row>
    <row r="188" spans="8:26" ht="12.75" x14ac:dyDescent="0.2">
      <c r="H188" s="26"/>
      <c r="I188" s="26"/>
      <c r="J188" s="26"/>
      <c r="Y188" s="26"/>
      <c r="Z188" s="26"/>
    </row>
    <row r="189" spans="8:26" ht="12.75" x14ac:dyDescent="0.2">
      <c r="H189" s="26"/>
      <c r="I189" s="26"/>
      <c r="J189" s="26"/>
      <c r="Y189" s="26"/>
      <c r="Z189" s="26"/>
    </row>
    <row r="190" spans="8:26" ht="12.75" x14ac:dyDescent="0.2">
      <c r="H190" s="26"/>
      <c r="I190" s="26"/>
      <c r="J190" s="26"/>
      <c r="Y190" s="26"/>
      <c r="Z190" s="26"/>
    </row>
    <row r="191" spans="8:26" ht="12.75" x14ac:dyDescent="0.2">
      <c r="H191" s="26"/>
      <c r="I191" s="26"/>
      <c r="J191" s="26"/>
      <c r="Y191" s="26"/>
      <c r="Z191" s="26"/>
    </row>
    <row r="192" spans="8:26" ht="12.75" x14ac:dyDescent="0.2">
      <c r="H192" s="26"/>
      <c r="I192" s="26"/>
      <c r="J192" s="26"/>
      <c r="Y192" s="26"/>
      <c r="Z192" s="26"/>
    </row>
    <row r="193" spans="8:26" ht="12.75" x14ac:dyDescent="0.2">
      <c r="H193" s="26"/>
      <c r="I193" s="26"/>
      <c r="J193" s="26"/>
      <c r="Y193" s="26"/>
      <c r="Z193" s="26"/>
    </row>
    <row r="194" spans="8:26" ht="12.75" x14ac:dyDescent="0.2">
      <c r="H194" s="26"/>
      <c r="I194" s="26"/>
      <c r="J194" s="26"/>
      <c r="Y194" s="26"/>
      <c r="Z194" s="26"/>
    </row>
    <row r="195" spans="8:26" ht="12.75" x14ac:dyDescent="0.2">
      <c r="H195" s="26"/>
      <c r="I195" s="26"/>
      <c r="J195" s="26"/>
      <c r="Y195" s="26"/>
      <c r="Z195" s="26"/>
    </row>
    <row r="196" spans="8:26" ht="12.75" x14ac:dyDescent="0.2">
      <c r="H196" s="26"/>
      <c r="I196" s="26"/>
      <c r="J196" s="26"/>
      <c r="Y196" s="26"/>
      <c r="Z196" s="26"/>
    </row>
    <row r="197" spans="8:26" ht="12.75" x14ac:dyDescent="0.2">
      <c r="H197" s="26"/>
      <c r="I197" s="26"/>
      <c r="J197" s="26"/>
      <c r="Y197" s="26"/>
      <c r="Z197" s="26"/>
    </row>
    <row r="198" spans="8:26" ht="12.75" x14ac:dyDescent="0.2">
      <c r="H198" s="26"/>
      <c r="I198" s="26"/>
      <c r="J198" s="26"/>
      <c r="Y198" s="26"/>
      <c r="Z198" s="26"/>
    </row>
    <row r="199" spans="8:26" ht="12.75" x14ac:dyDescent="0.2">
      <c r="H199" s="26"/>
      <c r="I199" s="26"/>
      <c r="J199" s="26"/>
      <c r="Y199" s="26"/>
      <c r="Z199" s="26"/>
    </row>
    <row r="200" spans="8:26" ht="12.75" x14ac:dyDescent="0.2">
      <c r="H200" s="26"/>
      <c r="I200" s="26"/>
      <c r="J200" s="26"/>
      <c r="Y200" s="26"/>
      <c r="Z200" s="26"/>
    </row>
    <row r="201" spans="8:26" ht="12.75" x14ac:dyDescent="0.2">
      <c r="H201" s="26"/>
      <c r="I201" s="26"/>
      <c r="J201" s="26"/>
      <c r="Y201" s="26"/>
      <c r="Z201" s="26"/>
    </row>
    <row r="202" spans="8:26" ht="12.75" x14ac:dyDescent="0.2">
      <c r="H202" s="26"/>
      <c r="I202" s="26"/>
      <c r="J202" s="26"/>
      <c r="Y202" s="26"/>
      <c r="Z202" s="26"/>
    </row>
    <row r="203" spans="8:26" ht="12.75" x14ac:dyDescent="0.2">
      <c r="H203" s="26"/>
      <c r="I203" s="26"/>
      <c r="J203" s="26"/>
      <c r="Y203" s="26"/>
      <c r="Z203" s="26"/>
    </row>
    <row r="204" spans="8:26" ht="12.75" x14ac:dyDescent="0.2">
      <c r="H204" s="26"/>
      <c r="I204" s="26"/>
      <c r="J204" s="26"/>
      <c r="Y204" s="26"/>
      <c r="Z204" s="26"/>
    </row>
    <row r="205" spans="8:26" ht="12.75" x14ac:dyDescent="0.2">
      <c r="H205" s="26"/>
      <c r="I205" s="26"/>
      <c r="J205" s="26"/>
      <c r="Y205" s="26"/>
      <c r="Z205" s="26"/>
    </row>
    <row r="206" spans="8:26" ht="12.75" x14ac:dyDescent="0.2">
      <c r="H206" s="26"/>
      <c r="I206" s="26"/>
      <c r="J206" s="26"/>
      <c r="Y206" s="26"/>
      <c r="Z206" s="26"/>
    </row>
    <row r="207" spans="8:26" ht="12.75" x14ac:dyDescent="0.2">
      <c r="H207" s="26"/>
      <c r="I207" s="26"/>
      <c r="J207" s="26"/>
      <c r="Y207" s="26"/>
      <c r="Z207" s="26"/>
    </row>
    <row r="208" spans="8:26" ht="12.75" x14ac:dyDescent="0.2">
      <c r="H208" s="26"/>
      <c r="I208" s="26"/>
      <c r="J208" s="26"/>
      <c r="Y208" s="26"/>
      <c r="Z208" s="26"/>
    </row>
    <row r="209" spans="8:26" ht="12.75" x14ac:dyDescent="0.2">
      <c r="H209" s="26"/>
      <c r="I209" s="26"/>
      <c r="J209" s="26"/>
      <c r="Y209" s="26"/>
      <c r="Z209" s="26"/>
    </row>
    <row r="210" spans="8:26" ht="12.75" x14ac:dyDescent="0.2">
      <c r="H210" s="26"/>
      <c r="I210" s="26"/>
      <c r="J210" s="26"/>
      <c r="Y210" s="26"/>
      <c r="Z210" s="26"/>
    </row>
    <row r="211" spans="8:26" ht="12.75" x14ac:dyDescent="0.2">
      <c r="H211" s="26"/>
      <c r="I211" s="26"/>
      <c r="J211" s="26"/>
      <c r="Y211" s="26"/>
      <c r="Z211" s="26"/>
    </row>
    <row r="212" spans="8:26" ht="12.75" x14ac:dyDescent="0.2">
      <c r="H212" s="26"/>
      <c r="I212" s="26"/>
      <c r="J212" s="26"/>
      <c r="Y212" s="26"/>
      <c r="Z212" s="26"/>
    </row>
    <row r="213" spans="8:26" ht="12.75" x14ac:dyDescent="0.2">
      <c r="H213" s="26"/>
      <c r="I213" s="26"/>
      <c r="J213" s="26"/>
      <c r="Y213" s="26"/>
      <c r="Z213" s="26"/>
    </row>
    <row r="214" spans="8:26" ht="12.75" x14ac:dyDescent="0.2">
      <c r="H214" s="26"/>
      <c r="I214" s="26"/>
      <c r="J214" s="26"/>
      <c r="Y214" s="26"/>
      <c r="Z214" s="26"/>
    </row>
    <row r="215" spans="8:26" ht="12.75" x14ac:dyDescent="0.2">
      <c r="H215" s="26"/>
      <c r="I215" s="26"/>
      <c r="J215" s="26"/>
      <c r="Y215" s="26"/>
      <c r="Z215" s="26"/>
    </row>
    <row r="216" spans="8:26" ht="12.75" x14ac:dyDescent="0.2">
      <c r="H216" s="26"/>
      <c r="I216" s="26"/>
      <c r="J216" s="26"/>
      <c r="Y216" s="26"/>
      <c r="Z216" s="26"/>
    </row>
    <row r="217" spans="8:26" ht="12.75" x14ac:dyDescent="0.2">
      <c r="H217" s="26"/>
      <c r="I217" s="26"/>
      <c r="J217" s="26"/>
      <c r="Y217" s="26"/>
      <c r="Z217" s="26"/>
    </row>
    <row r="218" spans="8:26" ht="12.75" x14ac:dyDescent="0.2">
      <c r="H218" s="26"/>
      <c r="I218" s="26"/>
      <c r="J218" s="26"/>
      <c r="Y218" s="26"/>
      <c r="Z218" s="26"/>
    </row>
    <row r="219" spans="8:26" ht="12.75" x14ac:dyDescent="0.2">
      <c r="H219" s="26"/>
      <c r="I219" s="26"/>
      <c r="J219" s="26"/>
      <c r="Y219" s="26"/>
      <c r="Z219" s="26"/>
    </row>
    <row r="220" spans="8:26" ht="12.75" x14ac:dyDescent="0.2">
      <c r="H220" s="26"/>
      <c r="I220" s="26"/>
      <c r="J220" s="26"/>
      <c r="Y220" s="26"/>
      <c r="Z220" s="26"/>
    </row>
    <row r="221" spans="8:26" ht="12.75" x14ac:dyDescent="0.2">
      <c r="H221" s="26"/>
      <c r="I221" s="26"/>
      <c r="J221" s="26"/>
      <c r="Y221" s="26"/>
      <c r="Z221" s="26"/>
    </row>
    <row r="222" spans="8:26" ht="12.75" x14ac:dyDescent="0.2">
      <c r="H222" s="26"/>
      <c r="I222" s="26"/>
      <c r="J222" s="26"/>
      <c r="Y222" s="26"/>
      <c r="Z222" s="26"/>
    </row>
    <row r="223" spans="8:26" ht="12.75" x14ac:dyDescent="0.2">
      <c r="H223" s="26"/>
      <c r="I223" s="26"/>
      <c r="J223" s="26"/>
      <c r="Y223" s="26"/>
      <c r="Z223" s="26"/>
    </row>
    <row r="224" spans="8:26" ht="12.75" x14ac:dyDescent="0.2">
      <c r="H224" s="26"/>
      <c r="I224" s="26"/>
      <c r="J224" s="26"/>
      <c r="Y224" s="26"/>
      <c r="Z224" s="26"/>
    </row>
    <row r="225" spans="8:26" ht="12.75" x14ac:dyDescent="0.2">
      <c r="H225" s="26"/>
      <c r="I225" s="26"/>
      <c r="J225" s="26"/>
      <c r="Y225" s="26"/>
      <c r="Z225" s="26"/>
    </row>
    <row r="226" spans="8:26" ht="12.75" x14ac:dyDescent="0.2">
      <c r="H226" s="26"/>
      <c r="I226" s="26"/>
      <c r="J226" s="26"/>
      <c r="Y226" s="26"/>
      <c r="Z226" s="26"/>
    </row>
    <row r="227" spans="8:26" ht="12.75" x14ac:dyDescent="0.2">
      <c r="H227" s="26"/>
      <c r="I227" s="26"/>
      <c r="J227" s="26"/>
      <c r="Y227" s="26"/>
      <c r="Z227" s="26"/>
    </row>
    <row r="228" spans="8:26" ht="12.75" x14ac:dyDescent="0.2">
      <c r="H228" s="26"/>
      <c r="I228" s="26"/>
      <c r="J228" s="26"/>
      <c r="Y228" s="26"/>
      <c r="Z228" s="26"/>
    </row>
    <row r="229" spans="8:26" ht="12.75" x14ac:dyDescent="0.2">
      <c r="H229" s="26"/>
      <c r="I229" s="26"/>
      <c r="J229" s="26"/>
      <c r="Y229" s="26"/>
      <c r="Z229" s="26"/>
    </row>
    <row r="230" spans="8:26" ht="12.75" x14ac:dyDescent="0.2">
      <c r="H230" s="26"/>
      <c r="I230" s="26"/>
      <c r="J230" s="26"/>
      <c r="Y230" s="26"/>
      <c r="Z230" s="26"/>
    </row>
    <row r="231" spans="8:26" ht="12.75" x14ac:dyDescent="0.2">
      <c r="H231" s="26"/>
      <c r="I231" s="26"/>
      <c r="J231" s="26"/>
      <c r="Y231" s="26"/>
      <c r="Z231" s="26"/>
    </row>
    <row r="232" spans="8:26" ht="12.75" x14ac:dyDescent="0.2">
      <c r="H232" s="26"/>
      <c r="I232" s="26"/>
      <c r="J232" s="26"/>
      <c r="Y232" s="26"/>
      <c r="Z232" s="26"/>
    </row>
    <row r="233" spans="8:26" ht="12.75" x14ac:dyDescent="0.2">
      <c r="H233" s="26"/>
      <c r="I233" s="26"/>
      <c r="J233" s="26"/>
      <c r="Y233" s="26"/>
      <c r="Z233" s="26"/>
    </row>
    <row r="234" spans="8:26" ht="12.75" x14ac:dyDescent="0.2">
      <c r="H234" s="26"/>
      <c r="I234" s="26"/>
      <c r="J234" s="26"/>
      <c r="Y234" s="26"/>
      <c r="Z234" s="26"/>
    </row>
    <row r="235" spans="8:26" ht="12.75" x14ac:dyDescent="0.2">
      <c r="H235" s="26"/>
      <c r="I235" s="26"/>
      <c r="J235" s="26"/>
      <c r="Y235" s="26"/>
      <c r="Z235" s="26"/>
    </row>
    <row r="236" spans="8:26" ht="12.75" x14ac:dyDescent="0.2">
      <c r="H236" s="26"/>
      <c r="I236" s="26"/>
      <c r="J236" s="26"/>
      <c r="Y236" s="26"/>
      <c r="Z236" s="26"/>
    </row>
    <row r="237" spans="8:26" ht="12.75" x14ac:dyDescent="0.2">
      <c r="H237" s="26"/>
      <c r="I237" s="26"/>
      <c r="J237" s="26"/>
      <c r="Y237" s="26"/>
      <c r="Z237" s="26"/>
    </row>
    <row r="238" spans="8:26" ht="12.75" x14ac:dyDescent="0.2">
      <c r="H238" s="26"/>
      <c r="I238" s="26"/>
      <c r="J238" s="26"/>
      <c r="Y238" s="26"/>
      <c r="Z238" s="26"/>
    </row>
    <row r="239" spans="8:26" ht="12.75" x14ac:dyDescent="0.2">
      <c r="H239" s="26"/>
      <c r="I239" s="26"/>
      <c r="J239" s="26"/>
      <c r="Y239" s="26"/>
      <c r="Z239" s="26"/>
    </row>
    <row r="240" spans="8:26" ht="12.75" x14ac:dyDescent="0.2">
      <c r="H240" s="26"/>
      <c r="I240" s="26"/>
      <c r="J240" s="26"/>
      <c r="Y240" s="26"/>
      <c r="Z240" s="26"/>
    </row>
    <row r="241" spans="8:26" ht="12.75" x14ac:dyDescent="0.2">
      <c r="H241" s="26"/>
      <c r="I241" s="26"/>
      <c r="J241" s="26"/>
      <c r="Y241" s="26"/>
      <c r="Z241" s="26"/>
    </row>
    <row r="242" spans="8:26" ht="12.75" x14ac:dyDescent="0.2">
      <c r="H242" s="26"/>
      <c r="I242" s="26"/>
      <c r="J242" s="26"/>
      <c r="Y242" s="26"/>
      <c r="Z242" s="26"/>
    </row>
    <row r="243" spans="8:26" ht="12.75" x14ac:dyDescent="0.2">
      <c r="H243" s="26"/>
      <c r="I243" s="26"/>
      <c r="J243" s="26"/>
      <c r="Y243" s="26"/>
      <c r="Z243" s="26"/>
    </row>
    <row r="244" spans="8:26" ht="12.75" x14ac:dyDescent="0.2">
      <c r="H244" s="26"/>
      <c r="I244" s="26"/>
      <c r="J244" s="26"/>
      <c r="Y244" s="26"/>
      <c r="Z244" s="26"/>
    </row>
    <row r="245" spans="8:26" ht="12.75" x14ac:dyDescent="0.2">
      <c r="H245" s="26"/>
      <c r="I245" s="26"/>
      <c r="J245" s="26"/>
      <c r="Y245" s="26"/>
      <c r="Z245" s="26"/>
    </row>
    <row r="246" spans="8:26" ht="12.75" x14ac:dyDescent="0.2">
      <c r="H246" s="26"/>
      <c r="I246" s="26"/>
      <c r="J246" s="26"/>
      <c r="Y246" s="26"/>
      <c r="Z246" s="26"/>
    </row>
    <row r="247" spans="8:26" ht="12.75" x14ac:dyDescent="0.2">
      <c r="H247" s="26"/>
      <c r="I247" s="26"/>
      <c r="J247" s="26"/>
      <c r="Y247" s="26"/>
      <c r="Z247" s="26"/>
    </row>
    <row r="248" spans="8:26" ht="12.75" x14ac:dyDescent="0.2">
      <c r="H248" s="26"/>
      <c r="I248" s="26"/>
      <c r="J248" s="26"/>
      <c r="Y248" s="26"/>
      <c r="Z248" s="26"/>
    </row>
    <row r="249" spans="8:26" ht="12.75" x14ac:dyDescent="0.2">
      <c r="H249" s="26"/>
      <c r="I249" s="26"/>
      <c r="J249" s="26"/>
      <c r="Y249" s="26"/>
      <c r="Z249" s="26"/>
    </row>
    <row r="250" spans="8:26" ht="12.75" x14ac:dyDescent="0.2">
      <c r="H250" s="26"/>
      <c r="I250" s="26"/>
      <c r="J250" s="26"/>
      <c r="Y250" s="26"/>
      <c r="Z250" s="26"/>
    </row>
    <row r="251" spans="8:26" ht="12.75" x14ac:dyDescent="0.2">
      <c r="H251" s="26"/>
      <c r="I251" s="26"/>
      <c r="J251" s="26"/>
      <c r="Y251" s="26"/>
      <c r="Z251" s="26"/>
    </row>
    <row r="252" spans="8:26" ht="12.75" x14ac:dyDescent="0.2">
      <c r="H252" s="26"/>
      <c r="I252" s="26"/>
      <c r="J252" s="26"/>
      <c r="Y252" s="26"/>
      <c r="Z252" s="26"/>
    </row>
    <row r="253" spans="8:26" ht="12.75" x14ac:dyDescent="0.2">
      <c r="H253" s="26"/>
      <c r="I253" s="26"/>
      <c r="J253" s="26"/>
      <c r="Y253" s="26"/>
      <c r="Z253" s="26"/>
    </row>
    <row r="254" spans="8:26" ht="12.75" x14ac:dyDescent="0.2">
      <c r="H254" s="26"/>
      <c r="I254" s="26"/>
      <c r="J254" s="26"/>
      <c r="Y254" s="26"/>
      <c r="Z254" s="26"/>
    </row>
    <row r="255" spans="8:26" ht="12.75" x14ac:dyDescent="0.2">
      <c r="H255" s="26"/>
      <c r="I255" s="26"/>
      <c r="J255" s="26"/>
      <c r="Y255" s="26"/>
      <c r="Z255" s="26"/>
    </row>
    <row r="256" spans="8:26" ht="12.75" x14ac:dyDescent="0.2">
      <c r="H256" s="26"/>
      <c r="I256" s="26"/>
      <c r="J256" s="26"/>
      <c r="Y256" s="26"/>
      <c r="Z256" s="26"/>
    </row>
    <row r="257" spans="8:26" ht="12.75" x14ac:dyDescent="0.2">
      <c r="H257" s="26"/>
      <c r="I257" s="26"/>
      <c r="J257" s="26"/>
      <c r="Y257" s="26"/>
      <c r="Z257" s="26"/>
    </row>
    <row r="258" spans="8:26" ht="12.75" x14ac:dyDescent="0.2">
      <c r="H258" s="26"/>
      <c r="I258" s="26"/>
      <c r="J258" s="26"/>
      <c r="Y258" s="26"/>
      <c r="Z258" s="26"/>
    </row>
    <row r="259" spans="8:26" ht="12.75" x14ac:dyDescent="0.2">
      <c r="H259" s="26"/>
      <c r="I259" s="26"/>
      <c r="J259" s="26"/>
      <c r="Y259" s="26"/>
      <c r="Z259" s="26"/>
    </row>
    <row r="260" spans="8:26" ht="12.75" x14ac:dyDescent="0.2">
      <c r="H260" s="26"/>
      <c r="I260" s="26"/>
      <c r="J260" s="26"/>
      <c r="Y260" s="26"/>
      <c r="Z260" s="26"/>
    </row>
    <row r="261" spans="8:26" ht="12.75" x14ac:dyDescent="0.2">
      <c r="H261" s="26"/>
      <c r="I261" s="26"/>
      <c r="J261" s="26"/>
      <c r="Y261" s="26"/>
      <c r="Z261" s="26"/>
    </row>
    <row r="262" spans="8:26" ht="12.75" x14ac:dyDescent="0.2">
      <c r="H262" s="26"/>
      <c r="I262" s="26"/>
      <c r="J262" s="26"/>
      <c r="Y262" s="26"/>
      <c r="Z262" s="26"/>
    </row>
    <row r="263" spans="8:26" ht="12.75" x14ac:dyDescent="0.2">
      <c r="H263" s="26"/>
      <c r="I263" s="26"/>
      <c r="J263" s="26"/>
      <c r="Y263" s="26"/>
      <c r="Z263" s="26"/>
    </row>
    <row r="264" spans="8:26" ht="12.75" x14ac:dyDescent="0.2">
      <c r="H264" s="26"/>
      <c r="I264" s="26"/>
      <c r="J264" s="26"/>
      <c r="Y264" s="26"/>
      <c r="Z264" s="26"/>
    </row>
    <row r="265" spans="8:26" ht="12.75" x14ac:dyDescent="0.2">
      <c r="H265" s="26"/>
      <c r="I265" s="26"/>
      <c r="J265" s="26"/>
      <c r="Y265" s="26"/>
      <c r="Z265" s="26"/>
    </row>
    <row r="266" spans="8:26" ht="12.75" x14ac:dyDescent="0.2">
      <c r="H266" s="26"/>
      <c r="I266" s="26"/>
      <c r="J266" s="26"/>
      <c r="Y266" s="26"/>
      <c r="Z266" s="26"/>
    </row>
    <row r="267" spans="8:26" ht="12.75" x14ac:dyDescent="0.2">
      <c r="H267" s="26"/>
      <c r="I267" s="26"/>
      <c r="J267" s="26"/>
      <c r="Y267" s="26"/>
      <c r="Z267" s="26"/>
    </row>
    <row r="268" spans="8:26" ht="12.75" x14ac:dyDescent="0.2">
      <c r="H268" s="26"/>
      <c r="I268" s="26"/>
      <c r="J268" s="26"/>
      <c r="Y268" s="26"/>
      <c r="Z268" s="26"/>
    </row>
    <row r="269" spans="8:26" ht="12.75" x14ac:dyDescent="0.2">
      <c r="H269" s="26"/>
      <c r="I269" s="26"/>
      <c r="J269" s="26"/>
      <c r="Y269" s="26"/>
      <c r="Z269" s="26"/>
    </row>
    <row r="270" spans="8:26" ht="12.75" x14ac:dyDescent="0.2">
      <c r="H270" s="26"/>
      <c r="I270" s="26"/>
      <c r="J270" s="26"/>
      <c r="Y270" s="26"/>
      <c r="Z270" s="26"/>
    </row>
    <row r="271" spans="8:26" ht="12.75" x14ac:dyDescent="0.2">
      <c r="H271" s="26"/>
      <c r="I271" s="26"/>
      <c r="J271" s="26"/>
      <c r="Y271" s="26"/>
      <c r="Z271" s="26"/>
    </row>
    <row r="272" spans="8:26" ht="12.75" x14ac:dyDescent="0.2">
      <c r="H272" s="26"/>
      <c r="I272" s="26"/>
      <c r="J272" s="26"/>
      <c r="Y272" s="26"/>
      <c r="Z272" s="26"/>
    </row>
    <row r="273" spans="8:26" ht="12.75" x14ac:dyDescent="0.2">
      <c r="H273" s="26"/>
      <c r="I273" s="26"/>
      <c r="J273" s="26"/>
      <c r="Y273" s="26"/>
      <c r="Z273" s="26"/>
    </row>
    <row r="274" spans="8:26" ht="12.75" x14ac:dyDescent="0.2">
      <c r="H274" s="26"/>
      <c r="I274" s="26"/>
      <c r="J274" s="26"/>
      <c r="Y274" s="26"/>
      <c r="Z274" s="26"/>
    </row>
    <row r="275" spans="8:26" ht="12.75" x14ac:dyDescent="0.2">
      <c r="H275" s="26"/>
      <c r="I275" s="26"/>
      <c r="J275" s="26"/>
      <c r="Y275" s="26"/>
      <c r="Z275" s="26"/>
    </row>
    <row r="276" spans="8:26" ht="12.75" x14ac:dyDescent="0.2">
      <c r="H276" s="26"/>
      <c r="I276" s="26"/>
      <c r="J276" s="26"/>
      <c r="Y276" s="26"/>
      <c r="Z276" s="26"/>
    </row>
    <row r="277" spans="8:26" ht="12.75" x14ac:dyDescent="0.2">
      <c r="H277" s="26"/>
      <c r="I277" s="26"/>
      <c r="J277" s="26"/>
      <c r="Y277" s="26"/>
      <c r="Z277" s="26"/>
    </row>
    <row r="278" spans="8:26" ht="12.75" x14ac:dyDescent="0.2">
      <c r="H278" s="26"/>
      <c r="I278" s="26"/>
      <c r="J278" s="26"/>
      <c r="Y278" s="26"/>
      <c r="Z278" s="26"/>
    </row>
    <row r="279" spans="8:26" ht="12.75" x14ac:dyDescent="0.2">
      <c r="H279" s="26"/>
      <c r="I279" s="26"/>
      <c r="J279" s="26"/>
      <c r="Y279" s="26"/>
      <c r="Z279" s="26"/>
    </row>
    <row r="280" spans="8:26" ht="12.75" x14ac:dyDescent="0.2">
      <c r="H280" s="26"/>
      <c r="I280" s="26"/>
      <c r="J280" s="26"/>
      <c r="Y280" s="26"/>
      <c r="Z280" s="26"/>
    </row>
    <row r="281" spans="8:26" ht="12.75" x14ac:dyDescent="0.2">
      <c r="H281" s="26"/>
      <c r="I281" s="26"/>
      <c r="J281" s="26"/>
      <c r="Y281" s="26"/>
      <c r="Z281" s="26"/>
    </row>
    <row r="282" spans="8:26" ht="12.75" x14ac:dyDescent="0.2">
      <c r="H282" s="26"/>
      <c r="I282" s="26"/>
      <c r="J282" s="26"/>
      <c r="Y282" s="26"/>
      <c r="Z282" s="26"/>
    </row>
    <row r="283" spans="8:26" ht="12.75" x14ac:dyDescent="0.2">
      <c r="H283" s="26"/>
      <c r="I283" s="26"/>
      <c r="J283" s="26"/>
      <c r="Y283" s="26"/>
      <c r="Z283" s="26"/>
    </row>
    <row r="284" spans="8:26" ht="12.75" x14ac:dyDescent="0.2">
      <c r="H284" s="26"/>
      <c r="I284" s="26"/>
      <c r="J284" s="26"/>
      <c r="Y284" s="26"/>
      <c r="Z284" s="26"/>
    </row>
    <row r="285" spans="8:26" ht="12.75" x14ac:dyDescent="0.2">
      <c r="H285" s="26"/>
      <c r="I285" s="26"/>
      <c r="J285" s="26"/>
      <c r="Y285" s="26"/>
      <c r="Z285" s="26"/>
    </row>
    <row r="286" spans="8:26" ht="12.75" x14ac:dyDescent="0.2">
      <c r="H286" s="26"/>
      <c r="I286" s="26"/>
      <c r="J286" s="26"/>
      <c r="Y286" s="26"/>
      <c r="Z286" s="26"/>
    </row>
    <row r="287" spans="8:26" ht="12.75" x14ac:dyDescent="0.2">
      <c r="H287" s="26"/>
      <c r="I287" s="26"/>
      <c r="J287" s="26"/>
      <c r="Y287" s="26"/>
      <c r="Z287" s="26"/>
    </row>
    <row r="288" spans="8:26" ht="12.75" x14ac:dyDescent="0.2">
      <c r="H288" s="26"/>
      <c r="I288" s="26"/>
      <c r="J288" s="26"/>
      <c r="Y288" s="26"/>
      <c r="Z288" s="26"/>
    </row>
    <row r="289" spans="8:26" ht="12.75" x14ac:dyDescent="0.2">
      <c r="H289" s="26"/>
      <c r="I289" s="26"/>
      <c r="J289" s="26"/>
      <c r="Y289" s="26"/>
      <c r="Z289" s="26"/>
    </row>
    <row r="290" spans="8:26" ht="12.75" x14ac:dyDescent="0.2">
      <c r="H290" s="26"/>
      <c r="I290" s="26"/>
      <c r="J290" s="26"/>
      <c r="Y290" s="26"/>
      <c r="Z290" s="26"/>
    </row>
    <row r="291" spans="8:26" ht="12.75" x14ac:dyDescent="0.2">
      <c r="H291" s="26"/>
      <c r="I291" s="26"/>
      <c r="J291" s="26"/>
      <c r="Y291" s="26"/>
      <c r="Z291" s="26"/>
    </row>
    <row r="292" spans="8:26" ht="12.75" x14ac:dyDescent="0.2">
      <c r="H292" s="26"/>
      <c r="I292" s="26"/>
      <c r="J292" s="26"/>
      <c r="Y292" s="26"/>
      <c r="Z292" s="26"/>
    </row>
    <row r="293" spans="8:26" ht="12.75" x14ac:dyDescent="0.2">
      <c r="H293" s="26"/>
      <c r="I293" s="26"/>
      <c r="J293" s="26"/>
      <c r="Y293" s="26"/>
      <c r="Z293" s="26"/>
    </row>
    <row r="294" spans="8:26" ht="12.75" x14ac:dyDescent="0.2">
      <c r="H294" s="26"/>
      <c r="I294" s="26"/>
      <c r="J294" s="26"/>
      <c r="Y294" s="26"/>
      <c r="Z294" s="26"/>
    </row>
    <row r="295" spans="8:26" ht="12.75" x14ac:dyDescent="0.2">
      <c r="H295" s="26"/>
      <c r="I295" s="26"/>
      <c r="J295" s="26"/>
      <c r="Y295" s="26"/>
      <c r="Z295" s="26"/>
    </row>
    <row r="296" spans="8:26" ht="12.75" x14ac:dyDescent="0.2">
      <c r="H296" s="26"/>
      <c r="I296" s="26"/>
      <c r="J296" s="26"/>
      <c r="Y296" s="26"/>
      <c r="Z296" s="26"/>
    </row>
    <row r="297" spans="8:26" ht="12.75" x14ac:dyDescent="0.2">
      <c r="H297" s="26"/>
      <c r="I297" s="26"/>
      <c r="J297" s="26"/>
      <c r="Y297" s="26"/>
      <c r="Z297" s="26"/>
    </row>
    <row r="298" spans="8:26" ht="12.75" x14ac:dyDescent="0.2">
      <c r="H298" s="26"/>
      <c r="I298" s="26"/>
      <c r="J298" s="26"/>
      <c r="Y298" s="26"/>
      <c r="Z298" s="26"/>
    </row>
    <row r="299" spans="8:26" ht="12.75" x14ac:dyDescent="0.2">
      <c r="H299" s="26"/>
      <c r="I299" s="26"/>
      <c r="J299" s="26"/>
      <c r="Y299" s="26"/>
      <c r="Z299" s="26"/>
    </row>
    <row r="300" spans="8:26" ht="12.75" x14ac:dyDescent="0.2">
      <c r="H300" s="26"/>
      <c r="I300" s="26"/>
      <c r="J300" s="26"/>
      <c r="Y300" s="26"/>
      <c r="Z300" s="26"/>
    </row>
    <row r="301" spans="8:26" ht="12.75" x14ac:dyDescent="0.2">
      <c r="H301" s="26"/>
      <c r="I301" s="26"/>
      <c r="J301" s="26"/>
      <c r="Y301" s="26"/>
      <c r="Z301" s="26"/>
    </row>
    <row r="302" spans="8:26" ht="12.75" x14ac:dyDescent="0.2">
      <c r="H302" s="26"/>
      <c r="I302" s="26"/>
      <c r="J302" s="26"/>
      <c r="Y302" s="26"/>
      <c r="Z302" s="26"/>
    </row>
    <row r="303" spans="8:26" ht="12.75" x14ac:dyDescent="0.2">
      <c r="H303" s="26"/>
      <c r="I303" s="26"/>
      <c r="J303" s="26"/>
      <c r="Y303" s="26"/>
      <c r="Z303" s="26"/>
    </row>
    <row r="304" spans="8:26" ht="12.75" x14ac:dyDescent="0.2">
      <c r="H304" s="26"/>
      <c r="I304" s="26"/>
      <c r="J304" s="26"/>
      <c r="Y304" s="26"/>
      <c r="Z304" s="26"/>
    </row>
    <row r="305" spans="8:26" ht="12.75" x14ac:dyDescent="0.2">
      <c r="H305" s="26"/>
      <c r="I305" s="26"/>
      <c r="J305" s="26"/>
      <c r="Y305" s="26"/>
      <c r="Z305" s="26"/>
    </row>
    <row r="306" spans="8:26" ht="12.75" x14ac:dyDescent="0.2">
      <c r="H306" s="26"/>
      <c r="I306" s="26"/>
      <c r="J306" s="26"/>
      <c r="Y306" s="26"/>
      <c r="Z306" s="26"/>
    </row>
    <row r="307" spans="8:26" ht="12.75" x14ac:dyDescent="0.2">
      <c r="H307" s="26"/>
      <c r="I307" s="26"/>
      <c r="J307" s="26"/>
      <c r="Y307" s="26"/>
      <c r="Z307" s="26"/>
    </row>
    <row r="308" spans="8:26" ht="12.75" x14ac:dyDescent="0.2">
      <c r="H308" s="26"/>
      <c r="I308" s="26"/>
      <c r="J308" s="26"/>
      <c r="Y308" s="26"/>
      <c r="Z308" s="26"/>
    </row>
    <row r="309" spans="8:26" ht="12.75" x14ac:dyDescent="0.2">
      <c r="H309" s="26"/>
      <c r="I309" s="26"/>
      <c r="J309" s="26"/>
      <c r="Y309" s="26"/>
      <c r="Z309" s="26"/>
    </row>
    <row r="310" spans="8:26" ht="12.75" x14ac:dyDescent="0.2">
      <c r="H310" s="26"/>
      <c r="I310" s="26"/>
      <c r="J310" s="26"/>
      <c r="Y310" s="26"/>
      <c r="Z310" s="26"/>
    </row>
    <row r="311" spans="8:26" ht="12.75" x14ac:dyDescent="0.2">
      <c r="H311" s="26"/>
      <c r="I311" s="26"/>
      <c r="J311" s="26"/>
      <c r="Y311" s="26"/>
      <c r="Z311" s="26"/>
    </row>
    <row r="312" spans="8:26" ht="12.75" x14ac:dyDescent="0.2">
      <c r="H312" s="26"/>
      <c r="I312" s="26"/>
      <c r="J312" s="26"/>
      <c r="Y312" s="26"/>
      <c r="Z312" s="26"/>
    </row>
    <row r="313" spans="8:26" ht="12.75" x14ac:dyDescent="0.2">
      <c r="H313" s="26"/>
      <c r="I313" s="26"/>
      <c r="J313" s="26"/>
      <c r="Y313" s="26"/>
      <c r="Z313" s="26"/>
    </row>
    <row r="314" spans="8:26" ht="12.75" x14ac:dyDescent="0.2">
      <c r="H314" s="26"/>
      <c r="I314" s="26"/>
      <c r="J314" s="26"/>
      <c r="Y314" s="26"/>
      <c r="Z314" s="26"/>
    </row>
    <row r="315" spans="8:26" ht="12.75" x14ac:dyDescent="0.2">
      <c r="H315" s="26"/>
      <c r="I315" s="26"/>
      <c r="J315" s="26"/>
      <c r="Y315" s="26"/>
      <c r="Z315" s="26"/>
    </row>
    <row r="316" spans="8:26" ht="12.75" x14ac:dyDescent="0.2">
      <c r="H316" s="26"/>
      <c r="I316" s="26"/>
      <c r="J316" s="26"/>
      <c r="Y316" s="26"/>
      <c r="Z316" s="26"/>
    </row>
    <row r="317" spans="8:26" ht="12.75" x14ac:dyDescent="0.2">
      <c r="H317" s="26"/>
      <c r="I317" s="26"/>
      <c r="J317" s="26"/>
      <c r="Y317" s="26"/>
      <c r="Z317" s="26"/>
    </row>
    <row r="318" spans="8:26" ht="12.75" x14ac:dyDescent="0.2">
      <c r="H318" s="26"/>
      <c r="I318" s="26"/>
      <c r="J318" s="26"/>
      <c r="Y318" s="26"/>
      <c r="Z318" s="26"/>
    </row>
    <row r="319" spans="8:26" ht="12.75" x14ac:dyDescent="0.2">
      <c r="H319" s="26"/>
      <c r="I319" s="26"/>
      <c r="J319" s="26"/>
      <c r="Y319" s="26"/>
      <c r="Z319" s="26"/>
    </row>
    <row r="320" spans="8:26" ht="12.75" x14ac:dyDescent="0.2">
      <c r="H320" s="26"/>
      <c r="I320" s="26"/>
      <c r="J320" s="26"/>
      <c r="Y320" s="26"/>
      <c r="Z320" s="26"/>
    </row>
    <row r="321" spans="8:26" ht="12.75" x14ac:dyDescent="0.2">
      <c r="H321" s="26"/>
      <c r="I321" s="26"/>
      <c r="J321" s="26"/>
      <c r="Y321" s="26"/>
      <c r="Z321" s="26"/>
    </row>
    <row r="322" spans="8:26" ht="12.75" x14ac:dyDescent="0.2">
      <c r="H322" s="26"/>
      <c r="I322" s="26"/>
      <c r="J322" s="26"/>
      <c r="Y322" s="26"/>
      <c r="Z322" s="26"/>
    </row>
    <row r="323" spans="8:26" ht="12.75" x14ac:dyDescent="0.2">
      <c r="H323" s="26"/>
      <c r="I323" s="26"/>
      <c r="J323" s="26"/>
      <c r="Y323" s="26"/>
      <c r="Z323" s="26"/>
    </row>
    <row r="324" spans="8:26" ht="12.75" x14ac:dyDescent="0.2">
      <c r="H324" s="26"/>
      <c r="I324" s="26"/>
      <c r="J324" s="26"/>
      <c r="Y324" s="26"/>
      <c r="Z324" s="26"/>
    </row>
    <row r="325" spans="8:26" ht="12.75" x14ac:dyDescent="0.2">
      <c r="H325" s="26"/>
      <c r="I325" s="26"/>
      <c r="J325" s="26"/>
      <c r="Y325" s="26"/>
      <c r="Z325" s="26"/>
    </row>
    <row r="326" spans="8:26" ht="12.75" x14ac:dyDescent="0.2">
      <c r="H326" s="26"/>
      <c r="I326" s="26"/>
      <c r="J326" s="26"/>
      <c r="Y326" s="26"/>
      <c r="Z326" s="26"/>
    </row>
    <row r="327" spans="8:26" ht="12.75" x14ac:dyDescent="0.2">
      <c r="H327" s="26"/>
      <c r="I327" s="26"/>
      <c r="J327" s="26"/>
      <c r="Y327" s="26"/>
      <c r="Z327" s="26"/>
    </row>
    <row r="328" spans="8:26" ht="12.75" x14ac:dyDescent="0.2">
      <c r="H328" s="26"/>
      <c r="I328" s="26"/>
      <c r="J328" s="26"/>
      <c r="Y328" s="26"/>
      <c r="Z328" s="26"/>
    </row>
    <row r="329" spans="8:26" ht="12.75" x14ac:dyDescent="0.2">
      <c r="H329" s="26"/>
      <c r="I329" s="26"/>
      <c r="J329" s="26"/>
      <c r="Y329" s="26"/>
      <c r="Z329" s="26"/>
    </row>
    <row r="330" spans="8:26" ht="12.75" x14ac:dyDescent="0.2">
      <c r="H330" s="26"/>
      <c r="I330" s="26"/>
      <c r="J330" s="26"/>
      <c r="Y330" s="26"/>
      <c r="Z330" s="26"/>
    </row>
    <row r="331" spans="8:26" ht="12.75" x14ac:dyDescent="0.2">
      <c r="H331" s="26"/>
      <c r="I331" s="26"/>
      <c r="J331" s="26"/>
      <c r="Y331" s="26"/>
      <c r="Z331" s="26"/>
    </row>
    <row r="332" spans="8:26" ht="12.75" x14ac:dyDescent="0.2">
      <c r="H332" s="26"/>
      <c r="I332" s="26"/>
      <c r="J332" s="26"/>
      <c r="Y332" s="26"/>
      <c r="Z332" s="26"/>
    </row>
    <row r="333" spans="8:26" ht="12.75" x14ac:dyDescent="0.2">
      <c r="H333" s="26"/>
      <c r="I333" s="26"/>
      <c r="J333" s="26"/>
      <c r="Y333" s="26"/>
      <c r="Z333" s="26"/>
    </row>
    <row r="334" spans="8:26" ht="12.75" x14ac:dyDescent="0.2">
      <c r="H334" s="26"/>
      <c r="I334" s="26"/>
      <c r="J334" s="26"/>
      <c r="Y334" s="26"/>
      <c r="Z334" s="26"/>
    </row>
    <row r="335" spans="8:26" ht="12.75" x14ac:dyDescent="0.2">
      <c r="H335" s="26"/>
      <c r="I335" s="26"/>
      <c r="J335" s="26"/>
      <c r="Y335" s="26"/>
      <c r="Z335" s="26"/>
    </row>
    <row r="336" spans="8:26" ht="12.75" x14ac:dyDescent="0.2">
      <c r="H336" s="26"/>
      <c r="I336" s="26"/>
      <c r="J336" s="26"/>
      <c r="Y336" s="26"/>
      <c r="Z336" s="26"/>
    </row>
    <row r="337" spans="8:26" ht="12.75" x14ac:dyDescent="0.2">
      <c r="H337" s="26"/>
      <c r="I337" s="26"/>
      <c r="J337" s="26"/>
      <c r="Y337" s="26"/>
      <c r="Z337" s="26"/>
    </row>
    <row r="338" spans="8:26" ht="12.75" x14ac:dyDescent="0.2">
      <c r="H338" s="26"/>
      <c r="I338" s="26"/>
      <c r="J338" s="26"/>
      <c r="Y338" s="26"/>
      <c r="Z338" s="26"/>
    </row>
    <row r="339" spans="8:26" ht="12.75" x14ac:dyDescent="0.2">
      <c r="H339" s="26"/>
      <c r="I339" s="26"/>
      <c r="J339" s="26"/>
      <c r="Y339" s="26"/>
      <c r="Z339" s="26"/>
    </row>
    <row r="340" spans="8:26" ht="12.75" x14ac:dyDescent="0.2">
      <c r="H340" s="26"/>
      <c r="I340" s="26"/>
      <c r="J340" s="26"/>
      <c r="Y340" s="26"/>
      <c r="Z340" s="26"/>
    </row>
    <row r="341" spans="8:26" ht="12.75" x14ac:dyDescent="0.2">
      <c r="H341" s="26"/>
      <c r="I341" s="26"/>
      <c r="J341" s="26"/>
      <c r="Y341" s="26"/>
      <c r="Z341" s="26"/>
    </row>
    <row r="342" spans="8:26" ht="12.75" x14ac:dyDescent="0.2">
      <c r="H342" s="26"/>
      <c r="I342" s="26"/>
      <c r="J342" s="26"/>
      <c r="Y342" s="26"/>
      <c r="Z342" s="26"/>
    </row>
    <row r="343" spans="8:26" ht="12.75" x14ac:dyDescent="0.2">
      <c r="H343" s="26"/>
      <c r="I343" s="26"/>
      <c r="J343" s="26"/>
      <c r="Y343" s="26"/>
      <c r="Z343" s="26"/>
    </row>
    <row r="344" spans="8:26" ht="12.75" x14ac:dyDescent="0.2">
      <c r="H344" s="26"/>
      <c r="I344" s="26"/>
      <c r="J344" s="26"/>
      <c r="Y344" s="26"/>
      <c r="Z344" s="26"/>
    </row>
    <row r="345" spans="8:26" ht="12.75" x14ac:dyDescent="0.2">
      <c r="H345" s="26"/>
      <c r="I345" s="26"/>
      <c r="J345" s="26"/>
      <c r="Y345" s="26"/>
      <c r="Z345" s="26"/>
    </row>
    <row r="346" spans="8:26" ht="12.75" x14ac:dyDescent="0.2">
      <c r="H346" s="26"/>
      <c r="I346" s="26"/>
      <c r="J346" s="26"/>
      <c r="Y346" s="26"/>
      <c r="Z346" s="26"/>
    </row>
    <row r="347" spans="8:26" ht="12.75" x14ac:dyDescent="0.2">
      <c r="H347" s="26"/>
      <c r="I347" s="26"/>
      <c r="J347" s="26"/>
      <c r="Y347" s="26"/>
      <c r="Z347" s="26"/>
    </row>
    <row r="348" spans="8:26" ht="12.75" x14ac:dyDescent="0.2">
      <c r="H348" s="26"/>
      <c r="I348" s="26"/>
      <c r="J348" s="26"/>
      <c r="Y348" s="26"/>
      <c r="Z348" s="26"/>
    </row>
    <row r="349" spans="8:26" ht="12.75" x14ac:dyDescent="0.2">
      <c r="H349" s="26"/>
      <c r="I349" s="26"/>
      <c r="J349" s="26"/>
      <c r="Y349" s="26"/>
      <c r="Z349" s="26"/>
    </row>
    <row r="350" spans="8:26" ht="12.75" x14ac:dyDescent="0.2">
      <c r="H350" s="26"/>
      <c r="I350" s="26"/>
      <c r="J350" s="26"/>
      <c r="Y350" s="26"/>
      <c r="Z350" s="26"/>
    </row>
    <row r="351" spans="8:26" ht="12.75" x14ac:dyDescent="0.2">
      <c r="H351" s="26"/>
      <c r="I351" s="26"/>
      <c r="J351" s="26"/>
      <c r="Y351" s="26"/>
      <c r="Z351" s="26"/>
    </row>
    <row r="352" spans="8:26" ht="12.75" x14ac:dyDescent="0.2">
      <c r="H352" s="26"/>
      <c r="I352" s="26"/>
      <c r="J352" s="26"/>
      <c r="Y352" s="26"/>
      <c r="Z352" s="26"/>
    </row>
    <row r="353" spans="8:26" ht="12.75" x14ac:dyDescent="0.2">
      <c r="H353" s="26"/>
      <c r="I353" s="26"/>
      <c r="J353" s="26"/>
      <c r="Y353" s="26"/>
      <c r="Z353" s="26"/>
    </row>
    <row r="354" spans="8:26" ht="12.75" x14ac:dyDescent="0.2">
      <c r="H354" s="26"/>
      <c r="I354" s="26"/>
      <c r="J354" s="26"/>
      <c r="Y354" s="26"/>
      <c r="Z354" s="26"/>
    </row>
    <row r="355" spans="8:26" ht="12.75" x14ac:dyDescent="0.2">
      <c r="H355" s="26"/>
      <c r="I355" s="26"/>
      <c r="J355" s="26"/>
      <c r="Y355" s="26"/>
      <c r="Z355" s="26"/>
    </row>
    <row r="356" spans="8:26" ht="12.75" x14ac:dyDescent="0.2">
      <c r="H356" s="26"/>
      <c r="I356" s="26"/>
      <c r="J356" s="26"/>
      <c r="Y356" s="26"/>
      <c r="Z356" s="26"/>
    </row>
    <row r="357" spans="8:26" ht="12.75" x14ac:dyDescent="0.2">
      <c r="H357" s="26"/>
      <c r="I357" s="26"/>
      <c r="J357" s="26"/>
      <c r="Y357" s="26"/>
      <c r="Z357" s="26"/>
    </row>
    <row r="358" spans="8:26" ht="12.75" x14ac:dyDescent="0.2">
      <c r="H358" s="26"/>
      <c r="I358" s="26"/>
      <c r="J358" s="26"/>
      <c r="Y358" s="26"/>
      <c r="Z358" s="26"/>
    </row>
    <row r="359" spans="8:26" ht="12.75" x14ac:dyDescent="0.2">
      <c r="H359" s="26"/>
      <c r="I359" s="26"/>
      <c r="J359" s="26"/>
      <c r="Y359" s="26"/>
      <c r="Z359" s="26"/>
    </row>
    <row r="360" spans="8:26" ht="12.75" x14ac:dyDescent="0.2">
      <c r="H360" s="26"/>
      <c r="I360" s="26"/>
      <c r="J360" s="26"/>
      <c r="Y360" s="26"/>
      <c r="Z360" s="26"/>
    </row>
    <row r="361" spans="8:26" ht="12.75" x14ac:dyDescent="0.2">
      <c r="H361" s="26"/>
      <c r="I361" s="26"/>
      <c r="J361" s="26"/>
      <c r="Y361" s="26"/>
      <c r="Z361" s="26"/>
    </row>
    <row r="362" spans="8:26" ht="12.75" x14ac:dyDescent="0.2">
      <c r="H362" s="26"/>
      <c r="I362" s="26"/>
      <c r="J362" s="26"/>
      <c r="Y362" s="26"/>
      <c r="Z362" s="26"/>
    </row>
    <row r="363" spans="8:26" ht="12.75" x14ac:dyDescent="0.2">
      <c r="H363" s="26"/>
      <c r="I363" s="26"/>
      <c r="J363" s="26"/>
      <c r="Y363" s="26"/>
      <c r="Z363" s="26"/>
    </row>
    <row r="364" spans="8:26" ht="12.75" x14ac:dyDescent="0.2">
      <c r="H364" s="26"/>
      <c r="I364" s="26"/>
      <c r="J364" s="26"/>
      <c r="Y364" s="26"/>
      <c r="Z364" s="26"/>
    </row>
    <row r="365" spans="8:26" ht="12.75" x14ac:dyDescent="0.2">
      <c r="H365" s="26"/>
      <c r="I365" s="26"/>
      <c r="J365" s="26"/>
      <c r="Y365" s="26"/>
      <c r="Z365" s="26"/>
    </row>
    <row r="366" spans="8:26" ht="12.75" x14ac:dyDescent="0.2">
      <c r="H366" s="26"/>
      <c r="I366" s="26"/>
      <c r="J366" s="26"/>
      <c r="Y366" s="26"/>
      <c r="Z366" s="26"/>
    </row>
    <row r="367" spans="8:26" ht="12.75" x14ac:dyDescent="0.2">
      <c r="H367" s="26"/>
      <c r="I367" s="26"/>
      <c r="J367" s="26"/>
      <c r="Y367" s="26"/>
      <c r="Z367" s="26"/>
    </row>
    <row r="368" spans="8:26" ht="12.75" x14ac:dyDescent="0.2">
      <c r="H368" s="26"/>
      <c r="I368" s="26"/>
      <c r="J368" s="26"/>
      <c r="Y368" s="26"/>
      <c r="Z368" s="26"/>
    </row>
    <row r="369" spans="8:26" ht="12.75" x14ac:dyDescent="0.2">
      <c r="H369" s="26"/>
      <c r="I369" s="26"/>
      <c r="J369" s="26"/>
      <c r="Y369" s="26"/>
      <c r="Z369" s="26"/>
    </row>
    <row r="370" spans="8:26" ht="12.75" x14ac:dyDescent="0.2">
      <c r="H370" s="26"/>
      <c r="I370" s="26"/>
      <c r="J370" s="26"/>
      <c r="Y370" s="26"/>
      <c r="Z370" s="26"/>
    </row>
    <row r="371" spans="8:26" ht="12.75" x14ac:dyDescent="0.2">
      <c r="H371" s="26"/>
      <c r="I371" s="26"/>
      <c r="J371" s="26"/>
      <c r="Y371" s="26"/>
      <c r="Z371" s="26"/>
    </row>
    <row r="372" spans="8:26" ht="12.75" x14ac:dyDescent="0.2">
      <c r="H372" s="26"/>
      <c r="I372" s="26"/>
      <c r="J372" s="26"/>
      <c r="Y372" s="26"/>
      <c r="Z372" s="26"/>
    </row>
    <row r="373" spans="8:26" ht="12.75" x14ac:dyDescent="0.2">
      <c r="H373" s="26"/>
      <c r="I373" s="26"/>
      <c r="J373" s="26"/>
      <c r="Y373" s="26"/>
      <c r="Z373" s="26"/>
    </row>
    <row r="374" spans="8:26" ht="12.75" x14ac:dyDescent="0.2">
      <c r="H374" s="26"/>
      <c r="I374" s="26"/>
      <c r="J374" s="26"/>
      <c r="Y374" s="26"/>
      <c r="Z374" s="26"/>
    </row>
    <row r="375" spans="8:26" ht="12.75" x14ac:dyDescent="0.2">
      <c r="H375" s="26"/>
      <c r="I375" s="26"/>
      <c r="J375" s="26"/>
      <c r="Y375" s="26"/>
      <c r="Z375" s="26"/>
    </row>
    <row r="376" spans="8:26" ht="12.75" x14ac:dyDescent="0.2">
      <c r="H376" s="26"/>
      <c r="I376" s="26"/>
      <c r="J376" s="26"/>
      <c r="Y376" s="26"/>
      <c r="Z376" s="26"/>
    </row>
    <row r="377" spans="8:26" ht="12.75" x14ac:dyDescent="0.2">
      <c r="H377" s="26"/>
      <c r="I377" s="26"/>
      <c r="J377" s="26"/>
      <c r="Y377" s="26"/>
      <c r="Z377" s="26"/>
    </row>
    <row r="378" spans="8:26" ht="12.75" x14ac:dyDescent="0.2">
      <c r="H378" s="26"/>
      <c r="I378" s="26"/>
      <c r="J378" s="26"/>
      <c r="Y378" s="26"/>
      <c r="Z378" s="26"/>
    </row>
    <row r="379" spans="8:26" ht="12.75" x14ac:dyDescent="0.2">
      <c r="H379" s="26"/>
      <c r="I379" s="26"/>
      <c r="J379" s="26"/>
      <c r="Y379" s="26"/>
      <c r="Z379" s="26"/>
    </row>
    <row r="380" spans="8:26" ht="12.75" x14ac:dyDescent="0.2">
      <c r="H380" s="26"/>
      <c r="I380" s="26"/>
      <c r="J380" s="26"/>
      <c r="Y380" s="26"/>
      <c r="Z380" s="26"/>
    </row>
    <row r="381" spans="8:26" ht="12.75" x14ac:dyDescent="0.2">
      <c r="H381" s="26"/>
      <c r="I381" s="26"/>
      <c r="J381" s="26"/>
      <c r="Y381" s="26"/>
      <c r="Z381" s="26"/>
    </row>
    <row r="382" spans="8:26" ht="12.75" x14ac:dyDescent="0.2">
      <c r="H382" s="26"/>
      <c r="I382" s="26"/>
      <c r="J382" s="26"/>
      <c r="Y382" s="26"/>
      <c r="Z382" s="26"/>
    </row>
    <row r="383" spans="8:26" ht="12.75" x14ac:dyDescent="0.2">
      <c r="H383" s="26"/>
      <c r="I383" s="26"/>
      <c r="J383" s="26"/>
      <c r="Y383" s="26"/>
      <c r="Z383" s="26"/>
    </row>
    <row r="384" spans="8:26" ht="12.75" x14ac:dyDescent="0.2">
      <c r="H384" s="26"/>
      <c r="I384" s="26"/>
      <c r="J384" s="26"/>
      <c r="Y384" s="26"/>
      <c r="Z384" s="26"/>
    </row>
    <row r="385" spans="8:26" ht="12.75" x14ac:dyDescent="0.2">
      <c r="H385" s="26"/>
      <c r="I385" s="26"/>
      <c r="J385" s="26"/>
      <c r="Y385" s="26"/>
      <c r="Z385" s="26"/>
    </row>
    <row r="386" spans="8:26" ht="12.75" x14ac:dyDescent="0.2">
      <c r="H386" s="26"/>
      <c r="I386" s="26"/>
      <c r="J386" s="26"/>
      <c r="Y386" s="26"/>
      <c r="Z386" s="26"/>
    </row>
    <row r="387" spans="8:26" ht="12.75" x14ac:dyDescent="0.2">
      <c r="H387" s="26"/>
      <c r="I387" s="26"/>
      <c r="J387" s="26"/>
      <c r="Y387" s="26"/>
      <c r="Z387" s="26"/>
    </row>
    <row r="388" spans="8:26" ht="12.75" x14ac:dyDescent="0.2">
      <c r="H388" s="26"/>
      <c r="I388" s="26"/>
      <c r="J388" s="26"/>
      <c r="Y388" s="26"/>
      <c r="Z388" s="26"/>
    </row>
    <row r="389" spans="8:26" ht="12.75" x14ac:dyDescent="0.2">
      <c r="H389" s="26"/>
      <c r="I389" s="26"/>
      <c r="J389" s="26"/>
      <c r="Y389" s="26"/>
      <c r="Z389" s="26"/>
    </row>
    <row r="390" spans="8:26" ht="12.75" x14ac:dyDescent="0.2">
      <c r="H390" s="26"/>
      <c r="I390" s="26"/>
      <c r="J390" s="26"/>
      <c r="Y390" s="26"/>
      <c r="Z390" s="26"/>
    </row>
    <row r="391" spans="8:26" ht="12.75" x14ac:dyDescent="0.2">
      <c r="H391" s="26"/>
      <c r="I391" s="26"/>
      <c r="J391" s="26"/>
      <c r="Y391" s="26"/>
      <c r="Z391" s="26"/>
    </row>
    <row r="392" spans="8:26" ht="12.75" x14ac:dyDescent="0.2">
      <c r="H392" s="26"/>
      <c r="I392" s="26"/>
      <c r="J392" s="26"/>
      <c r="Y392" s="26"/>
      <c r="Z392" s="26"/>
    </row>
    <row r="393" spans="8:26" ht="12.75" x14ac:dyDescent="0.2">
      <c r="H393" s="26"/>
      <c r="I393" s="26"/>
      <c r="J393" s="26"/>
      <c r="Y393" s="26"/>
      <c r="Z393" s="26"/>
    </row>
    <row r="394" spans="8:26" ht="12.75" x14ac:dyDescent="0.2">
      <c r="H394" s="26"/>
      <c r="I394" s="26"/>
      <c r="J394" s="26"/>
      <c r="Y394" s="26"/>
      <c r="Z394" s="26"/>
    </row>
    <row r="395" spans="8:26" ht="12.75" x14ac:dyDescent="0.2">
      <c r="H395" s="26"/>
      <c r="I395" s="26"/>
      <c r="J395" s="26"/>
      <c r="Y395" s="26"/>
      <c r="Z395" s="26"/>
    </row>
    <row r="396" spans="8:26" ht="12.75" x14ac:dyDescent="0.2">
      <c r="H396" s="26"/>
      <c r="I396" s="26"/>
      <c r="J396" s="26"/>
      <c r="Y396" s="26"/>
      <c r="Z396" s="26"/>
    </row>
    <row r="397" spans="8:26" ht="12.75" x14ac:dyDescent="0.2">
      <c r="H397" s="26"/>
      <c r="I397" s="26"/>
      <c r="J397" s="26"/>
      <c r="Y397" s="26"/>
      <c r="Z397" s="26"/>
    </row>
    <row r="398" spans="8:26" ht="12.75" x14ac:dyDescent="0.2">
      <c r="H398" s="26"/>
      <c r="I398" s="26"/>
      <c r="J398" s="26"/>
      <c r="Y398" s="26"/>
      <c r="Z398" s="26"/>
    </row>
    <row r="399" spans="8:26" ht="12.75" x14ac:dyDescent="0.2">
      <c r="H399" s="26"/>
      <c r="I399" s="26"/>
      <c r="J399" s="26"/>
      <c r="Y399" s="26"/>
      <c r="Z399" s="26"/>
    </row>
    <row r="400" spans="8:26" ht="12.75" x14ac:dyDescent="0.2">
      <c r="H400" s="26"/>
      <c r="I400" s="26"/>
      <c r="J400" s="26"/>
      <c r="Y400" s="26"/>
      <c r="Z400" s="26"/>
    </row>
    <row r="401" spans="8:26" ht="12.75" x14ac:dyDescent="0.2">
      <c r="H401" s="26"/>
      <c r="I401" s="26"/>
      <c r="J401" s="26"/>
      <c r="Y401" s="26"/>
      <c r="Z401" s="26"/>
    </row>
    <row r="402" spans="8:26" ht="12.75" x14ac:dyDescent="0.2">
      <c r="H402" s="26"/>
      <c r="I402" s="26"/>
      <c r="J402" s="26"/>
      <c r="Y402" s="26"/>
      <c r="Z402" s="26"/>
    </row>
    <row r="403" spans="8:26" ht="12.75" x14ac:dyDescent="0.2">
      <c r="H403" s="26"/>
      <c r="I403" s="26"/>
      <c r="J403" s="26"/>
      <c r="Y403" s="26"/>
      <c r="Z403" s="26"/>
    </row>
    <row r="404" spans="8:26" ht="12.75" x14ac:dyDescent="0.2">
      <c r="H404" s="26"/>
      <c r="I404" s="26"/>
      <c r="J404" s="26"/>
      <c r="Y404" s="26"/>
      <c r="Z404" s="26"/>
    </row>
    <row r="405" spans="8:26" ht="12.75" x14ac:dyDescent="0.2">
      <c r="H405" s="26"/>
      <c r="I405" s="26"/>
      <c r="J405" s="26"/>
      <c r="Y405" s="26"/>
      <c r="Z405" s="26"/>
    </row>
    <row r="406" spans="8:26" ht="12.75" x14ac:dyDescent="0.2">
      <c r="H406" s="26"/>
      <c r="I406" s="26"/>
      <c r="J406" s="26"/>
      <c r="Y406" s="26"/>
      <c r="Z406" s="26"/>
    </row>
    <row r="407" spans="8:26" ht="12.75" x14ac:dyDescent="0.2">
      <c r="H407" s="26"/>
      <c r="I407" s="26"/>
      <c r="J407" s="26"/>
      <c r="Y407" s="26"/>
      <c r="Z407" s="26"/>
    </row>
    <row r="408" spans="8:26" ht="12.75" x14ac:dyDescent="0.2">
      <c r="H408" s="26"/>
      <c r="I408" s="26"/>
      <c r="J408" s="26"/>
      <c r="Y408" s="26"/>
      <c r="Z408" s="26"/>
    </row>
    <row r="409" spans="8:26" ht="12.75" x14ac:dyDescent="0.2">
      <c r="H409" s="26"/>
      <c r="I409" s="26"/>
      <c r="J409" s="26"/>
      <c r="Y409" s="26"/>
      <c r="Z409" s="26"/>
    </row>
    <row r="410" spans="8:26" ht="12.75" x14ac:dyDescent="0.2">
      <c r="H410" s="26"/>
      <c r="I410" s="26"/>
      <c r="J410" s="26"/>
      <c r="Y410" s="26"/>
      <c r="Z410" s="26"/>
    </row>
    <row r="411" spans="8:26" ht="12.75" x14ac:dyDescent="0.2">
      <c r="H411" s="26"/>
      <c r="I411" s="26"/>
      <c r="J411" s="26"/>
      <c r="Y411" s="26"/>
      <c r="Z411" s="26"/>
    </row>
    <row r="412" spans="8:26" ht="12.75" x14ac:dyDescent="0.2">
      <c r="H412" s="26"/>
      <c r="I412" s="26"/>
      <c r="J412" s="26"/>
      <c r="Y412" s="26"/>
      <c r="Z412" s="26"/>
    </row>
    <row r="413" spans="8:26" ht="12.75" x14ac:dyDescent="0.2">
      <c r="H413" s="26"/>
      <c r="I413" s="26"/>
      <c r="J413" s="26"/>
      <c r="Y413" s="26"/>
      <c r="Z413" s="26"/>
    </row>
    <row r="414" spans="8:26" ht="12.75" x14ac:dyDescent="0.2">
      <c r="H414" s="26"/>
      <c r="I414" s="26"/>
      <c r="J414" s="26"/>
      <c r="Y414" s="26"/>
      <c r="Z414" s="26"/>
    </row>
    <row r="415" spans="8:26" ht="12.75" x14ac:dyDescent="0.2">
      <c r="H415" s="26"/>
      <c r="I415" s="26"/>
      <c r="J415" s="26"/>
      <c r="Y415" s="26"/>
      <c r="Z415" s="26"/>
    </row>
    <row r="416" spans="8:26" ht="12.75" x14ac:dyDescent="0.2">
      <c r="H416" s="26"/>
      <c r="I416" s="26"/>
      <c r="J416" s="26"/>
      <c r="Y416" s="26"/>
      <c r="Z416" s="26"/>
    </row>
    <row r="417" spans="8:26" ht="12.75" x14ac:dyDescent="0.2">
      <c r="H417" s="26"/>
      <c r="I417" s="26"/>
      <c r="J417" s="26"/>
      <c r="Y417" s="26"/>
      <c r="Z417" s="26"/>
    </row>
    <row r="418" spans="8:26" ht="12.75" x14ac:dyDescent="0.2">
      <c r="H418" s="26"/>
      <c r="I418" s="26"/>
      <c r="J418" s="26"/>
      <c r="Y418" s="26"/>
      <c r="Z418" s="26"/>
    </row>
    <row r="419" spans="8:26" ht="12.75" x14ac:dyDescent="0.2">
      <c r="H419" s="26"/>
      <c r="I419" s="26"/>
      <c r="J419" s="26"/>
      <c r="Y419" s="26"/>
      <c r="Z419" s="26"/>
    </row>
    <row r="420" spans="8:26" ht="12.75" x14ac:dyDescent="0.2">
      <c r="H420" s="26"/>
      <c r="I420" s="26"/>
      <c r="J420" s="26"/>
      <c r="Y420" s="26"/>
      <c r="Z420" s="26"/>
    </row>
    <row r="421" spans="8:26" ht="12.75" x14ac:dyDescent="0.2">
      <c r="H421" s="26"/>
      <c r="I421" s="26"/>
      <c r="J421" s="26"/>
      <c r="Y421" s="26"/>
      <c r="Z421" s="26"/>
    </row>
    <row r="422" spans="8:26" ht="12.75" x14ac:dyDescent="0.2">
      <c r="H422" s="26"/>
      <c r="I422" s="26"/>
      <c r="J422" s="26"/>
      <c r="Y422" s="26"/>
      <c r="Z422" s="26"/>
    </row>
    <row r="423" spans="8:26" ht="12.75" x14ac:dyDescent="0.2">
      <c r="H423" s="26"/>
      <c r="I423" s="26"/>
      <c r="J423" s="26"/>
      <c r="Y423" s="26"/>
      <c r="Z423" s="26"/>
    </row>
    <row r="424" spans="8:26" ht="12.75" x14ac:dyDescent="0.2">
      <c r="H424" s="26"/>
      <c r="I424" s="26"/>
      <c r="J424" s="26"/>
      <c r="Y424" s="26"/>
      <c r="Z424" s="26"/>
    </row>
    <row r="425" spans="8:26" ht="12.75" x14ac:dyDescent="0.2">
      <c r="H425" s="26"/>
      <c r="I425" s="26"/>
      <c r="J425" s="26"/>
      <c r="Y425" s="26"/>
      <c r="Z425" s="26"/>
    </row>
    <row r="426" spans="8:26" ht="12.75" x14ac:dyDescent="0.2">
      <c r="H426" s="26"/>
      <c r="I426" s="26"/>
      <c r="J426" s="26"/>
      <c r="Y426" s="26"/>
      <c r="Z426" s="26"/>
    </row>
    <row r="427" spans="8:26" ht="12.75" x14ac:dyDescent="0.2">
      <c r="H427" s="26"/>
      <c r="I427" s="26"/>
      <c r="J427" s="26"/>
      <c r="Y427" s="26"/>
      <c r="Z427" s="26"/>
    </row>
    <row r="428" spans="8:26" ht="12.75" x14ac:dyDescent="0.2">
      <c r="H428" s="26"/>
      <c r="I428" s="26"/>
      <c r="J428" s="26"/>
      <c r="Y428" s="26"/>
      <c r="Z428" s="26"/>
    </row>
    <row r="429" spans="8:26" ht="12.75" x14ac:dyDescent="0.2">
      <c r="H429" s="26"/>
      <c r="I429" s="26"/>
      <c r="J429" s="26"/>
      <c r="Y429" s="26"/>
      <c r="Z429" s="26"/>
    </row>
    <row r="430" spans="8:26" ht="12.75" x14ac:dyDescent="0.2">
      <c r="H430" s="26"/>
      <c r="I430" s="26"/>
      <c r="J430" s="26"/>
      <c r="Y430" s="26"/>
      <c r="Z430" s="26"/>
    </row>
    <row r="431" spans="8:26" ht="12.75" x14ac:dyDescent="0.2">
      <c r="H431" s="26"/>
      <c r="I431" s="26"/>
      <c r="J431" s="26"/>
      <c r="Y431" s="26"/>
      <c r="Z431" s="26"/>
    </row>
    <row r="432" spans="8:26" ht="12.75" x14ac:dyDescent="0.2">
      <c r="H432" s="26"/>
      <c r="I432" s="26"/>
      <c r="J432" s="26"/>
      <c r="Y432" s="26"/>
      <c r="Z432" s="26"/>
    </row>
    <row r="433" spans="8:26" ht="12.75" x14ac:dyDescent="0.2">
      <c r="H433" s="26"/>
      <c r="I433" s="26"/>
      <c r="J433" s="26"/>
      <c r="Y433" s="26"/>
      <c r="Z433" s="26"/>
    </row>
    <row r="434" spans="8:26" ht="12.75" x14ac:dyDescent="0.2">
      <c r="H434" s="26"/>
      <c r="I434" s="26"/>
      <c r="J434" s="26"/>
      <c r="Y434" s="26"/>
      <c r="Z434" s="26"/>
    </row>
    <row r="435" spans="8:26" ht="12.75" x14ac:dyDescent="0.2">
      <c r="H435" s="26"/>
      <c r="I435" s="26"/>
      <c r="J435" s="26"/>
      <c r="Y435" s="26"/>
      <c r="Z435" s="26"/>
    </row>
    <row r="436" spans="8:26" ht="12.75" x14ac:dyDescent="0.2">
      <c r="H436" s="26"/>
      <c r="I436" s="26"/>
      <c r="J436" s="26"/>
      <c r="Y436" s="26"/>
      <c r="Z436" s="26"/>
    </row>
    <row r="437" spans="8:26" ht="12.75" x14ac:dyDescent="0.2">
      <c r="H437" s="26"/>
      <c r="I437" s="26"/>
      <c r="J437" s="26"/>
      <c r="Y437" s="26"/>
      <c r="Z437" s="26"/>
    </row>
    <row r="438" spans="8:26" ht="12.75" x14ac:dyDescent="0.2">
      <c r="H438" s="26"/>
      <c r="I438" s="26"/>
      <c r="J438" s="26"/>
      <c r="Y438" s="26"/>
      <c r="Z438" s="26"/>
    </row>
    <row r="439" spans="8:26" ht="12.75" x14ac:dyDescent="0.2">
      <c r="H439" s="26"/>
      <c r="I439" s="26"/>
      <c r="J439" s="26"/>
      <c r="Y439" s="26"/>
      <c r="Z439" s="26"/>
    </row>
    <row r="440" spans="8:26" ht="12.75" x14ac:dyDescent="0.2">
      <c r="H440" s="26"/>
      <c r="I440" s="26"/>
      <c r="J440" s="26"/>
      <c r="Y440" s="26"/>
      <c r="Z440" s="26"/>
    </row>
    <row r="441" spans="8:26" ht="12.75" x14ac:dyDescent="0.2">
      <c r="H441" s="26"/>
      <c r="I441" s="26"/>
      <c r="J441" s="26"/>
      <c r="Y441" s="26"/>
      <c r="Z441" s="26"/>
    </row>
    <row r="442" spans="8:26" ht="12.75" x14ac:dyDescent="0.2">
      <c r="H442" s="26"/>
      <c r="I442" s="26"/>
      <c r="J442" s="26"/>
      <c r="Y442" s="26"/>
      <c r="Z442" s="26"/>
    </row>
    <row r="443" spans="8:26" ht="12.75" x14ac:dyDescent="0.2">
      <c r="H443" s="26"/>
      <c r="I443" s="26"/>
      <c r="J443" s="26"/>
      <c r="Y443" s="26"/>
      <c r="Z443" s="26"/>
    </row>
    <row r="444" spans="8:26" ht="12.75" x14ac:dyDescent="0.2">
      <c r="H444" s="26"/>
      <c r="I444" s="26"/>
      <c r="J444" s="26"/>
      <c r="Y444" s="26"/>
      <c r="Z444" s="26"/>
    </row>
    <row r="445" spans="8:26" ht="12.75" x14ac:dyDescent="0.2">
      <c r="H445" s="26"/>
      <c r="I445" s="26"/>
      <c r="J445" s="26"/>
      <c r="Y445" s="26"/>
      <c r="Z445" s="26"/>
    </row>
    <row r="446" spans="8:26" ht="12.75" x14ac:dyDescent="0.2">
      <c r="H446" s="26"/>
      <c r="I446" s="26"/>
      <c r="J446" s="26"/>
      <c r="Y446" s="26"/>
      <c r="Z446" s="26"/>
    </row>
    <row r="447" spans="8:26" ht="12.75" x14ac:dyDescent="0.2">
      <c r="H447" s="26"/>
      <c r="I447" s="26"/>
      <c r="J447" s="26"/>
      <c r="Y447" s="26"/>
      <c r="Z447" s="26"/>
    </row>
    <row r="448" spans="8:26" ht="12.75" x14ac:dyDescent="0.2">
      <c r="H448" s="26"/>
      <c r="I448" s="26"/>
      <c r="J448" s="26"/>
      <c r="Y448" s="26"/>
      <c r="Z448" s="26"/>
    </row>
    <row r="449" spans="8:26" ht="12.75" x14ac:dyDescent="0.2">
      <c r="H449" s="26"/>
      <c r="I449" s="26"/>
      <c r="J449" s="26"/>
      <c r="Y449" s="26"/>
      <c r="Z449" s="26"/>
    </row>
    <row r="450" spans="8:26" ht="12.75" x14ac:dyDescent="0.2">
      <c r="H450" s="26"/>
      <c r="I450" s="26"/>
      <c r="J450" s="26"/>
      <c r="Y450" s="26"/>
      <c r="Z450" s="26"/>
    </row>
    <row r="451" spans="8:26" ht="12.75" x14ac:dyDescent="0.2">
      <c r="H451" s="26"/>
      <c r="I451" s="26"/>
      <c r="J451" s="26"/>
      <c r="Y451" s="26"/>
      <c r="Z451" s="26"/>
    </row>
    <row r="452" spans="8:26" ht="12.75" x14ac:dyDescent="0.2">
      <c r="H452" s="26"/>
      <c r="I452" s="26"/>
      <c r="J452" s="26"/>
      <c r="Y452" s="26"/>
      <c r="Z452" s="26"/>
    </row>
    <row r="453" spans="8:26" ht="12.75" x14ac:dyDescent="0.2">
      <c r="H453" s="26"/>
      <c r="I453" s="26"/>
      <c r="J453" s="26"/>
      <c r="Y453" s="26"/>
      <c r="Z453" s="26"/>
    </row>
    <row r="454" spans="8:26" ht="12.75" x14ac:dyDescent="0.2">
      <c r="H454" s="26"/>
      <c r="I454" s="26"/>
      <c r="J454" s="26"/>
      <c r="Y454" s="26"/>
      <c r="Z454" s="26"/>
    </row>
    <row r="455" spans="8:26" ht="12.75" x14ac:dyDescent="0.2">
      <c r="H455" s="26"/>
      <c r="I455" s="26"/>
      <c r="J455" s="26"/>
      <c r="Y455" s="26"/>
      <c r="Z455" s="26"/>
    </row>
    <row r="456" spans="8:26" ht="12.75" x14ac:dyDescent="0.2">
      <c r="H456" s="26"/>
      <c r="I456" s="26"/>
      <c r="J456" s="26"/>
      <c r="Y456" s="26"/>
      <c r="Z456" s="26"/>
    </row>
    <row r="457" spans="8:26" ht="12.75" x14ac:dyDescent="0.2">
      <c r="H457" s="26"/>
      <c r="I457" s="26"/>
      <c r="J457" s="26"/>
      <c r="Y457" s="26"/>
      <c r="Z457" s="26"/>
    </row>
    <row r="458" spans="8:26" ht="12.75" x14ac:dyDescent="0.2">
      <c r="H458" s="26"/>
      <c r="I458" s="26"/>
      <c r="J458" s="26"/>
      <c r="Y458" s="26"/>
      <c r="Z458" s="26"/>
    </row>
    <row r="459" spans="8:26" ht="12.75" x14ac:dyDescent="0.2">
      <c r="H459" s="26"/>
      <c r="I459" s="26"/>
      <c r="J459" s="26"/>
      <c r="Y459" s="26"/>
      <c r="Z459" s="26"/>
    </row>
    <row r="460" spans="8:26" ht="12.75" x14ac:dyDescent="0.2">
      <c r="H460" s="26"/>
      <c r="I460" s="26"/>
      <c r="J460" s="26"/>
      <c r="Y460" s="26"/>
      <c r="Z460" s="26"/>
    </row>
    <row r="461" spans="8:26" ht="12.75" x14ac:dyDescent="0.2">
      <c r="H461" s="26"/>
      <c r="I461" s="26"/>
      <c r="J461" s="26"/>
      <c r="Y461" s="26"/>
      <c r="Z461" s="26"/>
    </row>
    <row r="462" spans="8:26" ht="12.75" x14ac:dyDescent="0.2">
      <c r="H462" s="26"/>
      <c r="I462" s="26"/>
      <c r="J462" s="26"/>
      <c r="Y462" s="26"/>
      <c r="Z462" s="26"/>
    </row>
    <row r="463" spans="8:26" ht="12.75" x14ac:dyDescent="0.2">
      <c r="H463" s="26"/>
      <c r="I463" s="26"/>
      <c r="J463" s="26"/>
      <c r="Y463" s="26"/>
      <c r="Z463" s="26"/>
    </row>
    <row r="464" spans="8:26" ht="12.75" x14ac:dyDescent="0.2">
      <c r="H464" s="26"/>
      <c r="I464" s="26"/>
      <c r="J464" s="26"/>
      <c r="Y464" s="26"/>
      <c r="Z464" s="26"/>
    </row>
    <row r="465" spans="8:26" ht="12.75" x14ac:dyDescent="0.2">
      <c r="H465" s="26"/>
      <c r="I465" s="26"/>
      <c r="J465" s="26"/>
      <c r="Y465" s="26"/>
      <c r="Z465" s="26"/>
    </row>
    <row r="466" spans="8:26" ht="12.75" x14ac:dyDescent="0.2">
      <c r="H466" s="26"/>
      <c r="I466" s="26"/>
      <c r="J466" s="26"/>
      <c r="Y466" s="26"/>
      <c r="Z466" s="26"/>
    </row>
    <row r="467" spans="8:26" ht="12.75" x14ac:dyDescent="0.2">
      <c r="H467" s="26"/>
      <c r="I467" s="26"/>
      <c r="J467" s="26"/>
      <c r="Y467" s="26"/>
      <c r="Z467" s="26"/>
    </row>
    <row r="468" spans="8:26" ht="12.75" x14ac:dyDescent="0.2">
      <c r="H468" s="26"/>
      <c r="I468" s="26"/>
      <c r="J468" s="26"/>
      <c r="Y468" s="26"/>
      <c r="Z468" s="26"/>
    </row>
    <row r="469" spans="8:26" ht="12.75" x14ac:dyDescent="0.2">
      <c r="H469" s="26"/>
      <c r="I469" s="26"/>
      <c r="J469" s="26"/>
      <c r="Y469" s="26"/>
      <c r="Z469" s="26"/>
    </row>
    <row r="470" spans="8:26" ht="12.75" x14ac:dyDescent="0.2">
      <c r="H470" s="26"/>
      <c r="I470" s="26"/>
      <c r="J470" s="26"/>
      <c r="Y470" s="26"/>
      <c r="Z470" s="26"/>
    </row>
    <row r="471" spans="8:26" ht="12.75" x14ac:dyDescent="0.2">
      <c r="H471" s="26"/>
      <c r="I471" s="26"/>
      <c r="J471" s="26"/>
      <c r="Y471" s="26"/>
      <c r="Z471" s="26"/>
    </row>
    <row r="472" spans="8:26" ht="12.75" x14ac:dyDescent="0.2">
      <c r="H472" s="26"/>
      <c r="I472" s="26"/>
      <c r="J472" s="26"/>
      <c r="Y472" s="26"/>
      <c r="Z472" s="26"/>
    </row>
    <row r="473" spans="8:26" ht="12.75" x14ac:dyDescent="0.2">
      <c r="H473" s="26"/>
      <c r="I473" s="26"/>
      <c r="J473" s="26"/>
      <c r="Y473" s="26"/>
      <c r="Z473" s="26"/>
    </row>
    <row r="474" spans="8:26" ht="12.75" x14ac:dyDescent="0.2">
      <c r="H474" s="26"/>
      <c r="I474" s="26"/>
      <c r="J474" s="26"/>
      <c r="Y474" s="26"/>
      <c r="Z474" s="26"/>
    </row>
    <row r="475" spans="8:26" ht="12.75" x14ac:dyDescent="0.2">
      <c r="H475" s="26"/>
      <c r="I475" s="26"/>
      <c r="J475" s="26"/>
      <c r="Y475" s="26"/>
      <c r="Z475" s="26"/>
    </row>
    <row r="476" spans="8:26" ht="12.75" x14ac:dyDescent="0.2">
      <c r="H476" s="26"/>
      <c r="I476" s="26"/>
      <c r="J476" s="26"/>
      <c r="Y476" s="26"/>
      <c r="Z476" s="26"/>
    </row>
    <row r="477" spans="8:26" ht="12.75" x14ac:dyDescent="0.2">
      <c r="H477" s="26"/>
      <c r="I477" s="26"/>
      <c r="J477" s="26"/>
      <c r="Y477" s="26"/>
      <c r="Z477" s="26"/>
    </row>
    <row r="478" spans="8:26" ht="12.75" x14ac:dyDescent="0.2">
      <c r="H478" s="26"/>
      <c r="I478" s="26"/>
      <c r="J478" s="26"/>
      <c r="Y478" s="26"/>
      <c r="Z478" s="26"/>
    </row>
    <row r="479" spans="8:26" ht="12.75" x14ac:dyDescent="0.2">
      <c r="H479" s="26"/>
      <c r="I479" s="26"/>
      <c r="J479" s="26"/>
      <c r="Y479" s="26"/>
      <c r="Z479" s="26"/>
    </row>
    <row r="480" spans="8:26" ht="12.75" x14ac:dyDescent="0.2">
      <c r="H480" s="26"/>
      <c r="I480" s="26"/>
      <c r="J480" s="26"/>
      <c r="Y480" s="26"/>
      <c r="Z480" s="26"/>
    </row>
    <row r="481" spans="8:26" ht="12.75" x14ac:dyDescent="0.2">
      <c r="H481" s="26"/>
      <c r="I481" s="26"/>
      <c r="J481" s="26"/>
      <c r="Y481" s="26"/>
      <c r="Z481" s="26"/>
    </row>
    <row r="482" spans="8:26" ht="12.75" x14ac:dyDescent="0.2">
      <c r="H482" s="26"/>
      <c r="I482" s="26"/>
      <c r="J482" s="26"/>
      <c r="Y482" s="26"/>
      <c r="Z482" s="26"/>
    </row>
    <row r="483" spans="8:26" ht="12.75" x14ac:dyDescent="0.2">
      <c r="H483" s="26"/>
      <c r="I483" s="26"/>
      <c r="J483" s="26"/>
      <c r="Y483" s="26"/>
      <c r="Z483" s="26"/>
    </row>
    <row r="484" spans="8:26" ht="12.75" x14ac:dyDescent="0.2">
      <c r="H484" s="26"/>
      <c r="I484" s="26"/>
      <c r="J484" s="26"/>
      <c r="Y484" s="26"/>
      <c r="Z484" s="26"/>
    </row>
    <row r="485" spans="8:26" ht="12.75" x14ac:dyDescent="0.2">
      <c r="H485" s="26"/>
      <c r="I485" s="26"/>
      <c r="J485" s="26"/>
      <c r="Y485" s="26"/>
      <c r="Z485" s="26"/>
    </row>
    <row r="486" spans="8:26" ht="12.75" x14ac:dyDescent="0.2">
      <c r="H486" s="26"/>
      <c r="I486" s="26"/>
      <c r="J486" s="26"/>
      <c r="Y486" s="26"/>
      <c r="Z486" s="26"/>
    </row>
    <row r="487" spans="8:26" ht="12.75" x14ac:dyDescent="0.2">
      <c r="H487" s="26"/>
      <c r="I487" s="26"/>
      <c r="J487" s="26"/>
      <c r="Y487" s="26"/>
      <c r="Z487" s="26"/>
    </row>
    <row r="488" spans="8:26" ht="12.75" x14ac:dyDescent="0.2">
      <c r="H488" s="26"/>
      <c r="I488" s="26"/>
      <c r="J488" s="26"/>
      <c r="Y488" s="26"/>
      <c r="Z488" s="26"/>
    </row>
    <row r="489" spans="8:26" ht="12.75" x14ac:dyDescent="0.2">
      <c r="H489" s="26"/>
      <c r="I489" s="26"/>
      <c r="J489" s="26"/>
      <c r="Y489" s="26"/>
      <c r="Z489" s="26"/>
    </row>
    <row r="490" spans="8:26" ht="12.75" x14ac:dyDescent="0.2">
      <c r="H490" s="26"/>
      <c r="I490" s="26"/>
      <c r="J490" s="26"/>
      <c r="Y490" s="26"/>
      <c r="Z490" s="26"/>
    </row>
    <row r="491" spans="8:26" ht="12.75" x14ac:dyDescent="0.2">
      <c r="H491" s="26"/>
      <c r="I491" s="26"/>
      <c r="J491" s="26"/>
      <c r="Y491" s="26"/>
      <c r="Z491" s="26"/>
    </row>
    <row r="492" spans="8:26" ht="12.75" x14ac:dyDescent="0.2">
      <c r="H492" s="26"/>
      <c r="I492" s="26"/>
      <c r="J492" s="26"/>
      <c r="Y492" s="26"/>
      <c r="Z492" s="26"/>
    </row>
    <row r="493" spans="8:26" ht="12.75" x14ac:dyDescent="0.2">
      <c r="H493" s="26"/>
      <c r="I493" s="26"/>
      <c r="J493" s="26"/>
      <c r="Y493" s="26"/>
      <c r="Z493" s="26"/>
    </row>
    <row r="494" spans="8:26" ht="12.75" x14ac:dyDescent="0.2">
      <c r="H494" s="26"/>
      <c r="I494" s="26"/>
      <c r="J494" s="26"/>
      <c r="Y494" s="26"/>
      <c r="Z494" s="26"/>
    </row>
    <row r="495" spans="8:26" ht="12.75" x14ac:dyDescent="0.2">
      <c r="H495" s="26"/>
      <c r="I495" s="26"/>
      <c r="J495" s="26"/>
      <c r="Y495" s="26"/>
      <c r="Z495" s="26"/>
    </row>
    <row r="496" spans="8:26" ht="12.75" x14ac:dyDescent="0.2">
      <c r="H496" s="26"/>
      <c r="I496" s="26"/>
      <c r="J496" s="26"/>
      <c r="Y496" s="26"/>
      <c r="Z496" s="26"/>
    </row>
    <row r="497" spans="8:26" ht="12.75" x14ac:dyDescent="0.2">
      <c r="H497" s="26"/>
      <c r="I497" s="26"/>
      <c r="J497" s="26"/>
      <c r="Y497" s="26"/>
      <c r="Z497" s="26"/>
    </row>
    <row r="498" spans="8:26" ht="12.75" x14ac:dyDescent="0.2">
      <c r="H498" s="26"/>
      <c r="I498" s="26"/>
      <c r="J498" s="26"/>
      <c r="Y498" s="26"/>
      <c r="Z498" s="26"/>
    </row>
    <row r="499" spans="8:26" ht="12.75" x14ac:dyDescent="0.2">
      <c r="H499" s="26"/>
      <c r="I499" s="26"/>
      <c r="J499" s="26"/>
      <c r="Y499" s="26"/>
      <c r="Z499" s="26"/>
    </row>
    <row r="500" spans="8:26" ht="12.75" x14ac:dyDescent="0.2">
      <c r="H500" s="26"/>
      <c r="I500" s="26"/>
      <c r="J500" s="26"/>
      <c r="Y500" s="26"/>
      <c r="Z500" s="26"/>
    </row>
    <row r="501" spans="8:26" ht="12.75" x14ac:dyDescent="0.2">
      <c r="H501" s="26"/>
      <c r="I501" s="26"/>
      <c r="J501" s="26"/>
      <c r="Y501" s="26"/>
      <c r="Z501" s="26"/>
    </row>
    <row r="502" spans="8:26" ht="12.75" x14ac:dyDescent="0.2">
      <c r="H502" s="26"/>
      <c r="I502" s="26"/>
      <c r="J502" s="26"/>
      <c r="Y502" s="26"/>
      <c r="Z502" s="26"/>
    </row>
    <row r="503" spans="8:26" ht="12.75" x14ac:dyDescent="0.2">
      <c r="H503" s="26"/>
      <c r="I503" s="26"/>
      <c r="J503" s="26"/>
      <c r="Y503" s="26"/>
      <c r="Z503" s="26"/>
    </row>
    <row r="504" spans="8:26" ht="12.75" x14ac:dyDescent="0.2">
      <c r="H504" s="26"/>
      <c r="I504" s="26"/>
      <c r="J504" s="26"/>
      <c r="Y504" s="26"/>
      <c r="Z504" s="26"/>
    </row>
    <row r="505" spans="8:26" ht="12.75" x14ac:dyDescent="0.2">
      <c r="H505" s="26"/>
      <c r="I505" s="26"/>
      <c r="J505" s="26"/>
      <c r="Y505" s="26"/>
      <c r="Z505" s="26"/>
    </row>
    <row r="506" spans="8:26" ht="12.75" x14ac:dyDescent="0.2">
      <c r="H506" s="26"/>
      <c r="I506" s="26"/>
      <c r="J506" s="26"/>
      <c r="Y506" s="26"/>
      <c r="Z506" s="26"/>
    </row>
    <row r="507" spans="8:26" ht="12.75" x14ac:dyDescent="0.2">
      <c r="H507" s="26"/>
      <c r="I507" s="26"/>
      <c r="J507" s="26"/>
      <c r="Y507" s="26"/>
      <c r="Z507" s="26"/>
    </row>
    <row r="508" spans="8:26" ht="12.75" x14ac:dyDescent="0.2">
      <c r="H508" s="26"/>
      <c r="I508" s="26"/>
      <c r="J508" s="26"/>
      <c r="Y508" s="26"/>
      <c r="Z508" s="26"/>
    </row>
    <row r="509" spans="8:26" ht="12.75" x14ac:dyDescent="0.2">
      <c r="H509" s="26"/>
      <c r="I509" s="26"/>
      <c r="J509" s="26"/>
      <c r="Y509" s="26"/>
      <c r="Z509" s="26"/>
    </row>
    <row r="510" spans="8:26" ht="12.75" x14ac:dyDescent="0.2">
      <c r="H510" s="26"/>
      <c r="I510" s="26"/>
      <c r="J510" s="26"/>
      <c r="Y510" s="26"/>
      <c r="Z510" s="26"/>
    </row>
    <row r="511" spans="8:26" ht="12.75" x14ac:dyDescent="0.2">
      <c r="H511" s="26"/>
      <c r="I511" s="26"/>
      <c r="J511" s="26"/>
      <c r="Y511" s="26"/>
      <c r="Z511" s="26"/>
    </row>
    <row r="512" spans="8:26" ht="12.75" x14ac:dyDescent="0.2">
      <c r="H512" s="26"/>
      <c r="I512" s="26"/>
      <c r="J512" s="26"/>
      <c r="Y512" s="26"/>
      <c r="Z512" s="26"/>
    </row>
    <row r="513" spans="8:26" ht="12.75" x14ac:dyDescent="0.2">
      <c r="H513" s="26"/>
      <c r="I513" s="26"/>
      <c r="J513" s="26"/>
      <c r="Y513" s="26"/>
      <c r="Z513" s="26"/>
    </row>
    <row r="514" spans="8:26" ht="12.75" x14ac:dyDescent="0.2">
      <c r="H514" s="26"/>
      <c r="I514" s="26"/>
      <c r="J514" s="26"/>
      <c r="Y514" s="26"/>
      <c r="Z514" s="26"/>
    </row>
    <row r="515" spans="8:26" ht="12.75" x14ac:dyDescent="0.2">
      <c r="H515" s="26"/>
      <c r="I515" s="26"/>
      <c r="J515" s="26"/>
      <c r="Y515" s="26"/>
      <c r="Z515" s="26"/>
    </row>
    <row r="516" spans="8:26" ht="12.75" x14ac:dyDescent="0.2">
      <c r="H516" s="26"/>
      <c r="I516" s="26"/>
      <c r="J516" s="26"/>
      <c r="Y516" s="26"/>
      <c r="Z516" s="26"/>
    </row>
    <row r="517" spans="8:26" ht="12.75" x14ac:dyDescent="0.2">
      <c r="H517" s="26"/>
      <c r="I517" s="26"/>
      <c r="J517" s="26"/>
      <c r="Y517" s="26"/>
      <c r="Z517" s="26"/>
    </row>
    <row r="518" spans="8:26" ht="12.75" x14ac:dyDescent="0.2">
      <c r="H518" s="26"/>
      <c r="I518" s="26"/>
      <c r="J518" s="26"/>
      <c r="Y518" s="26"/>
      <c r="Z518" s="26"/>
    </row>
    <row r="519" spans="8:26" ht="12.75" x14ac:dyDescent="0.2">
      <c r="H519" s="26"/>
      <c r="I519" s="26"/>
      <c r="J519" s="26"/>
      <c r="Y519" s="26"/>
      <c r="Z519" s="26"/>
    </row>
    <row r="520" spans="8:26" ht="12.75" x14ac:dyDescent="0.2">
      <c r="H520" s="26"/>
      <c r="I520" s="26"/>
      <c r="J520" s="26"/>
      <c r="Y520" s="26"/>
      <c r="Z520" s="26"/>
    </row>
    <row r="521" spans="8:26" ht="12.75" x14ac:dyDescent="0.2">
      <c r="H521" s="26"/>
      <c r="I521" s="26"/>
      <c r="J521" s="26"/>
      <c r="Y521" s="26"/>
      <c r="Z521" s="26"/>
    </row>
    <row r="522" spans="8:26" ht="12.75" x14ac:dyDescent="0.2">
      <c r="H522" s="26"/>
      <c r="I522" s="26"/>
      <c r="J522" s="26"/>
      <c r="Y522" s="26"/>
      <c r="Z522" s="26"/>
    </row>
    <row r="523" spans="8:26" ht="12.75" x14ac:dyDescent="0.2">
      <c r="H523" s="26"/>
      <c r="I523" s="26"/>
      <c r="J523" s="26"/>
      <c r="Y523" s="26"/>
      <c r="Z523" s="26"/>
    </row>
    <row r="524" spans="8:26" ht="12.75" x14ac:dyDescent="0.2">
      <c r="H524" s="26"/>
      <c r="I524" s="26"/>
      <c r="J524" s="26"/>
      <c r="Y524" s="26"/>
      <c r="Z524" s="26"/>
    </row>
    <row r="525" spans="8:26" ht="12.75" x14ac:dyDescent="0.2">
      <c r="H525" s="26"/>
      <c r="I525" s="26"/>
      <c r="J525" s="26"/>
      <c r="Y525" s="26"/>
      <c r="Z525" s="26"/>
    </row>
    <row r="526" spans="8:26" ht="12.75" x14ac:dyDescent="0.2">
      <c r="H526" s="26"/>
      <c r="I526" s="26"/>
      <c r="J526" s="26"/>
      <c r="Y526" s="26"/>
      <c r="Z526" s="26"/>
    </row>
    <row r="527" spans="8:26" ht="12.75" x14ac:dyDescent="0.2">
      <c r="H527" s="26"/>
      <c r="I527" s="26"/>
      <c r="J527" s="26"/>
      <c r="Y527" s="26"/>
      <c r="Z527" s="26"/>
    </row>
    <row r="528" spans="8:26" ht="12.75" x14ac:dyDescent="0.2">
      <c r="H528" s="26"/>
      <c r="I528" s="26"/>
      <c r="J528" s="26"/>
      <c r="Y528" s="26"/>
      <c r="Z528" s="26"/>
    </row>
    <row r="529" spans="8:26" ht="12.75" x14ac:dyDescent="0.2">
      <c r="H529" s="26"/>
      <c r="I529" s="26"/>
      <c r="J529" s="26"/>
      <c r="Y529" s="26"/>
      <c r="Z529" s="26"/>
    </row>
    <row r="530" spans="8:26" ht="12.75" x14ac:dyDescent="0.2">
      <c r="H530" s="26"/>
      <c r="I530" s="26"/>
      <c r="J530" s="26"/>
      <c r="Y530" s="26"/>
      <c r="Z530" s="26"/>
    </row>
    <row r="531" spans="8:26" ht="12.75" x14ac:dyDescent="0.2">
      <c r="H531" s="26"/>
      <c r="I531" s="26"/>
      <c r="J531" s="26"/>
      <c r="Y531" s="26"/>
      <c r="Z531" s="26"/>
    </row>
    <row r="532" spans="8:26" ht="12.75" x14ac:dyDescent="0.2">
      <c r="H532" s="26"/>
      <c r="I532" s="26"/>
      <c r="J532" s="26"/>
      <c r="Y532" s="26"/>
      <c r="Z532" s="26"/>
    </row>
    <row r="533" spans="8:26" ht="12.75" x14ac:dyDescent="0.2">
      <c r="H533" s="26"/>
      <c r="I533" s="26"/>
      <c r="J533" s="26"/>
      <c r="Y533" s="26"/>
      <c r="Z533" s="26"/>
    </row>
    <row r="534" spans="8:26" ht="12.75" x14ac:dyDescent="0.2">
      <c r="H534" s="26"/>
      <c r="I534" s="26"/>
      <c r="J534" s="26"/>
      <c r="Y534" s="26"/>
      <c r="Z534" s="26"/>
    </row>
    <row r="535" spans="8:26" ht="12.75" x14ac:dyDescent="0.2">
      <c r="H535" s="26"/>
      <c r="I535" s="26"/>
      <c r="J535" s="26"/>
      <c r="Y535" s="26"/>
      <c r="Z535" s="26"/>
    </row>
    <row r="536" spans="8:26" ht="12.75" x14ac:dyDescent="0.2">
      <c r="H536" s="26"/>
      <c r="I536" s="26"/>
      <c r="J536" s="26"/>
      <c r="Y536" s="26"/>
      <c r="Z536" s="26"/>
    </row>
    <row r="537" spans="8:26" ht="12.75" x14ac:dyDescent="0.2">
      <c r="H537" s="26"/>
      <c r="I537" s="26"/>
      <c r="J537" s="26"/>
      <c r="Y537" s="26"/>
      <c r="Z537" s="26"/>
    </row>
    <row r="538" spans="8:26" ht="12.75" x14ac:dyDescent="0.2">
      <c r="H538" s="26"/>
      <c r="I538" s="26"/>
      <c r="J538" s="26"/>
      <c r="Y538" s="26"/>
      <c r="Z538" s="26"/>
    </row>
    <row r="539" spans="8:26" ht="12.75" x14ac:dyDescent="0.2">
      <c r="H539" s="26"/>
      <c r="I539" s="26"/>
      <c r="J539" s="26"/>
      <c r="Y539" s="26"/>
      <c r="Z539" s="26"/>
    </row>
    <row r="540" spans="8:26" ht="12.75" x14ac:dyDescent="0.2">
      <c r="H540" s="26"/>
      <c r="I540" s="26"/>
      <c r="J540" s="26"/>
      <c r="Y540" s="26"/>
      <c r="Z540" s="26"/>
    </row>
    <row r="541" spans="8:26" ht="12.75" x14ac:dyDescent="0.2">
      <c r="H541" s="26"/>
      <c r="I541" s="26"/>
      <c r="J541" s="26"/>
      <c r="Y541" s="26"/>
      <c r="Z541" s="26"/>
    </row>
    <row r="542" spans="8:26" ht="12.75" x14ac:dyDescent="0.2">
      <c r="H542" s="26"/>
      <c r="I542" s="26"/>
      <c r="J542" s="26"/>
      <c r="Y542" s="26"/>
      <c r="Z542" s="26"/>
    </row>
    <row r="543" spans="8:26" ht="12.75" x14ac:dyDescent="0.2">
      <c r="H543" s="26"/>
      <c r="I543" s="26"/>
      <c r="J543" s="26"/>
      <c r="Y543" s="26"/>
      <c r="Z543" s="26"/>
    </row>
    <row r="544" spans="8:26" ht="12.75" x14ac:dyDescent="0.2">
      <c r="H544" s="26"/>
      <c r="I544" s="26"/>
      <c r="J544" s="26"/>
      <c r="Y544" s="26"/>
      <c r="Z544" s="26"/>
    </row>
    <row r="545" spans="8:26" ht="12.75" x14ac:dyDescent="0.2">
      <c r="H545" s="26"/>
      <c r="I545" s="26"/>
      <c r="J545" s="26"/>
      <c r="Y545" s="26"/>
      <c r="Z545" s="26"/>
    </row>
    <row r="546" spans="8:26" ht="12.75" x14ac:dyDescent="0.2">
      <c r="H546" s="26"/>
      <c r="I546" s="26"/>
      <c r="J546" s="26"/>
      <c r="Y546" s="26"/>
      <c r="Z546" s="26"/>
    </row>
    <row r="547" spans="8:26" ht="12.75" x14ac:dyDescent="0.2">
      <c r="H547" s="26"/>
      <c r="I547" s="26"/>
      <c r="J547" s="26"/>
      <c r="Y547" s="26"/>
      <c r="Z547" s="26"/>
    </row>
    <row r="548" spans="8:26" ht="12.75" x14ac:dyDescent="0.2">
      <c r="H548" s="26"/>
      <c r="I548" s="26"/>
      <c r="J548" s="26"/>
      <c r="Y548" s="26"/>
      <c r="Z548" s="26"/>
    </row>
    <row r="549" spans="8:26" ht="12.75" x14ac:dyDescent="0.2">
      <c r="H549" s="26"/>
      <c r="I549" s="26"/>
      <c r="J549" s="26"/>
      <c r="Y549" s="26"/>
      <c r="Z549" s="26"/>
    </row>
    <row r="550" spans="8:26" ht="12.75" x14ac:dyDescent="0.2">
      <c r="H550" s="26"/>
      <c r="I550" s="26"/>
      <c r="J550" s="26"/>
      <c r="Y550" s="26"/>
      <c r="Z550" s="26"/>
    </row>
    <row r="551" spans="8:26" ht="12.75" x14ac:dyDescent="0.2">
      <c r="H551" s="26"/>
      <c r="I551" s="26"/>
      <c r="J551" s="26"/>
      <c r="Y551" s="26"/>
      <c r="Z551" s="26"/>
    </row>
    <row r="552" spans="8:26" ht="12.75" x14ac:dyDescent="0.2">
      <c r="H552" s="26"/>
      <c r="I552" s="26"/>
      <c r="J552" s="26"/>
      <c r="Y552" s="26"/>
      <c r="Z552" s="26"/>
    </row>
    <row r="553" spans="8:26" ht="12.75" x14ac:dyDescent="0.2">
      <c r="H553" s="26"/>
      <c r="I553" s="26"/>
      <c r="J553" s="26"/>
      <c r="Y553" s="26"/>
      <c r="Z553" s="26"/>
    </row>
    <row r="554" spans="8:26" ht="12.75" x14ac:dyDescent="0.2">
      <c r="H554" s="26"/>
      <c r="I554" s="26"/>
      <c r="J554" s="26"/>
      <c r="Y554" s="26"/>
      <c r="Z554" s="26"/>
    </row>
    <row r="555" spans="8:26" ht="12.75" x14ac:dyDescent="0.2">
      <c r="H555" s="26"/>
      <c r="I555" s="26"/>
      <c r="J555" s="26"/>
      <c r="Y555" s="26"/>
      <c r="Z555" s="26"/>
    </row>
    <row r="556" spans="8:26" ht="12.75" x14ac:dyDescent="0.2">
      <c r="H556" s="26"/>
      <c r="I556" s="26"/>
      <c r="J556" s="26"/>
      <c r="Y556" s="26"/>
      <c r="Z556" s="26"/>
    </row>
    <row r="557" spans="8:26" ht="12.75" x14ac:dyDescent="0.2">
      <c r="H557" s="26"/>
      <c r="I557" s="26"/>
      <c r="J557" s="26"/>
      <c r="Y557" s="26"/>
      <c r="Z557" s="26"/>
    </row>
    <row r="558" spans="8:26" ht="12.75" x14ac:dyDescent="0.2">
      <c r="H558" s="26"/>
      <c r="I558" s="26"/>
      <c r="J558" s="26"/>
      <c r="Y558" s="26"/>
      <c r="Z558" s="26"/>
    </row>
    <row r="559" spans="8:26" ht="12.75" x14ac:dyDescent="0.2">
      <c r="H559" s="26"/>
      <c r="I559" s="26"/>
      <c r="J559" s="26"/>
      <c r="Y559" s="26"/>
      <c r="Z559" s="26"/>
    </row>
    <row r="560" spans="8:26" ht="12.75" x14ac:dyDescent="0.2">
      <c r="H560" s="26"/>
      <c r="I560" s="26"/>
      <c r="J560" s="26"/>
      <c r="Y560" s="26"/>
      <c r="Z560" s="26"/>
    </row>
    <row r="561" spans="8:26" ht="12.75" x14ac:dyDescent="0.2">
      <c r="H561" s="26"/>
      <c r="I561" s="26"/>
      <c r="J561" s="26"/>
      <c r="Y561" s="26"/>
      <c r="Z561" s="26"/>
    </row>
    <row r="562" spans="8:26" ht="12.75" x14ac:dyDescent="0.2">
      <c r="H562" s="26"/>
      <c r="I562" s="26"/>
      <c r="J562" s="26"/>
      <c r="Y562" s="26"/>
      <c r="Z562" s="26"/>
    </row>
    <row r="563" spans="8:26" ht="12.75" x14ac:dyDescent="0.2">
      <c r="H563" s="26"/>
      <c r="I563" s="26"/>
      <c r="J563" s="26"/>
      <c r="Y563" s="26"/>
      <c r="Z563" s="26"/>
    </row>
    <row r="564" spans="8:26" ht="12.75" x14ac:dyDescent="0.2">
      <c r="H564" s="26"/>
      <c r="I564" s="26"/>
      <c r="J564" s="26"/>
      <c r="Y564" s="26"/>
      <c r="Z564" s="26"/>
    </row>
    <row r="565" spans="8:26" ht="12.75" x14ac:dyDescent="0.2">
      <c r="H565" s="26"/>
      <c r="I565" s="26"/>
      <c r="J565" s="26"/>
      <c r="Y565" s="26"/>
      <c r="Z565" s="26"/>
    </row>
    <row r="566" spans="8:26" ht="12.75" x14ac:dyDescent="0.2">
      <c r="H566" s="26"/>
      <c r="I566" s="26"/>
      <c r="J566" s="26"/>
      <c r="Y566" s="26"/>
      <c r="Z566" s="26"/>
    </row>
    <row r="567" spans="8:26" ht="12.75" x14ac:dyDescent="0.2">
      <c r="H567" s="26"/>
      <c r="I567" s="26"/>
      <c r="J567" s="26"/>
      <c r="Y567" s="26"/>
      <c r="Z567" s="26"/>
    </row>
    <row r="568" spans="8:26" ht="12.75" x14ac:dyDescent="0.2">
      <c r="H568" s="26"/>
      <c r="I568" s="26"/>
      <c r="J568" s="26"/>
      <c r="Y568" s="26"/>
      <c r="Z568" s="26"/>
    </row>
    <row r="569" spans="8:26" ht="12.75" x14ac:dyDescent="0.2">
      <c r="H569" s="26"/>
      <c r="I569" s="26"/>
      <c r="J569" s="26"/>
      <c r="Y569" s="26"/>
      <c r="Z569" s="26"/>
    </row>
    <row r="570" spans="8:26" ht="12.75" x14ac:dyDescent="0.2">
      <c r="H570" s="26"/>
      <c r="I570" s="26"/>
      <c r="J570" s="26"/>
      <c r="Y570" s="26"/>
      <c r="Z570" s="26"/>
    </row>
    <row r="571" spans="8:26" ht="12.75" x14ac:dyDescent="0.2">
      <c r="H571" s="26"/>
      <c r="I571" s="26"/>
      <c r="J571" s="26"/>
      <c r="Y571" s="26"/>
      <c r="Z571" s="26"/>
    </row>
    <row r="572" spans="8:26" ht="12.75" x14ac:dyDescent="0.2">
      <c r="H572" s="26"/>
      <c r="I572" s="26"/>
      <c r="J572" s="26"/>
      <c r="Y572" s="26"/>
      <c r="Z572" s="26"/>
    </row>
    <row r="573" spans="8:26" ht="12.75" x14ac:dyDescent="0.2">
      <c r="H573" s="26"/>
      <c r="I573" s="26"/>
      <c r="J573" s="26"/>
      <c r="Y573" s="26"/>
      <c r="Z573" s="26"/>
    </row>
    <row r="574" spans="8:26" ht="12.75" x14ac:dyDescent="0.2">
      <c r="H574" s="26"/>
      <c r="I574" s="26"/>
      <c r="J574" s="26"/>
      <c r="Y574" s="26"/>
      <c r="Z574" s="26"/>
    </row>
    <row r="575" spans="8:26" ht="12.75" x14ac:dyDescent="0.2">
      <c r="H575" s="26"/>
      <c r="I575" s="26"/>
      <c r="J575" s="26"/>
      <c r="Y575" s="26"/>
      <c r="Z575" s="26"/>
    </row>
    <row r="576" spans="8:26" ht="12.75" x14ac:dyDescent="0.2">
      <c r="H576" s="26"/>
      <c r="I576" s="26"/>
      <c r="J576" s="26"/>
      <c r="Y576" s="26"/>
      <c r="Z576" s="26"/>
    </row>
    <row r="577" spans="8:26" ht="12.75" x14ac:dyDescent="0.2">
      <c r="H577" s="26"/>
      <c r="I577" s="26"/>
      <c r="J577" s="26"/>
      <c r="Y577" s="26"/>
      <c r="Z577" s="26"/>
    </row>
    <row r="578" spans="8:26" ht="12.75" x14ac:dyDescent="0.2">
      <c r="H578" s="26"/>
      <c r="I578" s="26"/>
      <c r="J578" s="26"/>
      <c r="Y578" s="26"/>
      <c r="Z578" s="26"/>
    </row>
    <row r="579" spans="8:26" ht="12.75" x14ac:dyDescent="0.2">
      <c r="H579" s="26"/>
      <c r="I579" s="26"/>
      <c r="J579" s="26"/>
      <c r="Y579" s="26"/>
      <c r="Z579" s="26"/>
    </row>
    <row r="580" spans="8:26" ht="12.75" x14ac:dyDescent="0.2">
      <c r="H580" s="26"/>
      <c r="I580" s="26"/>
      <c r="J580" s="26"/>
      <c r="Y580" s="26"/>
      <c r="Z580" s="26"/>
    </row>
    <row r="581" spans="8:26" ht="12.75" x14ac:dyDescent="0.2">
      <c r="H581" s="26"/>
      <c r="I581" s="26"/>
      <c r="J581" s="26"/>
      <c r="Y581" s="26"/>
      <c r="Z581" s="26"/>
    </row>
    <row r="582" spans="8:26" ht="12.75" x14ac:dyDescent="0.2">
      <c r="H582" s="26"/>
      <c r="I582" s="26"/>
      <c r="J582" s="26"/>
      <c r="Y582" s="26"/>
      <c r="Z582" s="26"/>
    </row>
    <row r="583" spans="8:26" ht="12.75" x14ac:dyDescent="0.2">
      <c r="H583" s="26"/>
      <c r="I583" s="26"/>
      <c r="J583" s="26"/>
      <c r="Y583" s="26"/>
      <c r="Z583" s="26"/>
    </row>
    <row r="584" spans="8:26" ht="12.75" x14ac:dyDescent="0.2">
      <c r="H584" s="26"/>
      <c r="I584" s="26"/>
      <c r="J584" s="26"/>
      <c r="Y584" s="26"/>
      <c r="Z584" s="26"/>
    </row>
    <row r="585" spans="8:26" ht="12.75" x14ac:dyDescent="0.2">
      <c r="H585" s="26"/>
      <c r="I585" s="26"/>
      <c r="J585" s="26"/>
      <c r="Y585" s="26"/>
      <c r="Z585" s="26"/>
    </row>
    <row r="586" spans="8:26" ht="12.75" x14ac:dyDescent="0.2">
      <c r="H586" s="26"/>
      <c r="I586" s="26"/>
      <c r="J586" s="26"/>
      <c r="Y586" s="26"/>
      <c r="Z586" s="26"/>
    </row>
    <row r="587" spans="8:26" ht="12.75" x14ac:dyDescent="0.2">
      <c r="H587" s="26"/>
      <c r="I587" s="26"/>
      <c r="J587" s="26"/>
      <c r="Y587" s="26"/>
      <c r="Z587" s="26"/>
    </row>
    <row r="588" spans="8:26" ht="12.75" x14ac:dyDescent="0.2">
      <c r="H588" s="26"/>
      <c r="I588" s="26"/>
      <c r="J588" s="26"/>
      <c r="Y588" s="26"/>
      <c r="Z588" s="26"/>
    </row>
    <row r="589" spans="8:26" ht="12.75" x14ac:dyDescent="0.2">
      <c r="H589" s="26"/>
      <c r="I589" s="26"/>
      <c r="J589" s="26"/>
      <c r="Y589" s="26"/>
      <c r="Z589" s="26"/>
    </row>
    <row r="590" spans="8:26" ht="12.75" x14ac:dyDescent="0.2">
      <c r="H590" s="26"/>
      <c r="I590" s="26"/>
      <c r="J590" s="26"/>
      <c r="Y590" s="26"/>
      <c r="Z590" s="26"/>
    </row>
    <row r="591" spans="8:26" ht="12.75" x14ac:dyDescent="0.2">
      <c r="H591" s="26"/>
      <c r="I591" s="26"/>
      <c r="J591" s="26"/>
      <c r="Y591" s="26"/>
      <c r="Z591" s="26"/>
    </row>
    <row r="592" spans="8:26" ht="12.75" x14ac:dyDescent="0.2">
      <c r="H592" s="26"/>
      <c r="I592" s="26"/>
      <c r="J592" s="26"/>
      <c r="Y592" s="26"/>
      <c r="Z592" s="26"/>
    </row>
    <row r="593" spans="8:26" ht="12.75" x14ac:dyDescent="0.2">
      <c r="H593" s="26"/>
      <c r="I593" s="26"/>
      <c r="J593" s="26"/>
      <c r="Y593" s="26"/>
      <c r="Z593" s="26"/>
    </row>
    <row r="594" spans="8:26" ht="12.75" x14ac:dyDescent="0.2">
      <c r="H594" s="26"/>
      <c r="I594" s="26"/>
      <c r="J594" s="26"/>
      <c r="Y594" s="26"/>
      <c r="Z594" s="26"/>
    </row>
    <row r="595" spans="8:26" ht="12.75" x14ac:dyDescent="0.2">
      <c r="H595" s="26"/>
      <c r="I595" s="26"/>
      <c r="J595" s="26"/>
      <c r="Y595" s="26"/>
      <c r="Z595" s="26"/>
    </row>
    <row r="596" spans="8:26" ht="12.75" x14ac:dyDescent="0.2">
      <c r="H596" s="26"/>
      <c r="I596" s="26"/>
      <c r="J596" s="26"/>
      <c r="Y596" s="26"/>
      <c r="Z596" s="26"/>
    </row>
    <row r="597" spans="8:26" ht="12.75" x14ac:dyDescent="0.2">
      <c r="H597" s="26"/>
      <c r="I597" s="26"/>
      <c r="J597" s="26"/>
      <c r="Y597" s="26"/>
      <c r="Z597" s="26"/>
    </row>
    <row r="598" spans="8:26" ht="12.75" x14ac:dyDescent="0.2">
      <c r="H598" s="26"/>
      <c r="I598" s="26"/>
      <c r="J598" s="26"/>
      <c r="Y598" s="26"/>
      <c r="Z598" s="26"/>
    </row>
    <row r="599" spans="8:26" ht="12.75" x14ac:dyDescent="0.2">
      <c r="H599" s="26"/>
      <c r="I599" s="26"/>
      <c r="J599" s="26"/>
      <c r="Y599" s="26"/>
      <c r="Z599" s="26"/>
    </row>
    <row r="600" spans="8:26" ht="12.75" x14ac:dyDescent="0.2">
      <c r="H600" s="26"/>
      <c r="I600" s="26"/>
      <c r="J600" s="26"/>
      <c r="Y600" s="26"/>
      <c r="Z600" s="26"/>
    </row>
    <row r="601" spans="8:26" ht="12.75" x14ac:dyDescent="0.2">
      <c r="H601" s="26"/>
      <c r="I601" s="26"/>
      <c r="J601" s="26"/>
      <c r="Y601" s="26"/>
      <c r="Z601" s="26"/>
    </row>
    <row r="602" spans="8:26" ht="12.75" x14ac:dyDescent="0.2">
      <c r="H602" s="26"/>
      <c r="I602" s="26"/>
      <c r="J602" s="26"/>
      <c r="Y602" s="26"/>
      <c r="Z602" s="26"/>
    </row>
    <row r="603" spans="8:26" ht="12.75" x14ac:dyDescent="0.2">
      <c r="H603" s="26"/>
      <c r="I603" s="26"/>
      <c r="J603" s="26"/>
      <c r="Y603" s="26"/>
      <c r="Z603" s="26"/>
    </row>
    <row r="604" spans="8:26" ht="12.75" x14ac:dyDescent="0.2">
      <c r="H604" s="26"/>
      <c r="I604" s="26"/>
      <c r="J604" s="26"/>
      <c r="Y604" s="26"/>
      <c r="Z604" s="26"/>
    </row>
    <row r="605" spans="8:26" ht="12.75" x14ac:dyDescent="0.2">
      <c r="H605" s="26"/>
      <c r="I605" s="26"/>
      <c r="J605" s="26"/>
      <c r="Y605" s="26"/>
      <c r="Z605" s="26"/>
    </row>
    <row r="606" spans="8:26" ht="12.75" x14ac:dyDescent="0.2">
      <c r="H606" s="26"/>
      <c r="I606" s="26"/>
      <c r="J606" s="26"/>
      <c r="Y606" s="26"/>
      <c r="Z606" s="26"/>
    </row>
    <row r="607" spans="8:26" ht="12.75" x14ac:dyDescent="0.2">
      <c r="H607" s="26"/>
      <c r="I607" s="26"/>
      <c r="J607" s="26"/>
      <c r="Y607" s="26"/>
      <c r="Z607" s="26"/>
    </row>
    <row r="608" spans="8:26" ht="12.75" x14ac:dyDescent="0.2">
      <c r="H608" s="26"/>
      <c r="I608" s="26"/>
      <c r="J608" s="26"/>
      <c r="Y608" s="26"/>
      <c r="Z608" s="26"/>
    </row>
    <row r="609" spans="8:26" ht="12.75" x14ac:dyDescent="0.2">
      <c r="H609" s="26"/>
      <c r="I609" s="26"/>
      <c r="J609" s="26"/>
      <c r="Y609" s="26"/>
      <c r="Z609" s="26"/>
    </row>
    <row r="610" spans="8:26" ht="12.75" x14ac:dyDescent="0.2">
      <c r="H610" s="26"/>
      <c r="I610" s="26"/>
      <c r="J610" s="26"/>
      <c r="Y610" s="26"/>
      <c r="Z610" s="26"/>
    </row>
    <row r="611" spans="8:26" ht="12.75" x14ac:dyDescent="0.2">
      <c r="H611" s="26"/>
      <c r="I611" s="26"/>
      <c r="J611" s="26"/>
      <c r="Y611" s="26"/>
      <c r="Z611" s="26"/>
    </row>
    <row r="612" spans="8:26" ht="12.75" x14ac:dyDescent="0.2">
      <c r="H612" s="26"/>
      <c r="I612" s="26"/>
      <c r="J612" s="26"/>
      <c r="Y612" s="26"/>
      <c r="Z612" s="26"/>
    </row>
    <row r="613" spans="8:26" ht="12.75" x14ac:dyDescent="0.2">
      <c r="H613" s="26"/>
      <c r="I613" s="26"/>
      <c r="J613" s="26"/>
      <c r="Y613" s="26"/>
      <c r="Z613" s="26"/>
    </row>
    <row r="614" spans="8:26" ht="12.75" x14ac:dyDescent="0.2">
      <c r="H614" s="26"/>
      <c r="I614" s="26"/>
      <c r="J614" s="26"/>
      <c r="Y614" s="26"/>
      <c r="Z614" s="26"/>
    </row>
    <row r="615" spans="8:26" ht="12.75" x14ac:dyDescent="0.2">
      <c r="H615" s="26"/>
      <c r="I615" s="26"/>
      <c r="J615" s="26"/>
      <c r="Y615" s="26"/>
      <c r="Z615" s="26"/>
    </row>
    <row r="616" spans="8:26" ht="12.75" x14ac:dyDescent="0.2">
      <c r="H616" s="26"/>
      <c r="I616" s="26"/>
      <c r="J616" s="26"/>
      <c r="Y616" s="26"/>
      <c r="Z616" s="26"/>
    </row>
    <row r="617" spans="8:26" ht="12.75" x14ac:dyDescent="0.2">
      <c r="H617" s="26"/>
      <c r="I617" s="26"/>
      <c r="J617" s="26"/>
      <c r="Y617" s="26"/>
      <c r="Z617" s="26"/>
    </row>
    <row r="618" spans="8:26" ht="12.75" x14ac:dyDescent="0.2">
      <c r="H618" s="26"/>
      <c r="I618" s="26"/>
      <c r="J618" s="26"/>
      <c r="Y618" s="26"/>
      <c r="Z618" s="26"/>
    </row>
    <row r="619" spans="8:26" ht="12.75" x14ac:dyDescent="0.2">
      <c r="H619" s="26"/>
      <c r="I619" s="26"/>
      <c r="J619" s="26"/>
      <c r="Y619" s="26"/>
      <c r="Z619" s="26"/>
    </row>
    <row r="620" spans="8:26" ht="12.75" x14ac:dyDescent="0.2">
      <c r="H620" s="26"/>
      <c r="I620" s="26"/>
      <c r="J620" s="26"/>
      <c r="Y620" s="26"/>
      <c r="Z620" s="26"/>
    </row>
    <row r="621" spans="8:26" ht="12.75" x14ac:dyDescent="0.2">
      <c r="H621" s="26"/>
      <c r="I621" s="26"/>
      <c r="J621" s="26"/>
      <c r="Y621" s="26"/>
      <c r="Z621" s="26"/>
    </row>
    <row r="622" spans="8:26" ht="12.75" x14ac:dyDescent="0.2">
      <c r="H622" s="26"/>
      <c r="I622" s="26"/>
      <c r="J622" s="26"/>
      <c r="Y622" s="26"/>
      <c r="Z622" s="26"/>
    </row>
    <row r="623" spans="8:26" ht="12.75" x14ac:dyDescent="0.2">
      <c r="H623" s="26"/>
      <c r="I623" s="26"/>
      <c r="J623" s="26"/>
      <c r="Y623" s="26"/>
      <c r="Z623" s="26"/>
    </row>
    <row r="624" spans="8:26" ht="12.75" x14ac:dyDescent="0.2">
      <c r="H624" s="26"/>
      <c r="I624" s="26"/>
      <c r="J624" s="26"/>
      <c r="Y624" s="26"/>
      <c r="Z624" s="26"/>
    </row>
    <row r="625" spans="8:26" ht="12.75" x14ac:dyDescent="0.2">
      <c r="H625" s="26"/>
      <c r="I625" s="26"/>
      <c r="J625" s="26"/>
      <c r="Y625" s="26"/>
      <c r="Z625" s="26"/>
    </row>
    <row r="626" spans="8:26" ht="12.75" x14ac:dyDescent="0.2">
      <c r="H626" s="26"/>
      <c r="I626" s="26"/>
      <c r="J626" s="26"/>
      <c r="Y626" s="26"/>
      <c r="Z626" s="26"/>
    </row>
    <row r="627" spans="8:26" ht="12.75" x14ac:dyDescent="0.2">
      <c r="H627" s="26"/>
      <c r="I627" s="26"/>
      <c r="J627" s="26"/>
      <c r="Y627" s="26"/>
      <c r="Z627" s="26"/>
    </row>
    <row r="628" spans="8:26" ht="12.75" x14ac:dyDescent="0.2">
      <c r="H628" s="26"/>
      <c r="I628" s="26"/>
      <c r="J628" s="26"/>
      <c r="Y628" s="26"/>
      <c r="Z628" s="26"/>
    </row>
    <row r="629" spans="8:26" ht="12.75" x14ac:dyDescent="0.2">
      <c r="H629" s="26"/>
      <c r="I629" s="26"/>
      <c r="J629" s="26"/>
      <c r="Y629" s="26"/>
      <c r="Z629" s="26"/>
    </row>
    <row r="630" spans="8:26" ht="12.75" x14ac:dyDescent="0.2">
      <c r="H630" s="26"/>
      <c r="I630" s="26"/>
      <c r="J630" s="26"/>
      <c r="Y630" s="26"/>
      <c r="Z630" s="26"/>
    </row>
    <row r="631" spans="8:26" ht="12.75" x14ac:dyDescent="0.2">
      <c r="H631" s="26"/>
      <c r="I631" s="26"/>
      <c r="J631" s="26"/>
      <c r="Y631" s="26"/>
      <c r="Z631" s="26"/>
    </row>
    <row r="632" spans="8:26" ht="12.75" x14ac:dyDescent="0.2">
      <c r="H632" s="26"/>
      <c r="I632" s="26"/>
      <c r="J632" s="26"/>
      <c r="Y632" s="26"/>
      <c r="Z632" s="26"/>
    </row>
    <row r="633" spans="8:26" ht="12.75" x14ac:dyDescent="0.2">
      <c r="H633" s="26"/>
      <c r="I633" s="26"/>
      <c r="J633" s="26"/>
      <c r="Y633" s="26"/>
      <c r="Z633" s="26"/>
    </row>
    <row r="634" spans="8:26" ht="12.75" x14ac:dyDescent="0.2">
      <c r="H634" s="26"/>
      <c r="I634" s="26"/>
      <c r="J634" s="26"/>
      <c r="Y634" s="26"/>
      <c r="Z634" s="26"/>
    </row>
    <row r="635" spans="8:26" ht="12.75" x14ac:dyDescent="0.2">
      <c r="H635" s="26"/>
      <c r="I635" s="26"/>
      <c r="J635" s="26"/>
      <c r="Y635" s="26"/>
      <c r="Z635" s="26"/>
    </row>
    <row r="636" spans="8:26" ht="12.75" x14ac:dyDescent="0.2">
      <c r="H636" s="26"/>
      <c r="I636" s="26"/>
      <c r="J636" s="26"/>
      <c r="Y636" s="26"/>
      <c r="Z636" s="26"/>
    </row>
    <row r="637" spans="8:26" ht="12.75" x14ac:dyDescent="0.2">
      <c r="H637" s="26"/>
      <c r="I637" s="26"/>
      <c r="J637" s="26"/>
      <c r="Y637" s="26"/>
      <c r="Z637" s="26"/>
    </row>
    <row r="638" spans="8:26" ht="12.75" x14ac:dyDescent="0.2">
      <c r="H638" s="26"/>
      <c r="I638" s="26"/>
      <c r="J638" s="26"/>
      <c r="Y638" s="26"/>
      <c r="Z638" s="26"/>
    </row>
    <row r="639" spans="8:26" ht="12.75" x14ac:dyDescent="0.2">
      <c r="H639" s="26"/>
      <c r="I639" s="26"/>
      <c r="J639" s="26"/>
      <c r="Y639" s="26"/>
      <c r="Z639" s="26"/>
    </row>
    <row r="640" spans="8:26" ht="12.75" x14ac:dyDescent="0.2">
      <c r="H640" s="26"/>
      <c r="I640" s="26"/>
      <c r="J640" s="26"/>
      <c r="Y640" s="26"/>
      <c r="Z640" s="26"/>
    </row>
    <row r="641" spans="8:26" ht="12.75" x14ac:dyDescent="0.2">
      <c r="H641" s="26"/>
      <c r="I641" s="26"/>
      <c r="J641" s="26"/>
      <c r="Y641" s="26"/>
      <c r="Z641" s="26"/>
    </row>
    <row r="642" spans="8:26" ht="12.75" x14ac:dyDescent="0.2">
      <c r="H642" s="26"/>
      <c r="I642" s="26"/>
      <c r="J642" s="26"/>
      <c r="Y642" s="26"/>
      <c r="Z642" s="26"/>
    </row>
    <row r="643" spans="8:26" ht="12.75" x14ac:dyDescent="0.2">
      <c r="H643" s="26"/>
      <c r="I643" s="26"/>
      <c r="J643" s="26"/>
      <c r="Y643" s="26"/>
      <c r="Z643" s="26"/>
    </row>
    <row r="644" spans="8:26" ht="12.75" x14ac:dyDescent="0.2">
      <c r="H644" s="26"/>
      <c r="I644" s="26"/>
      <c r="J644" s="26"/>
      <c r="Y644" s="26"/>
      <c r="Z644" s="26"/>
    </row>
    <row r="645" spans="8:26" ht="12.75" x14ac:dyDescent="0.2">
      <c r="H645" s="26"/>
      <c r="I645" s="26"/>
      <c r="J645" s="26"/>
      <c r="Y645" s="26"/>
      <c r="Z645" s="26"/>
    </row>
    <row r="646" spans="8:26" ht="12.75" x14ac:dyDescent="0.2">
      <c r="H646" s="26"/>
      <c r="I646" s="26"/>
      <c r="J646" s="26"/>
      <c r="Y646" s="26"/>
      <c r="Z646" s="26"/>
    </row>
    <row r="647" spans="8:26" ht="12.75" x14ac:dyDescent="0.2">
      <c r="H647" s="26"/>
      <c r="I647" s="26"/>
      <c r="J647" s="26"/>
      <c r="Y647" s="26"/>
      <c r="Z647" s="26"/>
    </row>
    <row r="648" spans="8:26" ht="12.75" x14ac:dyDescent="0.2">
      <c r="H648" s="26"/>
      <c r="I648" s="26"/>
      <c r="J648" s="26"/>
      <c r="Y648" s="26"/>
      <c r="Z648" s="26"/>
    </row>
    <row r="649" spans="8:26" ht="12.75" x14ac:dyDescent="0.2">
      <c r="H649" s="26"/>
      <c r="I649" s="26"/>
      <c r="J649" s="26"/>
      <c r="Y649" s="26"/>
      <c r="Z649" s="26"/>
    </row>
    <row r="650" spans="8:26" ht="12.75" x14ac:dyDescent="0.2">
      <c r="H650" s="26"/>
      <c r="I650" s="26"/>
      <c r="J650" s="26"/>
      <c r="Y650" s="26"/>
      <c r="Z650" s="26"/>
    </row>
    <row r="651" spans="8:26" ht="12.75" x14ac:dyDescent="0.2">
      <c r="H651" s="26"/>
      <c r="I651" s="26"/>
      <c r="J651" s="26"/>
      <c r="Y651" s="26"/>
      <c r="Z651" s="26"/>
    </row>
    <row r="652" spans="8:26" ht="12.75" x14ac:dyDescent="0.2">
      <c r="H652" s="26"/>
      <c r="I652" s="26"/>
      <c r="J652" s="26"/>
      <c r="Y652" s="26"/>
      <c r="Z652" s="26"/>
    </row>
    <row r="653" spans="8:26" ht="12.75" x14ac:dyDescent="0.2">
      <c r="H653" s="26"/>
      <c r="I653" s="26"/>
      <c r="J653" s="26"/>
      <c r="Y653" s="26"/>
      <c r="Z653" s="26"/>
    </row>
    <row r="654" spans="8:26" ht="12.75" x14ac:dyDescent="0.2">
      <c r="H654" s="26"/>
      <c r="I654" s="26"/>
      <c r="J654" s="26"/>
      <c r="Y654" s="26"/>
      <c r="Z654" s="26"/>
    </row>
    <row r="655" spans="8:26" ht="12.75" x14ac:dyDescent="0.2">
      <c r="H655" s="26"/>
      <c r="I655" s="26"/>
      <c r="J655" s="26"/>
      <c r="Y655" s="26"/>
      <c r="Z655" s="26"/>
    </row>
    <row r="656" spans="8:26" ht="12.75" x14ac:dyDescent="0.2">
      <c r="H656" s="26"/>
      <c r="I656" s="26"/>
      <c r="J656" s="26"/>
      <c r="Y656" s="26"/>
      <c r="Z656" s="26"/>
    </row>
    <row r="657" spans="8:26" ht="12.75" x14ac:dyDescent="0.2">
      <c r="H657" s="26"/>
      <c r="I657" s="26"/>
      <c r="J657" s="26"/>
      <c r="Y657" s="26"/>
      <c r="Z657" s="26"/>
    </row>
    <row r="658" spans="8:26" ht="12.75" x14ac:dyDescent="0.2">
      <c r="H658" s="26"/>
      <c r="I658" s="26"/>
      <c r="J658" s="26"/>
      <c r="Y658" s="26"/>
      <c r="Z658" s="26"/>
    </row>
    <row r="659" spans="8:26" ht="12.75" x14ac:dyDescent="0.2">
      <c r="H659" s="26"/>
      <c r="I659" s="26"/>
      <c r="J659" s="26"/>
      <c r="Y659" s="26"/>
      <c r="Z659" s="26"/>
    </row>
    <row r="660" spans="8:26" ht="12.75" x14ac:dyDescent="0.2">
      <c r="H660" s="26"/>
      <c r="I660" s="26"/>
      <c r="J660" s="26"/>
      <c r="Y660" s="26"/>
      <c r="Z660" s="26"/>
    </row>
    <row r="661" spans="8:26" ht="12.75" x14ac:dyDescent="0.2">
      <c r="H661" s="26"/>
      <c r="I661" s="26"/>
      <c r="J661" s="26"/>
      <c r="Y661" s="26"/>
      <c r="Z661" s="26"/>
    </row>
    <row r="662" spans="8:26" ht="12.75" x14ac:dyDescent="0.2">
      <c r="H662" s="26"/>
      <c r="I662" s="26"/>
      <c r="J662" s="26"/>
      <c r="Y662" s="26"/>
      <c r="Z662" s="26"/>
    </row>
    <row r="663" spans="8:26" ht="12.75" x14ac:dyDescent="0.2">
      <c r="H663" s="26"/>
      <c r="I663" s="26"/>
      <c r="J663" s="26"/>
      <c r="Y663" s="26"/>
      <c r="Z663" s="26"/>
    </row>
    <row r="664" spans="8:26" ht="12.75" x14ac:dyDescent="0.2">
      <c r="H664" s="26"/>
      <c r="I664" s="26"/>
      <c r="J664" s="26"/>
      <c r="Y664" s="26"/>
      <c r="Z664" s="26"/>
    </row>
    <row r="665" spans="8:26" ht="12.75" x14ac:dyDescent="0.2">
      <c r="H665" s="26"/>
      <c r="I665" s="26"/>
      <c r="J665" s="26"/>
      <c r="Y665" s="26"/>
      <c r="Z665" s="26"/>
    </row>
    <row r="666" spans="8:26" ht="12.75" x14ac:dyDescent="0.2">
      <c r="H666" s="26"/>
      <c r="I666" s="26"/>
      <c r="J666" s="26"/>
      <c r="Y666" s="26"/>
      <c r="Z666" s="26"/>
    </row>
    <row r="667" spans="8:26" ht="12.75" x14ac:dyDescent="0.2">
      <c r="H667" s="26"/>
      <c r="I667" s="26"/>
      <c r="J667" s="26"/>
      <c r="Y667" s="26"/>
      <c r="Z667" s="26"/>
    </row>
    <row r="668" spans="8:26" ht="12.75" x14ac:dyDescent="0.2">
      <c r="H668" s="26"/>
      <c r="I668" s="26"/>
      <c r="J668" s="26"/>
      <c r="Y668" s="26"/>
      <c r="Z668" s="26"/>
    </row>
    <row r="669" spans="8:26" ht="12.75" x14ac:dyDescent="0.2">
      <c r="H669" s="26"/>
      <c r="I669" s="26"/>
      <c r="J669" s="26"/>
      <c r="Y669" s="26"/>
      <c r="Z669" s="26"/>
    </row>
    <row r="670" spans="8:26" ht="12.75" x14ac:dyDescent="0.2">
      <c r="H670" s="26"/>
      <c r="I670" s="26"/>
      <c r="J670" s="26"/>
      <c r="Y670" s="26"/>
      <c r="Z670" s="26"/>
    </row>
    <row r="671" spans="8:26" ht="12.75" x14ac:dyDescent="0.2">
      <c r="H671" s="26"/>
      <c r="I671" s="26"/>
      <c r="J671" s="26"/>
      <c r="Y671" s="26"/>
      <c r="Z671" s="26"/>
    </row>
    <row r="672" spans="8:26" ht="12.75" x14ac:dyDescent="0.2">
      <c r="H672" s="26"/>
      <c r="I672" s="26"/>
      <c r="J672" s="26"/>
      <c r="Y672" s="26"/>
      <c r="Z672" s="26"/>
    </row>
    <row r="673" spans="8:26" ht="12.75" x14ac:dyDescent="0.2">
      <c r="H673" s="26"/>
      <c r="I673" s="26"/>
      <c r="J673" s="26"/>
      <c r="Y673" s="26"/>
      <c r="Z673" s="26"/>
    </row>
    <row r="674" spans="8:26" ht="12.75" x14ac:dyDescent="0.2">
      <c r="H674" s="26"/>
      <c r="I674" s="26"/>
      <c r="J674" s="26"/>
      <c r="Y674" s="26"/>
      <c r="Z674" s="26"/>
    </row>
    <row r="675" spans="8:26" ht="12.75" x14ac:dyDescent="0.2">
      <c r="H675" s="26"/>
      <c r="I675" s="26"/>
      <c r="J675" s="26"/>
      <c r="Y675" s="26"/>
      <c r="Z675" s="26"/>
    </row>
    <row r="676" spans="8:26" ht="12.75" x14ac:dyDescent="0.2">
      <c r="H676" s="26"/>
      <c r="I676" s="26"/>
      <c r="J676" s="26"/>
      <c r="Y676" s="26"/>
      <c r="Z676" s="26"/>
    </row>
    <row r="677" spans="8:26" ht="12.75" x14ac:dyDescent="0.2">
      <c r="H677" s="26"/>
      <c r="I677" s="26"/>
      <c r="J677" s="26"/>
      <c r="Y677" s="26"/>
      <c r="Z677" s="26"/>
    </row>
    <row r="678" spans="8:26" ht="12.75" x14ac:dyDescent="0.2">
      <c r="H678" s="26"/>
      <c r="I678" s="26"/>
      <c r="J678" s="26"/>
      <c r="Y678" s="26"/>
      <c r="Z678" s="26"/>
    </row>
    <row r="679" spans="8:26" ht="12.75" x14ac:dyDescent="0.2">
      <c r="H679" s="26"/>
      <c r="I679" s="26"/>
      <c r="J679" s="26"/>
      <c r="Y679" s="26"/>
      <c r="Z679" s="26"/>
    </row>
    <row r="680" spans="8:26" ht="12.75" x14ac:dyDescent="0.2">
      <c r="H680" s="26"/>
      <c r="I680" s="26"/>
      <c r="J680" s="26"/>
      <c r="Y680" s="26"/>
      <c r="Z680" s="26"/>
    </row>
    <row r="681" spans="8:26" ht="12.75" x14ac:dyDescent="0.2">
      <c r="H681" s="26"/>
      <c r="I681" s="26"/>
      <c r="J681" s="26"/>
      <c r="Y681" s="26"/>
      <c r="Z681" s="26"/>
    </row>
    <row r="682" spans="8:26" ht="12.75" x14ac:dyDescent="0.2">
      <c r="H682" s="26"/>
      <c r="I682" s="26"/>
      <c r="J682" s="26"/>
      <c r="Y682" s="26"/>
      <c r="Z682" s="26"/>
    </row>
    <row r="683" spans="8:26" ht="12.75" x14ac:dyDescent="0.2">
      <c r="H683" s="26"/>
      <c r="I683" s="26"/>
      <c r="J683" s="26"/>
      <c r="Y683" s="26"/>
      <c r="Z683" s="26"/>
    </row>
    <row r="684" spans="8:26" ht="12.75" x14ac:dyDescent="0.2">
      <c r="H684" s="26"/>
      <c r="I684" s="26"/>
      <c r="J684" s="26"/>
      <c r="Y684" s="26"/>
      <c r="Z684" s="26"/>
    </row>
    <row r="685" spans="8:26" ht="12.75" x14ac:dyDescent="0.2">
      <c r="H685" s="26"/>
      <c r="I685" s="26"/>
      <c r="J685" s="26"/>
      <c r="Y685" s="26"/>
      <c r="Z685" s="26"/>
    </row>
    <row r="686" spans="8:26" ht="12.75" x14ac:dyDescent="0.2">
      <c r="H686" s="26"/>
      <c r="I686" s="26"/>
      <c r="J686" s="26"/>
      <c r="Y686" s="26"/>
      <c r="Z686" s="26"/>
    </row>
    <row r="687" spans="8:26" ht="12.75" x14ac:dyDescent="0.2">
      <c r="H687" s="26"/>
      <c r="I687" s="26"/>
      <c r="J687" s="26"/>
      <c r="Y687" s="26"/>
      <c r="Z687" s="26"/>
    </row>
    <row r="688" spans="8:26" ht="12.75" x14ac:dyDescent="0.2">
      <c r="H688" s="26"/>
      <c r="I688" s="26"/>
      <c r="J688" s="26"/>
      <c r="Y688" s="26"/>
      <c r="Z688" s="26"/>
    </row>
    <row r="689" spans="8:26" ht="12.75" x14ac:dyDescent="0.2">
      <c r="H689" s="26"/>
      <c r="I689" s="26"/>
      <c r="J689" s="26"/>
      <c r="Y689" s="26"/>
      <c r="Z689" s="26"/>
    </row>
    <row r="690" spans="8:26" ht="12.75" x14ac:dyDescent="0.2">
      <c r="H690" s="26"/>
      <c r="I690" s="26"/>
      <c r="J690" s="26"/>
      <c r="Y690" s="26"/>
      <c r="Z690" s="26"/>
    </row>
    <row r="691" spans="8:26" ht="12.75" x14ac:dyDescent="0.2">
      <c r="H691" s="26"/>
      <c r="I691" s="26"/>
      <c r="J691" s="26"/>
      <c r="Y691" s="26"/>
      <c r="Z691" s="26"/>
    </row>
    <row r="692" spans="8:26" ht="12.75" x14ac:dyDescent="0.2">
      <c r="H692" s="26"/>
      <c r="I692" s="26"/>
      <c r="J692" s="26"/>
      <c r="Y692" s="26"/>
      <c r="Z692" s="26"/>
    </row>
    <row r="693" spans="8:26" ht="12.75" x14ac:dyDescent="0.2">
      <c r="H693" s="26"/>
      <c r="I693" s="26"/>
      <c r="J693" s="26"/>
      <c r="Y693" s="26"/>
      <c r="Z693" s="26"/>
    </row>
    <row r="694" spans="8:26" ht="12.75" x14ac:dyDescent="0.2">
      <c r="H694" s="26"/>
      <c r="I694" s="26"/>
      <c r="J694" s="26"/>
      <c r="Y694" s="26"/>
      <c r="Z694" s="26"/>
    </row>
    <row r="695" spans="8:26" ht="12.75" x14ac:dyDescent="0.2">
      <c r="H695" s="26"/>
      <c r="I695" s="26"/>
      <c r="J695" s="26"/>
      <c r="Y695" s="26"/>
      <c r="Z695" s="26"/>
    </row>
    <row r="696" spans="8:26" ht="12.75" x14ac:dyDescent="0.2">
      <c r="H696" s="26"/>
      <c r="I696" s="26"/>
      <c r="J696" s="26"/>
      <c r="Y696" s="26"/>
      <c r="Z696" s="26"/>
    </row>
    <row r="697" spans="8:26" ht="12.75" x14ac:dyDescent="0.2">
      <c r="H697" s="26"/>
      <c r="I697" s="26"/>
      <c r="J697" s="26"/>
      <c r="Y697" s="26"/>
      <c r="Z697" s="26"/>
    </row>
    <row r="698" spans="8:26" ht="12.75" x14ac:dyDescent="0.2">
      <c r="H698" s="26"/>
      <c r="I698" s="26"/>
      <c r="J698" s="26"/>
      <c r="Y698" s="26"/>
      <c r="Z698" s="26"/>
    </row>
    <row r="699" spans="8:26" ht="12.75" x14ac:dyDescent="0.2">
      <c r="H699" s="26"/>
      <c r="I699" s="26"/>
      <c r="J699" s="26"/>
      <c r="Y699" s="26"/>
      <c r="Z699" s="26"/>
    </row>
    <row r="700" spans="8:26" ht="12.75" x14ac:dyDescent="0.2">
      <c r="H700" s="26"/>
      <c r="I700" s="26"/>
      <c r="J700" s="26"/>
      <c r="Y700" s="26"/>
      <c r="Z700" s="26"/>
    </row>
    <row r="701" spans="8:26" ht="12.75" x14ac:dyDescent="0.2">
      <c r="H701" s="26"/>
      <c r="I701" s="26"/>
      <c r="J701" s="26"/>
      <c r="Y701" s="26"/>
      <c r="Z701" s="26"/>
    </row>
    <row r="702" spans="8:26" ht="12.75" x14ac:dyDescent="0.2">
      <c r="H702" s="26"/>
      <c r="I702" s="26"/>
      <c r="J702" s="26"/>
      <c r="Y702" s="26"/>
      <c r="Z702" s="26"/>
    </row>
    <row r="703" spans="8:26" ht="12.75" x14ac:dyDescent="0.2">
      <c r="H703" s="26"/>
      <c r="I703" s="26"/>
      <c r="J703" s="26"/>
      <c r="Y703" s="26"/>
      <c r="Z703" s="26"/>
    </row>
    <row r="704" spans="8:26" ht="12.75" x14ac:dyDescent="0.2">
      <c r="H704" s="26"/>
      <c r="I704" s="26"/>
      <c r="J704" s="26"/>
      <c r="Y704" s="26"/>
      <c r="Z704" s="26"/>
    </row>
    <row r="705" spans="8:26" ht="12.75" x14ac:dyDescent="0.2">
      <c r="H705" s="26"/>
      <c r="I705" s="26"/>
      <c r="J705" s="26"/>
      <c r="Y705" s="26"/>
      <c r="Z705" s="26"/>
    </row>
    <row r="706" spans="8:26" ht="12.75" x14ac:dyDescent="0.2">
      <c r="H706" s="26"/>
      <c r="I706" s="26"/>
      <c r="J706" s="26"/>
      <c r="Y706" s="26"/>
      <c r="Z706" s="26"/>
    </row>
    <row r="707" spans="8:26" ht="12.75" x14ac:dyDescent="0.2">
      <c r="H707" s="26"/>
      <c r="I707" s="26"/>
      <c r="J707" s="26"/>
      <c r="Y707" s="26"/>
      <c r="Z707" s="26"/>
    </row>
    <row r="708" spans="8:26" ht="12.75" x14ac:dyDescent="0.2">
      <c r="H708" s="26"/>
      <c r="I708" s="26"/>
      <c r="J708" s="26"/>
      <c r="Y708" s="26"/>
      <c r="Z708" s="26"/>
    </row>
    <row r="709" spans="8:26" ht="12.75" x14ac:dyDescent="0.2">
      <c r="H709" s="26"/>
      <c r="I709" s="26"/>
      <c r="J709" s="26"/>
      <c r="Y709" s="26"/>
      <c r="Z709" s="26"/>
    </row>
    <row r="710" spans="8:26" ht="12.75" x14ac:dyDescent="0.2">
      <c r="H710" s="26"/>
      <c r="I710" s="26"/>
      <c r="J710" s="26"/>
      <c r="Y710" s="26"/>
      <c r="Z710" s="26"/>
    </row>
    <row r="711" spans="8:26" ht="12.75" x14ac:dyDescent="0.2">
      <c r="H711" s="26"/>
      <c r="I711" s="26"/>
      <c r="J711" s="26"/>
      <c r="Y711" s="26"/>
      <c r="Z711" s="26"/>
    </row>
    <row r="712" spans="8:26" ht="12.75" x14ac:dyDescent="0.2">
      <c r="H712" s="26"/>
      <c r="I712" s="26"/>
      <c r="J712" s="26"/>
      <c r="Y712" s="26"/>
      <c r="Z712" s="26"/>
    </row>
    <row r="713" spans="8:26" ht="12.75" x14ac:dyDescent="0.2">
      <c r="H713" s="26"/>
      <c r="I713" s="26"/>
      <c r="J713" s="26"/>
      <c r="Y713" s="26"/>
      <c r="Z713" s="26"/>
    </row>
    <row r="714" spans="8:26" ht="12.75" x14ac:dyDescent="0.2">
      <c r="H714" s="26"/>
      <c r="I714" s="26"/>
      <c r="J714" s="26"/>
      <c r="Y714" s="26"/>
      <c r="Z714" s="26"/>
    </row>
    <row r="715" spans="8:26" ht="12.75" x14ac:dyDescent="0.2">
      <c r="H715" s="26"/>
      <c r="I715" s="26"/>
      <c r="J715" s="26"/>
      <c r="Y715" s="26"/>
      <c r="Z715" s="26"/>
    </row>
    <row r="716" spans="8:26" ht="12.75" x14ac:dyDescent="0.2">
      <c r="H716" s="26"/>
      <c r="I716" s="26"/>
      <c r="J716" s="26"/>
      <c r="Y716" s="26"/>
      <c r="Z716" s="26"/>
    </row>
    <row r="717" spans="8:26" ht="12.75" x14ac:dyDescent="0.2">
      <c r="H717" s="26"/>
      <c r="I717" s="26"/>
      <c r="J717" s="26"/>
      <c r="Y717" s="26"/>
      <c r="Z717" s="26"/>
    </row>
    <row r="718" spans="8:26" ht="12.75" x14ac:dyDescent="0.2">
      <c r="H718" s="26"/>
      <c r="I718" s="26"/>
      <c r="J718" s="26"/>
      <c r="Y718" s="26"/>
      <c r="Z718" s="26"/>
    </row>
    <row r="719" spans="8:26" ht="12.75" x14ac:dyDescent="0.2">
      <c r="H719" s="26"/>
      <c r="I719" s="26"/>
      <c r="J719" s="26"/>
      <c r="Y719" s="26"/>
      <c r="Z719" s="26"/>
    </row>
    <row r="720" spans="8:26" ht="12.75" x14ac:dyDescent="0.2">
      <c r="H720" s="26"/>
      <c r="I720" s="26"/>
      <c r="J720" s="26"/>
      <c r="Y720" s="26"/>
      <c r="Z720" s="26"/>
    </row>
    <row r="721" spans="8:26" ht="12.75" x14ac:dyDescent="0.2">
      <c r="H721" s="26"/>
      <c r="I721" s="26"/>
      <c r="J721" s="26"/>
      <c r="Y721" s="26"/>
      <c r="Z721" s="26"/>
    </row>
    <row r="722" spans="8:26" ht="12.75" x14ac:dyDescent="0.2">
      <c r="H722" s="26"/>
      <c r="I722" s="26"/>
      <c r="J722" s="26"/>
      <c r="Y722" s="26"/>
      <c r="Z722" s="26"/>
    </row>
    <row r="723" spans="8:26" ht="12.75" x14ac:dyDescent="0.2">
      <c r="H723" s="26"/>
      <c r="I723" s="26"/>
      <c r="J723" s="26"/>
      <c r="Y723" s="26"/>
      <c r="Z723" s="26"/>
    </row>
    <row r="724" spans="8:26" ht="12.75" x14ac:dyDescent="0.2">
      <c r="H724" s="26"/>
      <c r="I724" s="26"/>
      <c r="J724" s="26"/>
      <c r="Y724" s="26"/>
      <c r="Z724" s="26"/>
    </row>
    <row r="725" spans="8:26" ht="12.75" x14ac:dyDescent="0.2">
      <c r="H725" s="26"/>
      <c r="I725" s="26"/>
      <c r="J725" s="26"/>
      <c r="Y725" s="26"/>
      <c r="Z725" s="26"/>
    </row>
    <row r="726" spans="8:26" ht="12.75" x14ac:dyDescent="0.2">
      <c r="H726" s="26"/>
      <c r="I726" s="26"/>
      <c r="J726" s="26"/>
      <c r="Y726" s="26"/>
      <c r="Z726" s="26"/>
    </row>
    <row r="727" spans="8:26" ht="12.75" x14ac:dyDescent="0.2">
      <c r="H727" s="26"/>
      <c r="I727" s="26"/>
      <c r="J727" s="26"/>
      <c r="Y727" s="26"/>
      <c r="Z727" s="26"/>
    </row>
    <row r="728" spans="8:26" ht="12.75" x14ac:dyDescent="0.2">
      <c r="H728" s="26"/>
      <c r="I728" s="26"/>
      <c r="J728" s="26"/>
      <c r="Y728" s="26"/>
      <c r="Z728" s="26"/>
    </row>
    <row r="729" spans="8:26" ht="12.75" x14ac:dyDescent="0.2">
      <c r="H729" s="26"/>
      <c r="I729" s="26"/>
      <c r="J729" s="26"/>
      <c r="Y729" s="26"/>
      <c r="Z729" s="26"/>
    </row>
    <row r="730" spans="8:26" ht="12.75" x14ac:dyDescent="0.2">
      <c r="H730" s="26"/>
      <c r="I730" s="26"/>
      <c r="J730" s="26"/>
      <c r="Y730" s="26"/>
      <c r="Z730" s="26"/>
    </row>
    <row r="731" spans="8:26" ht="12.75" x14ac:dyDescent="0.2">
      <c r="H731" s="26"/>
      <c r="I731" s="26"/>
      <c r="J731" s="26"/>
      <c r="Y731" s="26"/>
      <c r="Z731" s="26"/>
    </row>
    <row r="732" spans="8:26" ht="12.75" x14ac:dyDescent="0.2">
      <c r="H732" s="26"/>
      <c r="I732" s="26"/>
      <c r="J732" s="26"/>
      <c r="Y732" s="26"/>
      <c r="Z732" s="26"/>
    </row>
    <row r="733" spans="8:26" ht="12.75" x14ac:dyDescent="0.2">
      <c r="H733" s="26"/>
      <c r="I733" s="26"/>
      <c r="J733" s="26"/>
      <c r="Y733" s="26"/>
      <c r="Z733" s="26"/>
    </row>
    <row r="734" spans="8:26" ht="12.75" x14ac:dyDescent="0.2">
      <c r="H734" s="26"/>
      <c r="I734" s="26"/>
      <c r="J734" s="26"/>
      <c r="Y734" s="26"/>
      <c r="Z734" s="26"/>
    </row>
    <row r="735" spans="8:26" ht="12.75" x14ac:dyDescent="0.2">
      <c r="H735" s="26"/>
      <c r="I735" s="26"/>
      <c r="J735" s="26"/>
      <c r="Y735" s="26"/>
      <c r="Z735" s="26"/>
    </row>
    <row r="736" spans="8:26" ht="12.75" x14ac:dyDescent="0.2">
      <c r="H736" s="26"/>
      <c r="I736" s="26"/>
      <c r="J736" s="26"/>
      <c r="Y736" s="26"/>
      <c r="Z736" s="26"/>
    </row>
    <row r="737" spans="8:26" ht="12.75" x14ac:dyDescent="0.2">
      <c r="H737" s="26"/>
      <c r="I737" s="26"/>
      <c r="J737" s="26"/>
      <c r="Y737" s="26"/>
      <c r="Z737" s="26"/>
    </row>
    <row r="738" spans="8:26" ht="12.75" x14ac:dyDescent="0.2">
      <c r="H738" s="26"/>
      <c r="I738" s="26"/>
      <c r="J738" s="26"/>
      <c r="Y738" s="26"/>
      <c r="Z738" s="26"/>
    </row>
    <row r="739" spans="8:26" ht="12.75" x14ac:dyDescent="0.2">
      <c r="H739" s="26"/>
      <c r="I739" s="26"/>
      <c r="J739" s="26"/>
      <c r="Y739" s="26"/>
      <c r="Z739" s="26"/>
    </row>
    <row r="740" spans="8:26" ht="12.75" x14ac:dyDescent="0.2">
      <c r="H740" s="26"/>
      <c r="I740" s="26"/>
      <c r="J740" s="26"/>
      <c r="Y740" s="26"/>
      <c r="Z740" s="26"/>
    </row>
    <row r="741" spans="8:26" ht="12.75" x14ac:dyDescent="0.2">
      <c r="H741" s="26"/>
      <c r="I741" s="26"/>
      <c r="J741" s="26"/>
      <c r="Y741" s="26"/>
      <c r="Z741" s="26"/>
    </row>
    <row r="742" spans="8:26" ht="12.75" x14ac:dyDescent="0.2">
      <c r="H742" s="26"/>
      <c r="I742" s="26"/>
      <c r="J742" s="26"/>
      <c r="Y742" s="26"/>
      <c r="Z742" s="26"/>
    </row>
    <row r="743" spans="8:26" ht="12.75" x14ac:dyDescent="0.2">
      <c r="H743" s="26"/>
      <c r="I743" s="26"/>
      <c r="J743" s="26"/>
      <c r="Y743" s="26"/>
      <c r="Z743" s="26"/>
    </row>
    <row r="744" spans="8:26" ht="12.75" x14ac:dyDescent="0.2">
      <c r="H744" s="26"/>
      <c r="I744" s="26"/>
      <c r="J744" s="26"/>
      <c r="Y744" s="26"/>
      <c r="Z744" s="26"/>
    </row>
    <row r="745" spans="8:26" ht="12.75" x14ac:dyDescent="0.2">
      <c r="H745" s="26"/>
      <c r="I745" s="26"/>
      <c r="J745" s="26"/>
      <c r="Y745" s="26"/>
      <c r="Z745" s="26"/>
    </row>
    <row r="746" spans="8:26" ht="12.75" x14ac:dyDescent="0.2">
      <c r="H746" s="26"/>
      <c r="I746" s="26"/>
      <c r="J746" s="26"/>
      <c r="Y746" s="26"/>
      <c r="Z746" s="26"/>
    </row>
    <row r="747" spans="8:26" ht="12.75" x14ac:dyDescent="0.2">
      <c r="H747" s="26"/>
      <c r="I747" s="26"/>
      <c r="J747" s="26"/>
      <c r="Y747" s="26"/>
      <c r="Z747" s="26"/>
    </row>
    <row r="748" spans="8:26" ht="12.75" x14ac:dyDescent="0.2">
      <c r="H748" s="26"/>
      <c r="I748" s="26"/>
      <c r="J748" s="26"/>
      <c r="Y748" s="26"/>
      <c r="Z748" s="26"/>
    </row>
    <row r="749" spans="8:26" ht="12.75" x14ac:dyDescent="0.2">
      <c r="H749" s="26"/>
      <c r="I749" s="26"/>
      <c r="J749" s="26"/>
      <c r="Y749" s="26"/>
      <c r="Z749" s="26"/>
    </row>
    <row r="750" spans="8:26" ht="12.75" x14ac:dyDescent="0.2">
      <c r="H750" s="26"/>
      <c r="I750" s="26"/>
      <c r="J750" s="26"/>
      <c r="Y750" s="26"/>
      <c r="Z750" s="26"/>
    </row>
    <row r="751" spans="8:26" ht="12.75" x14ac:dyDescent="0.2">
      <c r="H751" s="26"/>
      <c r="I751" s="26"/>
      <c r="J751" s="26"/>
      <c r="Y751" s="26"/>
      <c r="Z751" s="26"/>
    </row>
    <row r="752" spans="8:26" ht="12.75" x14ac:dyDescent="0.2">
      <c r="H752" s="26"/>
      <c r="I752" s="26"/>
      <c r="J752" s="26"/>
      <c r="Y752" s="26"/>
      <c r="Z752" s="26"/>
    </row>
    <row r="753" spans="8:26" ht="12.75" x14ac:dyDescent="0.2">
      <c r="H753" s="26"/>
      <c r="I753" s="26"/>
      <c r="J753" s="26"/>
      <c r="Y753" s="26"/>
      <c r="Z753" s="26"/>
    </row>
    <row r="754" spans="8:26" ht="12.75" x14ac:dyDescent="0.2">
      <c r="H754" s="26"/>
      <c r="I754" s="26"/>
      <c r="J754" s="26"/>
      <c r="Y754" s="26"/>
      <c r="Z754" s="26"/>
    </row>
    <row r="755" spans="8:26" ht="12.75" x14ac:dyDescent="0.2">
      <c r="H755" s="26"/>
      <c r="I755" s="26"/>
      <c r="J755" s="26"/>
      <c r="Y755" s="26"/>
      <c r="Z755" s="26"/>
    </row>
    <row r="756" spans="8:26" ht="12.75" x14ac:dyDescent="0.2">
      <c r="H756" s="26"/>
      <c r="I756" s="26"/>
      <c r="J756" s="26"/>
      <c r="Y756" s="26"/>
      <c r="Z756" s="26"/>
    </row>
    <row r="757" spans="8:26" ht="12.75" x14ac:dyDescent="0.2">
      <c r="H757" s="26"/>
      <c r="I757" s="26"/>
      <c r="J757" s="26"/>
      <c r="Y757" s="26"/>
      <c r="Z757" s="26"/>
    </row>
    <row r="758" spans="8:26" ht="12.75" x14ac:dyDescent="0.2">
      <c r="H758" s="26"/>
      <c r="I758" s="26"/>
      <c r="J758" s="26"/>
      <c r="Y758" s="26"/>
      <c r="Z758" s="26"/>
    </row>
    <row r="759" spans="8:26" ht="12.75" x14ac:dyDescent="0.2">
      <c r="H759" s="26"/>
      <c r="I759" s="26"/>
      <c r="J759" s="26"/>
      <c r="Y759" s="26"/>
      <c r="Z759" s="26"/>
    </row>
    <row r="760" spans="8:26" ht="12.75" x14ac:dyDescent="0.2">
      <c r="H760" s="26"/>
      <c r="I760" s="26"/>
      <c r="J760" s="26"/>
      <c r="Y760" s="26"/>
      <c r="Z760" s="26"/>
    </row>
    <row r="761" spans="8:26" ht="12.75" x14ac:dyDescent="0.2">
      <c r="H761" s="26"/>
      <c r="I761" s="26"/>
      <c r="J761" s="26"/>
      <c r="Y761" s="26"/>
      <c r="Z761" s="26"/>
    </row>
    <row r="762" spans="8:26" ht="12.75" x14ac:dyDescent="0.2">
      <c r="H762" s="26"/>
      <c r="I762" s="26"/>
      <c r="J762" s="26"/>
      <c r="Y762" s="26"/>
      <c r="Z762" s="26"/>
    </row>
    <row r="763" spans="8:26" ht="12.75" x14ac:dyDescent="0.2">
      <c r="H763" s="26"/>
      <c r="I763" s="26"/>
      <c r="J763" s="26"/>
      <c r="Y763" s="26"/>
      <c r="Z763" s="26"/>
    </row>
    <row r="764" spans="8:26" ht="12.75" x14ac:dyDescent="0.2">
      <c r="H764" s="26"/>
      <c r="I764" s="26"/>
      <c r="J764" s="26"/>
      <c r="Y764" s="26"/>
      <c r="Z764" s="26"/>
    </row>
    <row r="765" spans="8:26" ht="12.75" x14ac:dyDescent="0.2">
      <c r="H765" s="26"/>
      <c r="I765" s="26"/>
      <c r="J765" s="26"/>
      <c r="Y765" s="26"/>
      <c r="Z765" s="26"/>
    </row>
    <row r="766" spans="8:26" ht="12.75" x14ac:dyDescent="0.2">
      <c r="H766" s="26"/>
      <c r="I766" s="26"/>
      <c r="J766" s="26"/>
      <c r="Y766" s="26"/>
      <c r="Z766" s="26"/>
    </row>
    <row r="767" spans="8:26" ht="12.75" x14ac:dyDescent="0.2">
      <c r="H767" s="26"/>
      <c r="I767" s="26"/>
      <c r="J767" s="26"/>
      <c r="Y767" s="26"/>
      <c r="Z767" s="26"/>
    </row>
    <row r="768" spans="8:26" ht="12.75" x14ac:dyDescent="0.2">
      <c r="H768" s="26"/>
      <c r="I768" s="26"/>
      <c r="J768" s="26"/>
      <c r="Y768" s="26"/>
      <c r="Z768" s="26"/>
    </row>
    <row r="769" spans="8:26" ht="12.75" x14ac:dyDescent="0.2">
      <c r="H769" s="26"/>
      <c r="I769" s="26"/>
      <c r="J769" s="26"/>
      <c r="Y769" s="26"/>
      <c r="Z769" s="26"/>
    </row>
    <row r="770" spans="8:26" ht="12.75" x14ac:dyDescent="0.2">
      <c r="H770" s="26"/>
      <c r="I770" s="26"/>
      <c r="J770" s="26"/>
      <c r="Y770" s="26"/>
      <c r="Z770" s="26"/>
    </row>
    <row r="771" spans="8:26" ht="12.75" x14ac:dyDescent="0.2">
      <c r="H771" s="26"/>
      <c r="I771" s="26"/>
      <c r="J771" s="26"/>
      <c r="Y771" s="26"/>
      <c r="Z771" s="26"/>
    </row>
    <row r="772" spans="8:26" ht="12.75" x14ac:dyDescent="0.2">
      <c r="H772" s="26"/>
      <c r="I772" s="26"/>
      <c r="J772" s="26"/>
      <c r="Y772" s="26"/>
      <c r="Z772" s="26"/>
    </row>
    <row r="773" spans="8:26" ht="12.75" x14ac:dyDescent="0.2">
      <c r="H773" s="26"/>
      <c r="I773" s="26"/>
      <c r="J773" s="26"/>
      <c r="Y773" s="26"/>
      <c r="Z773" s="26"/>
    </row>
    <row r="774" spans="8:26" ht="12.75" x14ac:dyDescent="0.2">
      <c r="H774" s="26"/>
      <c r="I774" s="26"/>
      <c r="J774" s="26"/>
      <c r="Y774" s="26"/>
      <c r="Z774" s="26"/>
    </row>
    <row r="775" spans="8:26" ht="12.75" x14ac:dyDescent="0.2">
      <c r="H775" s="26"/>
      <c r="I775" s="26"/>
      <c r="J775" s="26"/>
      <c r="Y775" s="26"/>
      <c r="Z775" s="26"/>
    </row>
    <row r="776" spans="8:26" ht="12.75" x14ac:dyDescent="0.2">
      <c r="H776" s="26"/>
      <c r="I776" s="26"/>
      <c r="J776" s="26"/>
      <c r="Y776" s="26"/>
      <c r="Z776" s="26"/>
    </row>
    <row r="777" spans="8:26" ht="12.75" x14ac:dyDescent="0.2">
      <c r="H777" s="26"/>
      <c r="I777" s="26"/>
      <c r="J777" s="26"/>
      <c r="Y777" s="26"/>
      <c r="Z777" s="26"/>
    </row>
    <row r="778" spans="8:26" ht="12.75" x14ac:dyDescent="0.2">
      <c r="H778" s="26"/>
      <c r="I778" s="26"/>
      <c r="J778" s="26"/>
      <c r="Y778" s="26"/>
      <c r="Z778" s="26"/>
    </row>
    <row r="779" spans="8:26" ht="12.75" x14ac:dyDescent="0.2">
      <c r="H779" s="26"/>
      <c r="I779" s="26"/>
      <c r="J779" s="26"/>
      <c r="Y779" s="26"/>
      <c r="Z779" s="26"/>
    </row>
    <row r="780" spans="8:26" ht="12.75" x14ac:dyDescent="0.2">
      <c r="H780" s="26"/>
      <c r="I780" s="26"/>
      <c r="J780" s="26"/>
      <c r="Y780" s="26"/>
      <c r="Z780" s="26"/>
    </row>
    <row r="781" spans="8:26" ht="12.75" x14ac:dyDescent="0.2">
      <c r="H781" s="26"/>
      <c r="I781" s="26"/>
      <c r="J781" s="26"/>
      <c r="Y781" s="26"/>
      <c r="Z781" s="26"/>
    </row>
    <row r="782" spans="8:26" ht="12.75" x14ac:dyDescent="0.2">
      <c r="H782" s="26"/>
      <c r="I782" s="26"/>
      <c r="J782" s="26"/>
      <c r="Y782" s="26"/>
      <c r="Z782" s="26"/>
    </row>
    <row r="783" spans="8:26" ht="12.75" x14ac:dyDescent="0.2">
      <c r="H783" s="26"/>
      <c r="I783" s="26"/>
      <c r="J783" s="26"/>
      <c r="Y783" s="26"/>
      <c r="Z783" s="26"/>
    </row>
    <row r="784" spans="8:26" ht="12.75" x14ac:dyDescent="0.2">
      <c r="H784" s="26"/>
      <c r="I784" s="26"/>
      <c r="J784" s="26"/>
      <c r="Y784" s="26"/>
      <c r="Z784" s="26"/>
    </row>
    <row r="785" spans="8:26" ht="12.75" x14ac:dyDescent="0.2">
      <c r="H785" s="26"/>
      <c r="I785" s="26"/>
      <c r="J785" s="26"/>
      <c r="Y785" s="26"/>
      <c r="Z785" s="26"/>
    </row>
    <row r="786" spans="8:26" ht="12.75" x14ac:dyDescent="0.2">
      <c r="H786" s="26"/>
      <c r="I786" s="26"/>
      <c r="J786" s="26"/>
      <c r="Y786" s="26"/>
      <c r="Z786" s="26"/>
    </row>
    <row r="787" spans="8:26" ht="12.75" x14ac:dyDescent="0.2">
      <c r="H787" s="26"/>
      <c r="I787" s="26"/>
      <c r="J787" s="26"/>
      <c r="Y787" s="26"/>
      <c r="Z787" s="26"/>
    </row>
    <row r="788" spans="8:26" ht="12.75" x14ac:dyDescent="0.2">
      <c r="H788" s="26"/>
      <c r="I788" s="26"/>
      <c r="J788" s="26"/>
      <c r="Y788" s="26"/>
      <c r="Z788" s="26"/>
    </row>
    <row r="789" spans="8:26" ht="12.75" x14ac:dyDescent="0.2">
      <c r="H789" s="26"/>
      <c r="I789" s="26"/>
      <c r="J789" s="26"/>
      <c r="Y789" s="26"/>
      <c r="Z789" s="26"/>
    </row>
    <row r="790" spans="8:26" ht="12.75" x14ac:dyDescent="0.2">
      <c r="H790" s="26"/>
      <c r="I790" s="26"/>
      <c r="J790" s="26"/>
      <c r="Y790" s="26"/>
      <c r="Z790" s="26"/>
    </row>
    <row r="791" spans="8:26" ht="12.75" x14ac:dyDescent="0.2">
      <c r="H791" s="26"/>
      <c r="I791" s="26"/>
      <c r="J791" s="26"/>
      <c r="Y791" s="26"/>
      <c r="Z791" s="26"/>
    </row>
    <row r="792" spans="8:26" ht="12.75" x14ac:dyDescent="0.2">
      <c r="H792" s="26"/>
      <c r="I792" s="26"/>
      <c r="J792" s="26"/>
      <c r="Y792" s="26"/>
      <c r="Z792" s="26"/>
    </row>
    <row r="793" spans="8:26" ht="12.75" x14ac:dyDescent="0.2">
      <c r="H793" s="26"/>
      <c r="I793" s="26"/>
      <c r="J793" s="26"/>
      <c r="Y793" s="26"/>
      <c r="Z793" s="26"/>
    </row>
    <row r="794" spans="8:26" ht="12.75" x14ac:dyDescent="0.2">
      <c r="H794" s="26"/>
      <c r="I794" s="26"/>
      <c r="J794" s="26"/>
      <c r="Y794" s="26"/>
      <c r="Z794" s="26"/>
    </row>
    <row r="795" spans="8:26" ht="12.75" x14ac:dyDescent="0.2">
      <c r="H795" s="26"/>
      <c r="I795" s="26"/>
      <c r="J795" s="26"/>
      <c r="Y795" s="26"/>
      <c r="Z795" s="26"/>
    </row>
    <row r="796" spans="8:26" ht="12.75" x14ac:dyDescent="0.2">
      <c r="H796" s="26"/>
      <c r="I796" s="26"/>
      <c r="J796" s="26"/>
      <c r="Y796" s="26"/>
      <c r="Z796" s="26"/>
    </row>
    <row r="797" spans="8:26" ht="12.75" x14ac:dyDescent="0.2">
      <c r="H797" s="26"/>
      <c r="I797" s="26"/>
      <c r="J797" s="26"/>
      <c r="Y797" s="26"/>
      <c r="Z797" s="26"/>
    </row>
    <row r="798" spans="8:26" ht="12.75" x14ac:dyDescent="0.2">
      <c r="H798" s="26"/>
      <c r="I798" s="26"/>
      <c r="J798" s="26"/>
      <c r="Y798" s="26"/>
      <c r="Z798" s="26"/>
    </row>
    <row r="799" spans="8:26" ht="12.75" x14ac:dyDescent="0.2">
      <c r="H799" s="26"/>
      <c r="I799" s="26"/>
      <c r="J799" s="26"/>
      <c r="Y799" s="26"/>
      <c r="Z799" s="26"/>
    </row>
    <row r="800" spans="8:26" ht="12.75" x14ac:dyDescent="0.2">
      <c r="H800" s="26"/>
      <c r="I800" s="26"/>
      <c r="J800" s="26"/>
      <c r="Y800" s="26"/>
      <c r="Z800" s="26"/>
    </row>
    <row r="801" spans="8:26" ht="12.75" x14ac:dyDescent="0.2">
      <c r="H801" s="26"/>
      <c r="I801" s="26"/>
      <c r="J801" s="26"/>
      <c r="Y801" s="26"/>
      <c r="Z801" s="26"/>
    </row>
    <row r="802" spans="8:26" ht="12.75" x14ac:dyDescent="0.2">
      <c r="H802" s="26"/>
      <c r="I802" s="26"/>
      <c r="J802" s="26"/>
      <c r="Y802" s="26"/>
      <c r="Z802" s="26"/>
    </row>
    <row r="803" spans="8:26" ht="12.75" x14ac:dyDescent="0.2">
      <c r="H803" s="26"/>
      <c r="I803" s="26"/>
      <c r="J803" s="26"/>
      <c r="Y803" s="26"/>
      <c r="Z803" s="26"/>
    </row>
    <row r="804" spans="8:26" ht="12.75" x14ac:dyDescent="0.2">
      <c r="H804" s="26"/>
      <c r="I804" s="26"/>
      <c r="J804" s="26"/>
      <c r="Y804" s="26"/>
      <c r="Z804" s="26"/>
    </row>
    <row r="805" spans="8:26" ht="12.75" x14ac:dyDescent="0.2">
      <c r="H805" s="26"/>
      <c r="I805" s="26"/>
      <c r="J805" s="26"/>
      <c r="Y805" s="26"/>
      <c r="Z805" s="26"/>
    </row>
    <row r="806" spans="8:26" ht="12.75" x14ac:dyDescent="0.2">
      <c r="H806" s="26"/>
      <c r="I806" s="26"/>
      <c r="J806" s="26"/>
      <c r="Y806" s="26"/>
      <c r="Z806" s="26"/>
    </row>
    <row r="807" spans="8:26" ht="12.75" x14ac:dyDescent="0.2">
      <c r="H807" s="26"/>
      <c r="I807" s="26"/>
      <c r="J807" s="26"/>
      <c r="Y807" s="26"/>
      <c r="Z807" s="26"/>
    </row>
    <row r="808" spans="8:26" ht="12.75" x14ac:dyDescent="0.2">
      <c r="H808" s="26"/>
      <c r="I808" s="26"/>
      <c r="J808" s="26"/>
      <c r="Y808" s="26"/>
      <c r="Z808" s="26"/>
    </row>
    <row r="809" spans="8:26" ht="12.75" x14ac:dyDescent="0.2">
      <c r="H809" s="26"/>
      <c r="I809" s="26"/>
      <c r="J809" s="26"/>
      <c r="Y809" s="26"/>
      <c r="Z809" s="26"/>
    </row>
    <row r="810" spans="8:26" ht="12.75" x14ac:dyDescent="0.2">
      <c r="H810" s="26"/>
      <c r="I810" s="26"/>
      <c r="J810" s="26"/>
      <c r="Y810" s="26"/>
      <c r="Z810" s="26"/>
    </row>
    <row r="811" spans="8:26" ht="12.75" x14ac:dyDescent="0.2">
      <c r="H811" s="26"/>
      <c r="I811" s="26"/>
      <c r="J811" s="26"/>
      <c r="Y811" s="26"/>
      <c r="Z811" s="26"/>
    </row>
    <row r="812" spans="8:26" ht="12.75" x14ac:dyDescent="0.2">
      <c r="H812" s="26"/>
      <c r="I812" s="26"/>
      <c r="J812" s="26"/>
      <c r="Y812" s="26"/>
      <c r="Z812" s="26"/>
    </row>
    <row r="813" spans="8:26" ht="12.75" x14ac:dyDescent="0.2">
      <c r="H813" s="26"/>
      <c r="I813" s="26"/>
      <c r="J813" s="26"/>
      <c r="Y813" s="26"/>
      <c r="Z813" s="26"/>
    </row>
    <row r="814" spans="8:26" ht="12.75" x14ac:dyDescent="0.2">
      <c r="H814" s="26"/>
      <c r="I814" s="26"/>
      <c r="J814" s="26"/>
      <c r="Y814" s="26"/>
      <c r="Z814" s="26"/>
    </row>
    <row r="815" spans="8:26" ht="12.75" x14ac:dyDescent="0.2">
      <c r="H815" s="26"/>
      <c r="I815" s="26"/>
      <c r="J815" s="26"/>
      <c r="Y815" s="26"/>
      <c r="Z815" s="26"/>
    </row>
    <row r="816" spans="8:26" ht="12.75" x14ac:dyDescent="0.2">
      <c r="H816" s="26"/>
      <c r="I816" s="26"/>
      <c r="J816" s="26"/>
      <c r="Y816" s="26"/>
      <c r="Z816" s="26"/>
    </row>
    <row r="817" spans="8:26" ht="12.75" x14ac:dyDescent="0.2">
      <c r="H817" s="26"/>
      <c r="I817" s="26"/>
      <c r="J817" s="26"/>
      <c r="Y817" s="26"/>
      <c r="Z817" s="26"/>
    </row>
    <row r="818" spans="8:26" ht="12.75" x14ac:dyDescent="0.2">
      <c r="H818" s="26"/>
      <c r="I818" s="26"/>
      <c r="J818" s="26"/>
      <c r="Y818" s="26"/>
      <c r="Z818" s="26"/>
    </row>
    <row r="819" spans="8:26" ht="12.75" x14ac:dyDescent="0.2">
      <c r="H819" s="26"/>
      <c r="I819" s="26"/>
      <c r="J819" s="26"/>
      <c r="Y819" s="26"/>
      <c r="Z819" s="26"/>
    </row>
    <row r="820" spans="8:26" ht="12.75" x14ac:dyDescent="0.2">
      <c r="H820" s="26"/>
      <c r="I820" s="26"/>
      <c r="J820" s="26"/>
      <c r="Y820" s="26"/>
      <c r="Z820" s="26"/>
    </row>
    <row r="821" spans="8:26" ht="12.75" x14ac:dyDescent="0.2">
      <c r="H821" s="26"/>
      <c r="I821" s="26"/>
      <c r="J821" s="26"/>
      <c r="Y821" s="26"/>
      <c r="Z821" s="26"/>
    </row>
    <row r="822" spans="8:26" ht="12.75" x14ac:dyDescent="0.2">
      <c r="H822" s="26"/>
      <c r="I822" s="26"/>
      <c r="J822" s="26"/>
      <c r="Y822" s="26"/>
      <c r="Z822" s="26"/>
    </row>
    <row r="823" spans="8:26" ht="12.75" x14ac:dyDescent="0.2">
      <c r="H823" s="26"/>
      <c r="I823" s="26"/>
      <c r="J823" s="26"/>
      <c r="Y823" s="26"/>
      <c r="Z823" s="26"/>
    </row>
    <row r="824" spans="8:26" ht="12.75" x14ac:dyDescent="0.2">
      <c r="H824" s="26"/>
      <c r="I824" s="26"/>
      <c r="J824" s="26"/>
      <c r="Y824" s="26"/>
      <c r="Z824" s="26"/>
    </row>
    <row r="825" spans="8:26" ht="12.75" x14ac:dyDescent="0.2">
      <c r="H825" s="26"/>
      <c r="I825" s="26"/>
      <c r="J825" s="26"/>
      <c r="Y825" s="26"/>
      <c r="Z825" s="26"/>
    </row>
    <row r="826" spans="8:26" ht="12.75" x14ac:dyDescent="0.2">
      <c r="H826" s="26"/>
      <c r="I826" s="26"/>
      <c r="J826" s="26"/>
      <c r="Y826" s="26"/>
      <c r="Z826" s="26"/>
    </row>
    <row r="827" spans="8:26" ht="12.75" x14ac:dyDescent="0.2">
      <c r="H827" s="26"/>
      <c r="I827" s="26"/>
      <c r="J827" s="26"/>
      <c r="Y827" s="26"/>
      <c r="Z827" s="26"/>
    </row>
    <row r="828" spans="8:26" ht="12.75" x14ac:dyDescent="0.2">
      <c r="H828" s="26"/>
      <c r="I828" s="26"/>
      <c r="J828" s="26"/>
      <c r="Y828" s="26"/>
      <c r="Z828" s="26"/>
    </row>
    <row r="829" spans="8:26" ht="12.75" x14ac:dyDescent="0.2">
      <c r="H829" s="26"/>
      <c r="I829" s="26"/>
      <c r="J829" s="26"/>
      <c r="Y829" s="26"/>
      <c r="Z829" s="26"/>
    </row>
    <row r="830" spans="8:26" ht="12.75" x14ac:dyDescent="0.2">
      <c r="H830" s="26"/>
      <c r="I830" s="26"/>
      <c r="J830" s="26"/>
      <c r="Y830" s="26"/>
      <c r="Z830" s="26"/>
    </row>
    <row r="831" spans="8:26" ht="12.75" x14ac:dyDescent="0.2">
      <c r="H831" s="26"/>
      <c r="I831" s="26"/>
      <c r="J831" s="26"/>
      <c r="Y831" s="26"/>
      <c r="Z831" s="26"/>
    </row>
    <row r="832" spans="8:26" ht="12.75" x14ac:dyDescent="0.2">
      <c r="H832" s="26"/>
      <c r="I832" s="26"/>
      <c r="J832" s="26"/>
      <c r="Y832" s="26"/>
      <c r="Z832" s="26"/>
    </row>
    <row r="833" spans="8:26" ht="12.75" x14ac:dyDescent="0.2">
      <c r="H833" s="26"/>
      <c r="I833" s="26"/>
      <c r="J833" s="26"/>
      <c r="Y833" s="26"/>
      <c r="Z833" s="26"/>
    </row>
    <row r="834" spans="8:26" ht="12.75" x14ac:dyDescent="0.2">
      <c r="H834" s="26"/>
      <c r="I834" s="26"/>
      <c r="J834" s="26"/>
      <c r="Y834" s="26"/>
      <c r="Z834" s="26"/>
    </row>
    <row r="835" spans="8:26" ht="12.75" x14ac:dyDescent="0.2">
      <c r="H835" s="26"/>
      <c r="I835" s="26"/>
      <c r="J835" s="26"/>
      <c r="Y835" s="26"/>
      <c r="Z835" s="26"/>
    </row>
    <row r="836" spans="8:26" ht="12.75" x14ac:dyDescent="0.2">
      <c r="H836" s="26"/>
      <c r="I836" s="26"/>
      <c r="J836" s="26"/>
      <c r="Y836" s="26"/>
      <c r="Z836" s="26"/>
    </row>
    <row r="837" spans="8:26" ht="12.75" x14ac:dyDescent="0.2">
      <c r="H837" s="26"/>
      <c r="I837" s="26"/>
      <c r="J837" s="26"/>
      <c r="Y837" s="26"/>
      <c r="Z837" s="26"/>
    </row>
    <row r="838" spans="8:26" ht="12.75" x14ac:dyDescent="0.2">
      <c r="H838" s="26"/>
      <c r="I838" s="26"/>
      <c r="J838" s="26"/>
      <c r="Y838" s="26"/>
      <c r="Z838" s="26"/>
    </row>
    <row r="839" spans="8:26" ht="12.75" x14ac:dyDescent="0.2">
      <c r="H839" s="26"/>
      <c r="I839" s="26"/>
      <c r="J839" s="26"/>
      <c r="Y839" s="26"/>
      <c r="Z839" s="26"/>
    </row>
    <row r="840" spans="8:26" ht="12.75" x14ac:dyDescent="0.2">
      <c r="H840" s="26"/>
      <c r="I840" s="26"/>
      <c r="J840" s="26"/>
      <c r="Y840" s="26"/>
      <c r="Z840" s="26"/>
    </row>
    <row r="841" spans="8:26" ht="12.75" x14ac:dyDescent="0.2">
      <c r="H841" s="26"/>
      <c r="I841" s="26"/>
      <c r="J841" s="26"/>
      <c r="Y841" s="26"/>
      <c r="Z841" s="26"/>
    </row>
    <row r="842" spans="8:26" ht="12.75" x14ac:dyDescent="0.2">
      <c r="H842" s="26"/>
      <c r="I842" s="26"/>
      <c r="J842" s="26"/>
      <c r="Y842" s="26"/>
      <c r="Z842" s="26"/>
    </row>
    <row r="843" spans="8:26" ht="12.75" x14ac:dyDescent="0.2">
      <c r="H843" s="26"/>
      <c r="I843" s="26"/>
      <c r="J843" s="26"/>
      <c r="Y843" s="26"/>
      <c r="Z843" s="26"/>
    </row>
    <row r="844" spans="8:26" ht="12.75" x14ac:dyDescent="0.2">
      <c r="H844" s="26"/>
      <c r="I844" s="26"/>
      <c r="J844" s="26"/>
      <c r="Y844" s="26"/>
      <c r="Z844" s="26"/>
    </row>
    <row r="845" spans="8:26" ht="12.75" x14ac:dyDescent="0.2">
      <c r="H845" s="26"/>
      <c r="I845" s="26"/>
      <c r="J845" s="26"/>
      <c r="Y845" s="26"/>
      <c r="Z845" s="26"/>
    </row>
    <row r="846" spans="8:26" ht="12.75" x14ac:dyDescent="0.2">
      <c r="H846" s="26"/>
      <c r="I846" s="26"/>
      <c r="J846" s="26"/>
      <c r="Y846" s="26"/>
      <c r="Z846" s="26"/>
    </row>
    <row r="847" spans="8:26" ht="12.75" x14ac:dyDescent="0.2">
      <c r="H847" s="26"/>
      <c r="I847" s="26"/>
      <c r="J847" s="26"/>
      <c r="Y847" s="26"/>
      <c r="Z847" s="26"/>
    </row>
    <row r="848" spans="8:26" ht="12.75" x14ac:dyDescent="0.2">
      <c r="H848" s="26"/>
      <c r="I848" s="26"/>
      <c r="J848" s="26"/>
      <c r="Y848" s="26"/>
      <c r="Z848" s="26"/>
    </row>
    <row r="849" spans="8:26" ht="12.75" x14ac:dyDescent="0.2">
      <c r="H849" s="26"/>
      <c r="I849" s="26"/>
      <c r="J849" s="26"/>
      <c r="Y849" s="26"/>
      <c r="Z849" s="26"/>
    </row>
    <row r="850" spans="8:26" ht="12.75" x14ac:dyDescent="0.2">
      <c r="H850" s="26"/>
      <c r="I850" s="26"/>
      <c r="J850" s="26"/>
      <c r="Y850" s="26"/>
      <c r="Z850" s="26"/>
    </row>
    <row r="851" spans="8:26" ht="12.75" x14ac:dyDescent="0.2">
      <c r="H851" s="26"/>
      <c r="I851" s="26"/>
      <c r="J851" s="26"/>
      <c r="Y851" s="26"/>
      <c r="Z851" s="26"/>
    </row>
    <row r="852" spans="8:26" ht="12.75" x14ac:dyDescent="0.2">
      <c r="H852" s="26"/>
      <c r="I852" s="26"/>
      <c r="J852" s="26"/>
      <c r="Y852" s="26"/>
      <c r="Z852" s="26"/>
    </row>
    <row r="853" spans="8:26" ht="12.75" x14ac:dyDescent="0.2">
      <c r="H853" s="26"/>
      <c r="I853" s="26"/>
      <c r="J853" s="26"/>
      <c r="Y853" s="26"/>
      <c r="Z853" s="26"/>
    </row>
    <row r="854" spans="8:26" ht="12.75" x14ac:dyDescent="0.2">
      <c r="H854" s="26"/>
      <c r="I854" s="26"/>
      <c r="J854" s="26"/>
      <c r="Y854" s="26"/>
      <c r="Z854" s="26"/>
    </row>
    <row r="855" spans="8:26" ht="12.75" x14ac:dyDescent="0.2">
      <c r="H855" s="26"/>
      <c r="I855" s="26"/>
      <c r="J855" s="26"/>
      <c r="Y855" s="26"/>
      <c r="Z855" s="26"/>
    </row>
    <row r="856" spans="8:26" ht="12.75" x14ac:dyDescent="0.2">
      <c r="H856" s="26"/>
      <c r="I856" s="26"/>
      <c r="J856" s="26"/>
      <c r="Y856" s="26"/>
      <c r="Z856" s="26"/>
    </row>
    <row r="857" spans="8:26" ht="12.75" x14ac:dyDescent="0.2">
      <c r="H857" s="26"/>
      <c r="I857" s="26"/>
      <c r="J857" s="26"/>
      <c r="Y857" s="26"/>
      <c r="Z857" s="26"/>
    </row>
    <row r="858" spans="8:26" ht="12.75" x14ac:dyDescent="0.2">
      <c r="H858" s="26"/>
      <c r="I858" s="26"/>
      <c r="J858" s="26"/>
      <c r="Y858" s="26"/>
      <c r="Z858" s="26"/>
    </row>
    <row r="859" spans="8:26" ht="12.75" x14ac:dyDescent="0.2">
      <c r="H859" s="26"/>
      <c r="I859" s="26"/>
      <c r="J859" s="26"/>
      <c r="Y859" s="26"/>
      <c r="Z859" s="26"/>
    </row>
    <row r="860" spans="8:26" ht="12.75" x14ac:dyDescent="0.2">
      <c r="H860" s="26"/>
      <c r="I860" s="26"/>
      <c r="J860" s="26"/>
      <c r="Y860" s="26"/>
      <c r="Z860" s="26"/>
    </row>
    <row r="861" spans="8:26" ht="12.75" x14ac:dyDescent="0.2">
      <c r="H861" s="26"/>
      <c r="I861" s="26"/>
      <c r="J861" s="26"/>
      <c r="Y861" s="26"/>
      <c r="Z861" s="26"/>
    </row>
    <row r="862" spans="8:26" ht="12.75" x14ac:dyDescent="0.2">
      <c r="H862" s="26"/>
      <c r="I862" s="26"/>
      <c r="J862" s="26"/>
      <c r="Y862" s="26"/>
      <c r="Z862" s="26"/>
    </row>
    <row r="863" spans="8:26" ht="12.75" x14ac:dyDescent="0.2">
      <c r="H863" s="26"/>
      <c r="I863" s="26"/>
      <c r="J863" s="26"/>
      <c r="Y863" s="26"/>
      <c r="Z863" s="26"/>
    </row>
    <row r="864" spans="8:26" ht="12.75" x14ac:dyDescent="0.2">
      <c r="H864" s="26"/>
      <c r="I864" s="26"/>
      <c r="J864" s="26"/>
      <c r="Y864" s="26"/>
      <c r="Z864" s="26"/>
    </row>
    <row r="865" spans="8:26" ht="12.75" x14ac:dyDescent="0.2">
      <c r="H865" s="26"/>
      <c r="I865" s="26"/>
      <c r="J865" s="26"/>
      <c r="Y865" s="26"/>
      <c r="Z865" s="26"/>
    </row>
    <row r="866" spans="8:26" ht="12.75" x14ac:dyDescent="0.2">
      <c r="H866" s="26"/>
      <c r="I866" s="26"/>
      <c r="J866" s="26"/>
      <c r="Y866" s="26"/>
      <c r="Z866" s="26"/>
    </row>
    <row r="867" spans="8:26" ht="12.75" x14ac:dyDescent="0.2">
      <c r="H867" s="26"/>
      <c r="I867" s="26"/>
      <c r="J867" s="26"/>
      <c r="Y867" s="26"/>
      <c r="Z867" s="26"/>
    </row>
    <row r="868" spans="8:26" ht="12.75" x14ac:dyDescent="0.2">
      <c r="H868" s="26"/>
      <c r="I868" s="26"/>
      <c r="J868" s="26"/>
      <c r="Y868" s="26"/>
      <c r="Z868" s="26"/>
    </row>
    <row r="869" spans="8:26" ht="12.75" x14ac:dyDescent="0.2">
      <c r="H869" s="26"/>
      <c r="I869" s="26"/>
      <c r="J869" s="26"/>
      <c r="Y869" s="26"/>
      <c r="Z869" s="26"/>
    </row>
    <row r="870" spans="8:26" ht="12.75" x14ac:dyDescent="0.2">
      <c r="H870" s="26"/>
      <c r="I870" s="26"/>
      <c r="J870" s="26"/>
      <c r="Y870" s="26"/>
      <c r="Z870" s="26"/>
    </row>
    <row r="871" spans="8:26" ht="12.75" x14ac:dyDescent="0.2">
      <c r="H871" s="26"/>
      <c r="I871" s="26"/>
      <c r="J871" s="26"/>
      <c r="Y871" s="26"/>
      <c r="Z871" s="26"/>
    </row>
    <row r="872" spans="8:26" ht="12.75" x14ac:dyDescent="0.2">
      <c r="H872" s="26"/>
      <c r="I872" s="26"/>
      <c r="J872" s="26"/>
      <c r="Y872" s="26"/>
      <c r="Z872" s="26"/>
    </row>
    <row r="873" spans="8:26" ht="12.75" x14ac:dyDescent="0.2">
      <c r="H873" s="26"/>
      <c r="I873" s="26"/>
      <c r="J873" s="26"/>
      <c r="Y873" s="26"/>
      <c r="Z873" s="26"/>
    </row>
    <row r="874" spans="8:26" ht="12.75" x14ac:dyDescent="0.2">
      <c r="H874" s="26"/>
      <c r="I874" s="26"/>
      <c r="J874" s="26"/>
      <c r="Y874" s="26"/>
      <c r="Z874" s="26"/>
    </row>
    <row r="875" spans="8:26" ht="12.75" x14ac:dyDescent="0.2">
      <c r="H875" s="26"/>
      <c r="I875" s="26"/>
      <c r="J875" s="26"/>
      <c r="Y875" s="26"/>
      <c r="Z875" s="26"/>
    </row>
    <row r="876" spans="8:26" ht="12.75" x14ac:dyDescent="0.2">
      <c r="H876" s="26"/>
      <c r="I876" s="26"/>
      <c r="J876" s="26"/>
      <c r="Y876" s="26"/>
      <c r="Z876" s="26"/>
    </row>
    <row r="877" spans="8:26" ht="12.75" x14ac:dyDescent="0.2">
      <c r="H877" s="26"/>
      <c r="I877" s="26"/>
      <c r="J877" s="26"/>
      <c r="Y877" s="26"/>
      <c r="Z877" s="26"/>
    </row>
    <row r="878" spans="8:26" ht="12.75" x14ac:dyDescent="0.2">
      <c r="H878" s="26"/>
      <c r="I878" s="26"/>
      <c r="J878" s="26"/>
      <c r="Y878" s="26"/>
      <c r="Z878" s="26"/>
    </row>
    <row r="879" spans="8:26" ht="12.75" x14ac:dyDescent="0.2">
      <c r="H879" s="26"/>
      <c r="I879" s="26"/>
      <c r="J879" s="26"/>
      <c r="Y879" s="26"/>
      <c r="Z879" s="26"/>
    </row>
    <row r="880" spans="8:26" ht="12.75" x14ac:dyDescent="0.2">
      <c r="H880" s="26"/>
      <c r="I880" s="26"/>
      <c r="J880" s="26"/>
      <c r="Y880" s="26"/>
      <c r="Z880" s="26"/>
    </row>
    <row r="881" spans="8:26" ht="12.75" x14ac:dyDescent="0.2">
      <c r="H881" s="26"/>
      <c r="I881" s="26"/>
      <c r="J881" s="26"/>
      <c r="Y881" s="26"/>
      <c r="Z881" s="26"/>
    </row>
    <row r="882" spans="8:26" ht="12.75" x14ac:dyDescent="0.2">
      <c r="H882" s="26"/>
      <c r="I882" s="26"/>
      <c r="J882" s="26"/>
      <c r="Y882" s="26"/>
      <c r="Z882" s="26"/>
    </row>
    <row r="883" spans="8:26" ht="12.75" x14ac:dyDescent="0.2">
      <c r="H883" s="26"/>
      <c r="I883" s="26"/>
      <c r="J883" s="26"/>
      <c r="Y883" s="26"/>
      <c r="Z883" s="26"/>
    </row>
    <row r="884" spans="8:26" ht="12.75" x14ac:dyDescent="0.2">
      <c r="H884" s="26"/>
      <c r="I884" s="26"/>
      <c r="J884" s="26"/>
      <c r="Y884" s="26"/>
      <c r="Z884" s="26"/>
    </row>
    <row r="885" spans="8:26" ht="12.75" x14ac:dyDescent="0.2">
      <c r="H885" s="26"/>
      <c r="I885" s="26"/>
      <c r="J885" s="26"/>
      <c r="Y885" s="26"/>
      <c r="Z885" s="26"/>
    </row>
    <row r="886" spans="8:26" ht="12.75" x14ac:dyDescent="0.2">
      <c r="H886" s="26"/>
      <c r="I886" s="26"/>
      <c r="J886" s="26"/>
      <c r="Y886" s="26"/>
      <c r="Z886" s="26"/>
    </row>
    <row r="887" spans="8:26" ht="12.75" x14ac:dyDescent="0.2">
      <c r="H887" s="26"/>
      <c r="I887" s="26"/>
      <c r="J887" s="26"/>
      <c r="Y887" s="26"/>
      <c r="Z887" s="26"/>
    </row>
    <row r="888" spans="8:26" ht="12.75" x14ac:dyDescent="0.2">
      <c r="H888" s="26"/>
      <c r="I888" s="26"/>
      <c r="J888" s="26"/>
      <c r="Y888" s="26"/>
      <c r="Z888" s="26"/>
    </row>
    <row r="889" spans="8:26" ht="12.75" x14ac:dyDescent="0.2">
      <c r="H889" s="26"/>
      <c r="I889" s="26"/>
      <c r="J889" s="26"/>
      <c r="Y889" s="26"/>
      <c r="Z889" s="26"/>
    </row>
    <row r="890" spans="8:26" ht="12.75" x14ac:dyDescent="0.2">
      <c r="H890" s="26"/>
      <c r="I890" s="26"/>
      <c r="J890" s="26"/>
      <c r="Y890" s="26"/>
      <c r="Z890" s="26"/>
    </row>
    <row r="891" spans="8:26" ht="12.75" x14ac:dyDescent="0.2">
      <c r="H891" s="26"/>
      <c r="I891" s="26"/>
      <c r="J891" s="26"/>
      <c r="Y891" s="26"/>
      <c r="Z891" s="26"/>
    </row>
    <row r="892" spans="8:26" ht="12.75" x14ac:dyDescent="0.2">
      <c r="H892" s="26"/>
      <c r="I892" s="26"/>
      <c r="J892" s="26"/>
      <c r="Y892" s="26"/>
      <c r="Z892" s="26"/>
    </row>
    <row r="893" spans="8:26" ht="12.75" x14ac:dyDescent="0.2">
      <c r="H893" s="26"/>
      <c r="I893" s="26"/>
      <c r="J893" s="26"/>
      <c r="Y893" s="26"/>
      <c r="Z893" s="26"/>
    </row>
    <row r="894" spans="8:26" ht="12.75" x14ac:dyDescent="0.2">
      <c r="H894" s="26"/>
      <c r="I894" s="26"/>
      <c r="J894" s="26"/>
      <c r="Y894" s="26"/>
      <c r="Z894" s="26"/>
    </row>
    <row r="895" spans="8:26" ht="12.75" x14ac:dyDescent="0.2">
      <c r="H895" s="26"/>
      <c r="I895" s="26"/>
      <c r="J895" s="26"/>
      <c r="Y895" s="26"/>
      <c r="Z895" s="26"/>
    </row>
    <row r="896" spans="8:26" ht="12.75" x14ac:dyDescent="0.2">
      <c r="H896" s="26"/>
      <c r="I896" s="26"/>
      <c r="J896" s="26"/>
      <c r="Y896" s="26"/>
      <c r="Z896" s="26"/>
    </row>
    <row r="897" spans="8:26" ht="12.75" x14ac:dyDescent="0.2">
      <c r="H897" s="26"/>
      <c r="I897" s="26"/>
      <c r="J897" s="26"/>
      <c r="Y897" s="26"/>
      <c r="Z897" s="26"/>
    </row>
    <row r="898" spans="8:26" ht="12.75" x14ac:dyDescent="0.2">
      <c r="H898" s="26"/>
      <c r="I898" s="26"/>
      <c r="J898" s="26"/>
      <c r="Y898" s="26"/>
      <c r="Z898" s="26"/>
    </row>
    <row r="899" spans="8:26" ht="12.75" x14ac:dyDescent="0.2">
      <c r="H899" s="26"/>
      <c r="I899" s="26"/>
      <c r="J899" s="26"/>
      <c r="Y899" s="26"/>
      <c r="Z899" s="26"/>
    </row>
    <row r="900" spans="8:26" ht="12.75" x14ac:dyDescent="0.2">
      <c r="H900" s="26"/>
      <c r="I900" s="26"/>
      <c r="J900" s="26"/>
      <c r="Y900" s="26"/>
      <c r="Z900" s="26"/>
    </row>
    <row r="901" spans="8:26" ht="12.75" x14ac:dyDescent="0.2">
      <c r="H901" s="26"/>
      <c r="I901" s="26"/>
      <c r="J901" s="26"/>
      <c r="Y901" s="26"/>
      <c r="Z901" s="26"/>
    </row>
    <row r="902" spans="8:26" ht="12.75" x14ac:dyDescent="0.2">
      <c r="H902" s="26"/>
      <c r="I902" s="26"/>
      <c r="J902" s="26"/>
      <c r="Y902" s="26"/>
      <c r="Z902" s="26"/>
    </row>
    <row r="903" spans="8:26" ht="12.75" x14ac:dyDescent="0.2">
      <c r="H903" s="26"/>
      <c r="I903" s="26"/>
      <c r="J903" s="26"/>
      <c r="Y903" s="26"/>
      <c r="Z903" s="26"/>
    </row>
    <row r="904" spans="8:26" ht="12.75" x14ac:dyDescent="0.2">
      <c r="H904" s="26"/>
      <c r="I904" s="26"/>
      <c r="J904" s="26"/>
      <c r="Y904" s="26"/>
      <c r="Z904" s="26"/>
    </row>
    <row r="905" spans="8:26" ht="12.75" x14ac:dyDescent="0.2">
      <c r="H905" s="26"/>
      <c r="I905" s="26"/>
      <c r="J905" s="26"/>
      <c r="Y905" s="26"/>
      <c r="Z905" s="26"/>
    </row>
    <row r="906" spans="8:26" ht="12.75" x14ac:dyDescent="0.2">
      <c r="H906" s="26"/>
      <c r="I906" s="26"/>
      <c r="J906" s="26"/>
      <c r="Y906" s="26"/>
      <c r="Z906" s="26"/>
    </row>
    <row r="907" spans="8:26" ht="12.75" x14ac:dyDescent="0.2">
      <c r="H907" s="26"/>
      <c r="I907" s="26"/>
      <c r="J907" s="26"/>
      <c r="Y907" s="26"/>
      <c r="Z907" s="26"/>
    </row>
    <row r="908" spans="8:26" ht="12.75" x14ac:dyDescent="0.2">
      <c r="H908" s="26"/>
      <c r="I908" s="26"/>
      <c r="J908" s="26"/>
      <c r="Y908" s="26"/>
      <c r="Z908" s="26"/>
    </row>
    <row r="909" spans="8:26" ht="12.75" x14ac:dyDescent="0.2">
      <c r="H909" s="26"/>
      <c r="I909" s="26"/>
      <c r="J909" s="26"/>
      <c r="Y909" s="26"/>
      <c r="Z909" s="26"/>
    </row>
    <row r="910" spans="8:26" ht="12.75" x14ac:dyDescent="0.2">
      <c r="H910" s="26"/>
      <c r="I910" s="26"/>
      <c r="J910" s="26"/>
      <c r="Y910" s="26"/>
      <c r="Z910" s="26"/>
    </row>
    <row r="911" spans="8:26" ht="12.75" x14ac:dyDescent="0.2">
      <c r="H911" s="26"/>
      <c r="I911" s="26"/>
      <c r="J911" s="26"/>
      <c r="Y911" s="26"/>
      <c r="Z911" s="26"/>
    </row>
    <row r="912" spans="8:26" ht="12.75" x14ac:dyDescent="0.2">
      <c r="H912" s="26"/>
      <c r="I912" s="26"/>
      <c r="J912" s="26"/>
      <c r="Y912" s="26"/>
      <c r="Z912" s="26"/>
    </row>
    <row r="913" spans="8:26" ht="12.75" x14ac:dyDescent="0.2">
      <c r="H913" s="26"/>
      <c r="I913" s="26"/>
      <c r="J913" s="26"/>
      <c r="Y913" s="26"/>
      <c r="Z913" s="26"/>
    </row>
    <row r="914" spans="8:26" ht="12.75" x14ac:dyDescent="0.2">
      <c r="H914" s="26"/>
      <c r="I914" s="26"/>
      <c r="J914" s="26"/>
      <c r="Y914" s="26"/>
      <c r="Z914" s="26"/>
    </row>
    <row r="915" spans="8:26" ht="12.75" x14ac:dyDescent="0.2">
      <c r="H915" s="26"/>
      <c r="I915" s="26"/>
      <c r="J915" s="26"/>
      <c r="Y915" s="26"/>
      <c r="Z915" s="26"/>
    </row>
    <row r="916" spans="8:26" ht="12.75" x14ac:dyDescent="0.2">
      <c r="H916" s="26"/>
      <c r="I916" s="26"/>
      <c r="J916" s="26"/>
      <c r="Y916" s="26"/>
      <c r="Z916" s="26"/>
    </row>
    <row r="917" spans="8:26" ht="12.75" x14ac:dyDescent="0.2">
      <c r="H917" s="26"/>
      <c r="I917" s="26"/>
      <c r="J917" s="26"/>
      <c r="Y917" s="26"/>
      <c r="Z917" s="26"/>
    </row>
    <row r="918" spans="8:26" ht="12.75" x14ac:dyDescent="0.2">
      <c r="H918" s="26"/>
      <c r="I918" s="26"/>
      <c r="J918" s="26"/>
      <c r="Y918" s="26"/>
      <c r="Z918" s="26"/>
    </row>
    <row r="919" spans="8:26" ht="12.75" x14ac:dyDescent="0.2">
      <c r="H919" s="26"/>
      <c r="I919" s="26"/>
      <c r="J919" s="26"/>
      <c r="Y919" s="26"/>
      <c r="Z919" s="26"/>
    </row>
    <row r="920" spans="8:26" ht="12.75" x14ac:dyDescent="0.2">
      <c r="H920" s="26"/>
      <c r="I920" s="26"/>
      <c r="J920" s="26"/>
      <c r="Y920" s="26"/>
      <c r="Z920" s="26"/>
    </row>
    <row r="921" spans="8:26" ht="12.75" x14ac:dyDescent="0.2">
      <c r="H921" s="26"/>
      <c r="I921" s="26"/>
      <c r="J921" s="26"/>
      <c r="Y921" s="26"/>
      <c r="Z921" s="26"/>
    </row>
    <row r="922" spans="8:26" ht="12.75" x14ac:dyDescent="0.2">
      <c r="H922" s="26"/>
      <c r="I922" s="26"/>
      <c r="J922" s="26"/>
      <c r="Y922" s="26"/>
      <c r="Z922" s="26"/>
    </row>
    <row r="923" spans="8:26" ht="12.75" x14ac:dyDescent="0.2">
      <c r="H923" s="26"/>
      <c r="I923" s="26"/>
      <c r="J923" s="26"/>
      <c r="Y923" s="26"/>
      <c r="Z923" s="26"/>
    </row>
    <row r="924" spans="8:26" ht="12.75" x14ac:dyDescent="0.2">
      <c r="H924" s="26"/>
      <c r="I924" s="26"/>
      <c r="J924" s="26"/>
      <c r="Y924" s="26"/>
      <c r="Z924" s="26"/>
    </row>
    <row r="925" spans="8:26" ht="12.75" x14ac:dyDescent="0.2">
      <c r="H925" s="26"/>
      <c r="I925" s="26"/>
      <c r="J925" s="26"/>
      <c r="Y925" s="26"/>
      <c r="Z925" s="26"/>
    </row>
    <row r="926" spans="8:26" ht="12.75" x14ac:dyDescent="0.2">
      <c r="H926" s="26"/>
      <c r="I926" s="26"/>
      <c r="J926" s="26"/>
      <c r="Y926" s="26"/>
      <c r="Z926" s="26"/>
    </row>
    <row r="927" spans="8:26" ht="12.75" x14ac:dyDescent="0.2">
      <c r="H927" s="26"/>
      <c r="I927" s="26"/>
      <c r="J927" s="26"/>
      <c r="Y927" s="26"/>
      <c r="Z927" s="26"/>
    </row>
    <row r="928" spans="8:26" ht="12.75" x14ac:dyDescent="0.2">
      <c r="H928" s="26"/>
      <c r="I928" s="26"/>
      <c r="J928" s="26"/>
      <c r="Y928" s="26"/>
      <c r="Z928" s="26"/>
    </row>
    <row r="929" spans="8:26" ht="12.75" x14ac:dyDescent="0.2">
      <c r="H929" s="26"/>
      <c r="I929" s="26"/>
      <c r="J929" s="26"/>
      <c r="Y929" s="26"/>
      <c r="Z929" s="26"/>
    </row>
    <row r="930" spans="8:26" ht="12.75" x14ac:dyDescent="0.2">
      <c r="H930" s="26"/>
      <c r="I930" s="26"/>
      <c r="J930" s="26"/>
      <c r="Y930" s="26"/>
      <c r="Z930" s="26"/>
    </row>
    <row r="931" spans="8:26" ht="12.75" x14ac:dyDescent="0.2">
      <c r="H931" s="26"/>
      <c r="I931" s="26"/>
      <c r="J931" s="26"/>
      <c r="Y931" s="26"/>
      <c r="Z931" s="26"/>
    </row>
    <row r="932" spans="8:26" ht="12.75" x14ac:dyDescent="0.2">
      <c r="H932" s="26"/>
      <c r="I932" s="26"/>
      <c r="J932" s="26"/>
      <c r="Y932" s="26"/>
      <c r="Z932" s="26"/>
    </row>
    <row r="933" spans="8:26" ht="12.75" x14ac:dyDescent="0.2">
      <c r="H933" s="26"/>
      <c r="I933" s="26"/>
      <c r="J933" s="26"/>
      <c r="Y933" s="26"/>
      <c r="Z933" s="26"/>
    </row>
    <row r="934" spans="8:26" ht="12.75" x14ac:dyDescent="0.2">
      <c r="H934" s="26"/>
      <c r="I934" s="26"/>
      <c r="J934" s="26"/>
      <c r="Y934" s="26"/>
      <c r="Z934" s="26"/>
    </row>
    <row r="935" spans="8:26" ht="12.75" x14ac:dyDescent="0.2">
      <c r="H935" s="26"/>
      <c r="I935" s="26"/>
      <c r="J935" s="26"/>
      <c r="Y935" s="26"/>
      <c r="Z935" s="26"/>
    </row>
    <row r="936" spans="8:26" ht="12.75" x14ac:dyDescent="0.2">
      <c r="H936" s="26"/>
      <c r="I936" s="26"/>
      <c r="J936" s="26"/>
      <c r="Y936" s="26"/>
      <c r="Z936" s="26"/>
    </row>
    <row r="937" spans="8:26" ht="12.75" x14ac:dyDescent="0.2">
      <c r="H937" s="26"/>
      <c r="I937" s="26"/>
      <c r="J937" s="26"/>
      <c r="Y937" s="26"/>
      <c r="Z937" s="26"/>
    </row>
    <row r="938" spans="8:26" ht="12.75" x14ac:dyDescent="0.2">
      <c r="H938" s="26"/>
      <c r="I938" s="26"/>
      <c r="J938" s="26"/>
      <c r="Y938" s="26"/>
      <c r="Z938" s="26"/>
    </row>
    <row r="939" spans="8:26" ht="12.75" x14ac:dyDescent="0.2">
      <c r="H939" s="26"/>
      <c r="I939" s="26"/>
      <c r="J939" s="26"/>
      <c r="Y939" s="26"/>
      <c r="Z939" s="26"/>
    </row>
    <row r="940" spans="8:26" ht="12.75" x14ac:dyDescent="0.2">
      <c r="H940" s="26"/>
      <c r="I940" s="26"/>
      <c r="J940" s="26"/>
      <c r="Y940" s="26"/>
      <c r="Z940" s="26"/>
    </row>
    <row r="941" spans="8:26" ht="12.75" x14ac:dyDescent="0.2">
      <c r="H941" s="26"/>
      <c r="I941" s="26"/>
      <c r="J941" s="26"/>
      <c r="Y941" s="26"/>
      <c r="Z941" s="26"/>
    </row>
    <row r="942" spans="8:26" ht="12.75" x14ac:dyDescent="0.2">
      <c r="H942" s="26"/>
      <c r="I942" s="26"/>
      <c r="J942" s="26"/>
      <c r="Y942" s="26"/>
      <c r="Z942" s="26"/>
    </row>
    <row r="943" spans="8:26" ht="12.75" x14ac:dyDescent="0.2">
      <c r="H943" s="26"/>
      <c r="I943" s="26"/>
      <c r="J943" s="26"/>
      <c r="Y943" s="26"/>
      <c r="Z943" s="26"/>
    </row>
    <row r="944" spans="8:26" ht="12.75" x14ac:dyDescent="0.2">
      <c r="H944" s="26"/>
      <c r="I944" s="26"/>
      <c r="J944" s="26"/>
      <c r="Y944" s="26"/>
      <c r="Z944" s="26"/>
    </row>
    <row r="945" spans="8:26" ht="12.75" x14ac:dyDescent="0.2">
      <c r="H945" s="26"/>
      <c r="I945" s="26"/>
      <c r="J945" s="26"/>
      <c r="Y945" s="26"/>
      <c r="Z945" s="26"/>
    </row>
    <row r="946" spans="8:26" ht="12.75" x14ac:dyDescent="0.2">
      <c r="H946" s="26"/>
      <c r="I946" s="26"/>
      <c r="J946" s="26"/>
      <c r="Y946" s="26"/>
      <c r="Z946" s="26"/>
    </row>
    <row r="947" spans="8:26" ht="12.75" x14ac:dyDescent="0.2">
      <c r="H947" s="26"/>
      <c r="I947" s="26"/>
      <c r="J947" s="26"/>
      <c r="Y947" s="26"/>
      <c r="Z947" s="26"/>
    </row>
    <row r="948" spans="8:26" ht="12.75" x14ac:dyDescent="0.2">
      <c r="H948" s="26"/>
      <c r="I948" s="26"/>
      <c r="J948" s="26"/>
      <c r="Y948" s="26"/>
      <c r="Z948" s="26"/>
    </row>
    <row r="949" spans="8:26" ht="12.75" x14ac:dyDescent="0.2">
      <c r="H949" s="26"/>
      <c r="I949" s="26"/>
      <c r="J949" s="26"/>
      <c r="Y949" s="26"/>
      <c r="Z949" s="26"/>
    </row>
    <row r="950" spans="8:26" ht="12.75" x14ac:dyDescent="0.2">
      <c r="H950" s="26"/>
      <c r="I950" s="26"/>
      <c r="J950" s="26"/>
      <c r="Y950" s="26"/>
      <c r="Z950" s="26"/>
    </row>
    <row r="951" spans="8:26" ht="12.75" x14ac:dyDescent="0.2">
      <c r="H951" s="26"/>
      <c r="I951" s="26"/>
      <c r="J951" s="26"/>
      <c r="Y951" s="26"/>
      <c r="Z951" s="26"/>
    </row>
    <row r="952" spans="8:26" ht="12.75" x14ac:dyDescent="0.2">
      <c r="H952" s="26"/>
      <c r="I952" s="26"/>
      <c r="J952" s="26"/>
      <c r="Y952" s="26"/>
      <c r="Z952" s="26"/>
    </row>
    <row r="953" spans="8:26" ht="12.75" x14ac:dyDescent="0.2">
      <c r="H953" s="26"/>
      <c r="I953" s="26"/>
      <c r="J953" s="26"/>
      <c r="Y953" s="26"/>
      <c r="Z953" s="26"/>
    </row>
    <row r="954" spans="8:26" ht="12.75" x14ac:dyDescent="0.2">
      <c r="H954" s="26"/>
      <c r="I954" s="26"/>
      <c r="J954" s="26"/>
      <c r="Y954" s="26"/>
      <c r="Z954" s="26"/>
    </row>
    <row r="955" spans="8:26" ht="12.75" x14ac:dyDescent="0.2">
      <c r="H955" s="26"/>
      <c r="I955" s="26"/>
      <c r="J955" s="26"/>
      <c r="Y955" s="26"/>
      <c r="Z955" s="26"/>
    </row>
    <row r="956" spans="8:26" ht="12.75" x14ac:dyDescent="0.2">
      <c r="H956" s="26"/>
      <c r="I956" s="26"/>
      <c r="J956" s="26"/>
      <c r="Y956" s="26"/>
      <c r="Z956" s="26"/>
    </row>
    <row r="957" spans="8:26" ht="12.75" x14ac:dyDescent="0.2">
      <c r="H957" s="26"/>
      <c r="I957" s="26"/>
      <c r="J957" s="26"/>
      <c r="Y957" s="26"/>
      <c r="Z957" s="26"/>
    </row>
    <row r="958" spans="8:26" ht="12.75" x14ac:dyDescent="0.2">
      <c r="H958" s="26"/>
      <c r="I958" s="26"/>
      <c r="J958" s="26"/>
      <c r="Y958" s="26"/>
      <c r="Z958" s="26"/>
    </row>
    <row r="959" spans="8:26" ht="12.75" x14ac:dyDescent="0.2">
      <c r="H959" s="26"/>
      <c r="I959" s="26"/>
      <c r="J959" s="26"/>
      <c r="Y959" s="26"/>
      <c r="Z959" s="26"/>
    </row>
    <row r="960" spans="8:26" ht="12.75" x14ac:dyDescent="0.2">
      <c r="H960" s="26"/>
      <c r="I960" s="26"/>
      <c r="J960" s="26"/>
      <c r="Y960" s="26"/>
      <c r="Z960" s="26"/>
    </row>
    <row r="961" spans="8:26" ht="12.75" x14ac:dyDescent="0.2">
      <c r="H961" s="26"/>
      <c r="I961" s="26"/>
      <c r="J961" s="26"/>
      <c r="Y961" s="26"/>
      <c r="Z961" s="26"/>
    </row>
    <row r="962" spans="8:26" ht="12.75" x14ac:dyDescent="0.2">
      <c r="H962" s="26"/>
      <c r="I962" s="26"/>
      <c r="J962" s="26"/>
      <c r="Y962" s="26"/>
      <c r="Z962" s="26"/>
    </row>
    <row r="963" spans="8:26" ht="12.75" x14ac:dyDescent="0.2">
      <c r="H963" s="26"/>
      <c r="I963" s="26"/>
      <c r="J963" s="26"/>
      <c r="Y963" s="26"/>
      <c r="Z963" s="26"/>
    </row>
    <row r="964" spans="8:26" ht="12.75" x14ac:dyDescent="0.2">
      <c r="H964" s="26"/>
      <c r="I964" s="26"/>
      <c r="J964" s="26"/>
      <c r="Y964" s="26"/>
      <c r="Z964" s="26"/>
    </row>
    <row r="965" spans="8:26" ht="12.75" x14ac:dyDescent="0.2">
      <c r="H965" s="26"/>
      <c r="I965" s="26"/>
      <c r="J965" s="26"/>
      <c r="Y965" s="26"/>
      <c r="Z965" s="26"/>
    </row>
    <row r="966" spans="8:26" ht="12.75" x14ac:dyDescent="0.2">
      <c r="H966" s="26"/>
      <c r="I966" s="26"/>
      <c r="J966" s="26"/>
      <c r="Y966" s="26"/>
      <c r="Z966" s="26"/>
    </row>
    <row r="967" spans="8:26" ht="12.75" x14ac:dyDescent="0.2">
      <c r="H967" s="26"/>
      <c r="I967" s="26"/>
      <c r="J967" s="26"/>
      <c r="Y967" s="26"/>
      <c r="Z967" s="26"/>
    </row>
    <row r="968" spans="8:26" ht="12.75" x14ac:dyDescent="0.2">
      <c r="H968" s="26"/>
      <c r="I968" s="26"/>
      <c r="J968" s="26"/>
      <c r="Y968" s="26"/>
      <c r="Z968" s="26"/>
    </row>
    <row r="969" spans="8:26" ht="12.75" x14ac:dyDescent="0.2">
      <c r="H969" s="26"/>
      <c r="I969" s="26"/>
      <c r="J969" s="26"/>
      <c r="Y969" s="26"/>
      <c r="Z969" s="26"/>
    </row>
    <row r="970" spans="8:26" ht="12.75" x14ac:dyDescent="0.2">
      <c r="H970" s="26"/>
      <c r="I970" s="26"/>
      <c r="J970" s="26"/>
      <c r="Y970" s="26"/>
      <c r="Z970" s="26"/>
    </row>
    <row r="971" spans="8:26" ht="12.75" x14ac:dyDescent="0.2">
      <c r="H971" s="26"/>
      <c r="I971" s="26"/>
      <c r="J971" s="26"/>
      <c r="Y971" s="26"/>
      <c r="Z971" s="26"/>
    </row>
    <row r="972" spans="8:26" ht="12.75" x14ac:dyDescent="0.2">
      <c r="H972" s="26"/>
      <c r="I972" s="26"/>
      <c r="J972" s="26"/>
      <c r="Y972" s="26"/>
      <c r="Z972" s="26"/>
    </row>
    <row r="973" spans="8:26" ht="12.75" x14ac:dyDescent="0.2">
      <c r="H973" s="26"/>
      <c r="I973" s="26"/>
      <c r="J973" s="26"/>
      <c r="Y973" s="26"/>
      <c r="Z973" s="26"/>
    </row>
    <row r="974" spans="8:26" ht="12.75" x14ac:dyDescent="0.2">
      <c r="H974" s="26"/>
      <c r="I974" s="26"/>
      <c r="J974" s="26"/>
      <c r="Y974" s="26"/>
      <c r="Z974" s="26"/>
    </row>
    <row r="975" spans="8:26" ht="12.75" x14ac:dyDescent="0.2">
      <c r="H975" s="26"/>
      <c r="I975" s="26"/>
      <c r="J975" s="26"/>
      <c r="Y975" s="26"/>
      <c r="Z975" s="26"/>
    </row>
    <row r="976" spans="8:26" ht="12.75" x14ac:dyDescent="0.2">
      <c r="H976" s="26"/>
      <c r="I976" s="26"/>
      <c r="J976" s="26"/>
      <c r="Y976" s="26"/>
      <c r="Z976" s="26"/>
    </row>
    <row r="977" spans="8:26" ht="12.75" x14ac:dyDescent="0.2">
      <c r="H977" s="26"/>
      <c r="I977" s="26"/>
      <c r="J977" s="26"/>
      <c r="Y977" s="26"/>
      <c r="Z977" s="26"/>
    </row>
    <row r="978" spans="8:26" ht="12.75" x14ac:dyDescent="0.2">
      <c r="H978" s="26"/>
      <c r="I978" s="26"/>
      <c r="J978" s="26"/>
      <c r="Y978" s="26"/>
      <c r="Z978" s="26"/>
    </row>
    <row r="979" spans="8:26" ht="12.75" x14ac:dyDescent="0.2">
      <c r="H979" s="26"/>
      <c r="I979" s="26"/>
      <c r="J979" s="26"/>
      <c r="Y979" s="26"/>
      <c r="Z979" s="26"/>
    </row>
    <row r="980" spans="8:26" ht="12.75" x14ac:dyDescent="0.2">
      <c r="H980" s="26"/>
      <c r="I980" s="26"/>
      <c r="J980" s="26"/>
      <c r="Y980" s="26"/>
      <c r="Z980" s="26"/>
    </row>
    <row r="981" spans="8:26" ht="12.75" x14ac:dyDescent="0.2">
      <c r="H981" s="26"/>
      <c r="I981" s="26"/>
      <c r="J981" s="26"/>
      <c r="Y981" s="26"/>
      <c r="Z981" s="26"/>
    </row>
    <row r="982" spans="8:26" ht="12.75" x14ac:dyDescent="0.2">
      <c r="H982" s="26"/>
      <c r="I982" s="26"/>
      <c r="J982" s="26"/>
      <c r="Y982" s="26"/>
      <c r="Z982" s="26"/>
    </row>
    <row r="983" spans="8:26" ht="12.75" x14ac:dyDescent="0.2">
      <c r="H983" s="26"/>
      <c r="I983" s="26"/>
      <c r="J983" s="26"/>
      <c r="Y983" s="26"/>
      <c r="Z983" s="26"/>
    </row>
    <row r="984" spans="8:26" ht="12.75" x14ac:dyDescent="0.2">
      <c r="H984" s="26"/>
      <c r="I984" s="26"/>
      <c r="J984" s="26"/>
      <c r="Y984" s="26"/>
      <c r="Z984" s="26"/>
    </row>
    <row r="985" spans="8:26" ht="12.75" x14ac:dyDescent="0.2">
      <c r="H985" s="26"/>
      <c r="I985" s="26"/>
      <c r="J985" s="26"/>
      <c r="Y985" s="26"/>
      <c r="Z985" s="26"/>
    </row>
    <row r="986" spans="8:26" ht="12.75" x14ac:dyDescent="0.2">
      <c r="H986" s="26"/>
      <c r="I986" s="26"/>
      <c r="J986" s="26"/>
      <c r="Y986" s="26"/>
      <c r="Z986" s="26"/>
    </row>
    <row r="987" spans="8:26" ht="12.75" x14ac:dyDescent="0.2">
      <c r="H987" s="26"/>
      <c r="I987" s="26"/>
      <c r="J987" s="26"/>
      <c r="Y987" s="26"/>
      <c r="Z987" s="26"/>
    </row>
    <row r="988" spans="8:26" ht="12.75" x14ac:dyDescent="0.2">
      <c r="H988" s="26"/>
      <c r="I988" s="26"/>
      <c r="J988" s="26"/>
      <c r="Y988" s="26"/>
      <c r="Z988" s="26"/>
    </row>
    <row r="989" spans="8:26" ht="12.75" x14ac:dyDescent="0.2">
      <c r="H989" s="26"/>
      <c r="I989" s="26"/>
      <c r="J989" s="26"/>
      <c r="Y989" s="26"/>
      <c r="Z989" s="26"/>
    </row>
    <row r="990" spans="8:26" ht="12.75" x14ac:dyDescent="0.2">
      <c r="H990" s="26"/>
      <c r="I990" s="26"/>
      <c r="J990" s="26"/>
      <c r="Y990" s="26"/>
      <c r="Z990" s="26"/>
    </row>
    <row r="991" spans="8:26" ht="12.75" x14ac:dyDescent="0.2">
      <c r="H991" s="26"/>
      <c r="I991" s="26"/>
      <c r="J991" s="26"/>
      <c r="Y991" s="26"/>
      <c r="Z991" s="26"/>
    </row>
    <row r="992" spans="8:26" ht="12.75" x14ac:dyDescent="0.2">
      <c r="H992" s="26"/>
      <c r="I992" s="26"/>
      <c r="J992" s="26"/>
      <c r="Y992" s="26"/>
      <c r="Z992" s="26"/>
    </row>
    <row r="993" spans="8:26" ht="12.75" x14ac:dyDescent="0.2">
      <c r="H993" s="26"/>
      <c r="I993" s="26"/>
      <c r="J993" s="26"/>
      <c r="Y993" s="26"/>
      <c r="Z993" s="26"/>
    </row>
    <row r="994" spans="8:26" ht="12.75" x14ac:dyDescent="0.2">
      <c r="H994" s="26"/>
      <c r="I994" s="26"/>
      <c r="J994" s="26"/>
      <c r="Y994" s="26"/>
      <c r="Z994" s="26"/>
    </row>
    <row r="995" spans="8:26" ht="12.75" x14ac:dyDescent="0.2">
      <c r="H995" s="26"/>
      <c r="I995" s="26"/>
      <c r="J995" s="26"/>
      <c r="Y995" s="26"/>
      <c r="Z995" s="26"/>
    </row>
    <row r="996" spans="8:26" ht="12.75" x14ac:dyDescent="0.2">
      <c r="H996" s="26"/>
      <c r="I996" s="26"/>
      <c r="J996" s="26"/>
      <c r="Y996" s="26"/>
      <c r="Z996" s="26"/>
    </row>
    <row r="997" spans="8:26" ht="12.75" x14ac:dyDescent="0.2">
      <c r="H997" s="26"/>
      <c r="I997" s="26"/>
      <c r="J997" s="26"/>
      <c r="Y997" s="26"/>
      <c r="Z997" s="26"/>
    </row>
    <row r="998" spans="8:26" ht="12.75" x14ac:dyDescent="0.2">
      <c r="H998" s="26"/>
      <c r="I998" s="26"/>
      <c r="J998" s="26"/>
      <c r="Y998" s="26"/>
      <c r="Z998" s="26"/>
    </row>
    <row r="999" spans="8:26" ht="12.75" x14ac:dyDescent="0.2">
      <c r="H999" s="26"/>
      <c r="I999" s="26"/>
      <c r="J999" s="26"/>
      <c r="Y999" s="26"/>
      <c r="Z999" s="26"/>
    </row>
    <row r="1000" spans="8:26" ht="12.75" x14ac:dyDescent="0.2">
      <c r="H1000" s="26"/>
      <c r="I1000" s="26"/>
      <c r="J1000" s="26"/>
      <c r="Y1000" s="26"/>
      <c r="Z1000" s="26"/>
    </row>
    <row r="1001" spans="8:26" ht="12.75" x14ac:dyDescent="0.2">
      <c r="H1001" s="26"/>
      <c r="I1001" s="26"/>
      <c r="J1001" s="26"/>
      <c r="Y1001" s="26"/>
      <c r="Z1001" s="26"/>
    </row>
    <row r="1002" spans="8:26" ht="12.75" x14ac:dyDescent="0.2">
      <c r="H1002" s="26"/>
      <c r="I1002" s="26"/>
      <c r="J1002" s="26"/>
      <c r="Y1002" s="26"/>
      <c r="Z1002" s="26"/>
    </row>
  </sheetData>
  <autoFilter ref="A2:BN98" xr:uid="{00000000-0009-0000-0000-000005000000}"/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K1001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.75" customHeight="1" x14ac:dyDescent="0.2"/>
  <cols>
    <col min="1" max="1" width="6.42578125" customWidth="1"/>
    <col min="2" max="2" width="47.42578125" customWidth="1"/>
    <col min="3" max="3" width="4.42578125" customWidth="1"/>
    <col min="4" max="4" width="8.7109375" hidden="1" customWidth="1"/>
    <col min="5" max="5" width="30.7109375" hidden="1" customWidth="1"/>
    <col min="6" max="6" width="8.28515625" hidden="1" customWidth="1"/>
    <col min="7" max="7" width="29.42578125" hidden="1" customWidth="1"/>
    <col min="8" max="8" width="9.140625" customWidth="1"/>
    <col min="9" max="9" width="9.85546875" customWidth="1"/>
    <col min="10" max="10" width="7.140625" customWidth="1"/>
    <col min="11" max="11" width="10.42578125" customWidth="1"/>
    <col min="12" max="12" width="9.28515625" customWidth="1"/>
    <col min="13" max="13" width="11.7109375" customWidth="1"/>
    <col min="14" max="14" width="9.42578125" customWidth="1"/>
    <col min="15" max="15" width="9.28515625" customWidth="1"/>
    <col min="16" max="16" width="12.5703125" customWidth="1"/>
    <col min="17" max="17" width="9.42578125" customWidth="1"/>
    <col min="18" max="18" width="9.28515625" customWidth="1"/>
    <col min="19" max="19" width="11.7109375" customWidth="1"/>
    <col min="20" max="20" width="9.42578125" customWidth="1"/>
    <col min="21" max="21" width="8" customWidth="1"/>
    <col min="22" max="22" width="10.42578125" customWidth="1"/>
    <col min="23" max="23" width="13.5703125" customWidth="1"/>
    <col min="24" max="24" width="9.42578125" customWidth="1"/>
    <col min="25" max="26" width="10.42578125" customWidth="1"/>
    <col min="27" max="27" width="11.7109375" customWidth="1"/>
    <col min="28" max="28" width="13.28515625" customWidth="1"/>
    <col min="29" max="29" width="9.42578125" customWidth="1"/>
    <col min="30" max="31" width="10.42578125" customWidth="1"/>
    <col min="32" max="32" width="11.7109375" customWidth="1"/>
    <col min="33" max="33" width="13.28515625" customWidth="1"/>
    <col min="34" max="34" width="9.42578125" customWidth="1"/>
    <col min="35" max="36" width="10.42578125" customWidth="1"/>
    <col min="37" max="37" width="11.7109375" customWidth="1"/>
    <col min="38" max="38" width="13.28515625" customWidth="1"/>
    <col min="39" max="39" width="9.42578125" customWidth="1"/>
    <col min="40" max="41" width="10.42578125" customWidth="1"/>
    <col min="42" max="42" width="11.7109375" customWidth="1"/>
    <col min="43" max="43" width="13.28515625" customWidth="1"/>
    <col min="44" max="44" width="9.42578125" customWidth="1"/>
    <col min="45" max="46" width="10.42578125" customWidth="1"/>
    <col min="47" max="47" width="11.7109375" customWidth="1"/>
    <col min="48" max="48" width="13.28515625" customWidth="1"/>
    <col min="49" max="49" width="9.42578125" customWidth="1"/>
    <col min="50" max="51" width="10.42578125" customWidth="1"/>
    <col min="52" max="52" width="11.7109375" customWidth="1"/>
    <col min="53" max="53" width="13.28515625" customWidth="1"/>
    <col min="54" max="54" width="9.42578125" customWidth="1"/>
    <col min="55" max="56" width="10.42578125" customWidth="1"/>
    <col min="57" max="57" width="11.7109375" customWidth="1"/>
    <col min="58" max="58" width="13.28515625" customWidth="1"/>
    <col min="59" max="59" width="9.42578125" customWidth="1"/>
    <col min="60" max="61" width="10.42578125" customWidth="1"/>
    <col min="62" max="62" width="11.7109375" customWidth="1"/>
    <col min="63" max="63" width="13.28515625" customWidth="1"/>
  </cols>
  <sheetData>
    <row r="1" spans="1:63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>
        <f t="shared" ref="V1:W1" si="0">SUM(V3:V91)</f>
        <v>1044704.9100000005</v>
      </c>
      <c r="W1" s="2">
        <f t="shared" si="0"/>
        <v>779924.30000000028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 x14ac:dyDescent="0.2">
      <c r="A2" s="12" t="s">
        <v>0</v>
      </c>
      <c r="B2" s="12" t="s">
        <v>1</v>
      </c>
      <c r="C2" s="12" t="s">
        <v>2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9</v>
      </c>
      <c r="J2" s="12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3" t="s">
        <v>22</v>
      </c>
      <c r="W2" s="13" t="s">
        <v>23</v>
      </c>
      <c r="X2" s="12" t="s">
        <v>24</v>
      </c>
      <c r="Y2" s="12" t="s">
        <v>25</v>
      </c>
      <c r="Z2" s="12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2" t="s">
        <v>34</v>
      </c>
      <c r="AI2" s="12" t="s">
        <v>35</v>
      </c>
      <c r="AJ2" s="12" t="s">
        <v>36</v>
      </c>
      <c r="AK2" s="12" t="s">
        <v>37</v>
      </c>
      <c r="AL2" s="12" t="s">
        <v>38</v>
      </c>
      <c r="AM2" s="12" t="s">
        <v>39</v>
      </c>
      <c r="AN2" s="12" t="s">
        <v>40</v>
      </c>
      <c r="AO2" s="12" t="s">
        <v>41</v>
      </c>
      <c r="AP2" s="12" t="s">
        <v>42</v>
      </c>
      <c r="AQ2" s="12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2" t="s">
        <v>51</v>
      </c>
      <c r="AZ2" s="12" t="s">
        <v>52</v>
      </c>
      <c r="BA2" s="12" t="s">
        <v>53</v>
      </c>
      <c r="BB2" s="12" t="s">
        <v>54</v>
      </c>
      <c r="BC2" s="12" t="s">
        <v>55</v>
      </c>
      <c r="BD2" s="12" t="s">
        <v>56</v>
      </c>
      <c r="BE2" s="12" t="s">
        <v>57</v>
      </c>
      <c r="BF2" s="12" t="s">
        <v>58</v>
      </c>
      <c r="BG2" s="12" t="s">
        <v>59</v>
      </c>
      <c r="BH2" s="12" t="s">
        <v>60</v>
      </c>
      <c r="BI2" s="12" t="s">
        <v>61</v>
      </c>
      <c r="BJ2" s="12" t="s">
        <v>62</v>
      </c>
      <c r="BK2" s="12" t="s">
        <v>63</v>
      </c>
    </row>
    <row r="3" spans="1:63" x14ac:dyDescent="0.2">
      <c r="A3" s="1">
        <v>47001</v>
      </c>
      <c r="B3" s="1" t="s">
        <v>65</v>
      </c>
      <c r="C3" s="1">
        <v>16</v>
      </c>
      <c r="D3" s="1">
        <v>677</v>
      </c>
      <c r="E3" s="1" t="s">
        <v>64</v>
      </c>
      <c r="F3" s="1">
        <v>61</v>
      </c>
      <c r="G3" s="1" t="s">
        <v>66</v>
      </c>
      <c r="H3" s="1">
        <v>56.590200000000003</v>
      </c>
      <c r="I3" s="1">
        <v>905.44320000000005</v>
      </c>
      <c r="L3" s="1">
        <v>37.5</v>
      </c>
      <c r="M3" s="1">
        <v>17.940000000000001</v>
      </c>
      <c r="O3" s="1">
        <v>63.47</v>
      </c>
      <c r="P3" s="1">
        <v>28.94</v>
      </c>
      <c r="R3" s="1">
        <v>55.56</v>
      </c>
      <c r="S3" s="1">
        <v>42.25</v>
      </c>
      <c r="U3" s="1">
        <v>0</v>
      </c>
      <c r="V3" s="2">
        <v>141730.16</v>
      </c>
      <c r="W3" s="2">
        <v>80697.63</v>
      </c>
      <c r="X3" s="1">
        <v>198</v>
      </c>
      <c r="Y3" s="1">
        <v>191</v>
      </c>
      <c r="Z3" s="1">
        <v>187</v>
      </c>
      <c r="AA3" s="1">
        <v>239</v>
      </c>
      <c r="AB3" s="1">
        <v>287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269</v>
      </c>
      <c r="AS3" s="1">
        <v>233</v>
      </c>
      <c r="AT3" s="1">
        <v>385</v>
      </c>
      <c r="AU3" s="1">
        <v>265</v>
      </c>
      <c r="AV3" s="1">
        <v>382</v>
      </c>
      <c r="AW3" s="1">
        <v>39</v>
      </c>
      <c r="AX3" s="1">
        <v>50</v>
      </c>
      <c r="AY3" s="1">
        <v>29</v>
      </c>
      <c r="AZ3" s="1">
        <v>39</v>
      </c>
      <c r="BA3" s="1">
        <v>81</v>
      </c>
      <c r="BB3" s="1">
        <v>310</v>
      </c>
      <c r="BC3" s="1">
        <v>353</v>
      </c>
      <c r="BD3" s="1">
        <v>212</v>
      </c>
      <c r="BE3" s="1">
        <v>381</v>
      </c>
      <c r="BF3" s="1">
        <v>676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</row>
    <row r="4" spans="1:63" x14ac:dyDescent="0.2">
      <c r="A4" s="1">
        <v>47005</v>
      </c>
      <c r="B4" s="1" t="s">
        <v>68</v>
      </c>
      <c r="C4" s="1">
        <v>24</v>
      </c>
      <c r="D4" s="1">
        <v>677</v>
      </c>
      <c r="E4" s="1" t="s">
        <v>64</v>
      </c>
      <c r="F4" s="1">
        <v>61</v>
      </c>
      <c r="G4" s="1" t="s">
        <v>66</v>
      </c>
      <c r="H4" s="1">
        <v>22.315999999999999</v>
      </c>
      <c r="I4" s="1">
        <v>535.58399999999995</v>
      </c>
      <c r="L4" s="1">
        <v>35.69</v>
      </c>
      <c r="M4" s="1">
        <v>6</v>
      </c>
      <c r="O4" s="1">
        <v>67.23</v>
      </c>
      <c r="P4" s="1">
        <v>33.5</v>
      </c>
      <c r="R4" s="1">
        <v>54.35</v>
      </c>
      <c r="S4" s="1">
        <v>25.12</v>
      </c>
      <c r="U4" s="1">
        <v>1</v>
      </c>
      <c r="V4" s="2">
        <v>84231.74</v>
      </c>
      <c r="W4" s="2">
        <v>34612.120000000003</v>
      </c>
      <c r="X4" s="1">
        <v>276</v>
      </c>
      <c r="Y4" s="1">
        <v>229</v>
      </c>
      <c r="Z4" s="1">
        <v>326</v>
      </c>
      <c r="AA4" s="1">
        <v>280</v>
      </c>
      <c r="AB4" s="1">
        <v>144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339</v>
      </c>
      <c r="AS4" s="1">
        <v>452</v>
      </c>
      <c r="AT4" s="1">
        <v>554</v>
      </c>
      <c r="AU4" s="1">
        <v>483</v>
      </c>
      <c r="AV4" s="1">
        <v>564</v>
      </c>
      <c r="AW4" s="1">
        <v>65</v>
      </c>
      <c r="AX4" s="1">
        <v>140</v>
      </c>
      <c r="AY4" s="1">
        <v>80</v>
      </c>
      <c r="AZ4" s="1">
        <v>76</v>
      </c>
      <c r="BA4" s="1">
        <v>240</v>
      </c>
      <c r="BB4" s="1">
        <v>383</v>
      </c>
      <c r="BC4" s="1">
        <v>416</v>
      </c>
      <c r="BD4" s="1">
        <v>365</v>
      </c>
      <c r="BE4" s="1">
        <v>697</v>
      </c>
      <c r="BF4" s="1">
        <v>603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</row>
    <row r="5" spans="1:63" x14ac:dyDescent="0.2">
      <c r="A5" s="1">
        <v>47012</v>
      </c>
      <c r="B5" s="1" t="s">
        <v>74</v>
      </c>
      <c r="C5" s="1">
        <v>18</v>
      </c>
      <c r="D5" s="1">
        <v>677</v>
      </c>
      <c r="E5" s="1" t="s">
        <v>64</v>
      </c>
      <c r="F5" s="1">
        <v>61</v>
      </c>
      <c r="G5" s="1" t="s">
        <v>66</v>
      </c>
      <c r="H5" s="1">
        <v>58.837899999999998</v>
      </c>
      <c r="I5" s="1">
        <v>1059.0822000000001</v>
      </c>
      <c r="L5" s="1">
        <v>16.72</v>
      </c>
      <c r="M5" s="1">
        <v>7.39</v>
      </c>
      <c r="O5" s="1">
        <v>29.14</v>
      </c>
      <c r="P5" s="1">
        <v>9.17</v>
      </c>
      <c r="R5" s="1">
        <v>31.69</v>
      </c>
      <c r="S5" s="1">
        <v>6.06</v>
      </c>
      <c r="U5" s="1">
        <v>0</v>
      </c>
      <c r="V5" s="2">
        <v>82137.710000000006</v>
      </c>
      <c r="W5" s="2">
        <v>23947.03</v>
      </c>
      <c r="X5" s="1">
        <v>95</v>
      </c>
      <c r="Y5" s="1">
        <v>203</v>
      </c>
      <c r="Z5" s="1">
        <v>32</v>
      </c>
      <c r="AA5" s="1">
        <v>145</v>
      </c>
      <c r="AB5" s="1">
        <v>133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171</v>
      </c>
      <c r="AS5" s="1">
        <v>194</v>
      </c>
      <c r="AT5" s="1">
        <v>43</v>
      </c>
      <c r="AU5" s="1">
        <v>297</v>
      </c>
      <c r="AV5" s="1">
        <v>149</v>
      </c>
      <c r="AW5" s="1">
        <v>30</v>
      </c>
      <c r="AX5" s="1">
        <v>22</v>
      </c>
      <c r="AY5" s="1">
        <v>2</v>
      </c>
      <c r="AZ5" s="1">
        <v>44</v>
      </c>
      <c r="BA5" s="1">
        <v>16</v>
      </c>
      <c r="BB5" s="1">
        <v>300</v>
      </c>
      <c r="BC5" s="1">
        <v>263</v>
      </c>
      <c r="BD5" s="1">
        <v>28</v>
      </c>
      <c r="BE5" s="1">
        <v>222</v>
      </c>
      <c r="BF5" s="1">
        <v>109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</row>
    <row r="6" spans="1:63" x14ac:dyDescent="0.2">
      <c r="A6" s="1">
        <v>47010</v>
      </c>
      <c r="B6" s="1" t="s">
        <v>71</v>
      </c>
      <c r="C6" s="1">
        <v>24</v>
      </c>
      <c r="D6" s="1">
        <v>677</v>
      </c>
      <c r="E6" s="1" t="s">
        <v>64</v>
      </c>
      <c r="F6" s="1">
        <v>61</v>
      </c>
      <c r="G6" s="1" t="s">
        <v>66</v>
      </c>
      <c r="H6" s="1">
        <v>48.56</v>
      </c>
      <c r="I6" s="1">
        <v>1165.44</v>
      </c>
      <c r="L6" s="1">
        <v>18.829999999999998</v>
      </c>
      <c r="M6" s="1">
        <v>26.21</v>
      </c>
      <c r="O6" s="1">
        <v>25.38</v>
      </c>
      <c r="P6" s="1">
        <v>15.46</v>
      </c>
      <c r="R6" s="1">
        <v>21.33</v>
      </c>
      <c r="S6" s="1">
        <v>26.75</v>
      </c>
      <c r="U6" s="1">
        <v>0</v>
      </c>
      <c r="V6" s="2">
        <v>76384.88</v>
      </c>
      <c r="W6" s="2">
        <v>79735.520000000004</v>
      </c>
      <c r="X6" s="1">
        <v>67</v>
      </c>
      <c r="Y6" s="1">
        <v>200</v>
      </c>
      <c r="Z6" s="1">
        <v>184</v>
      </c>
      <c r="AA6" s="1">
        <v>202</v>
      </c>
      <c r="AB6" s="1">
        <v>629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132</v>
      </c>
      <c r="AS6" s="1">
        <v>130</v>
      </c>
      <c r="AT6" s="1">
        <v>238</v>
      </c>
      <c r="AU6" s="1">
        <v>189</v>
      </c>
      <c r="AV6" s="1">
        <v>312</v>
      </c>
      <c r="AW6" s="1">
        <v>27</v>
      </c>
      <c r="AX6" s="1">
        <v>27</v>
      </c>
      <c r="AY6" s="1">
        <v>23</v>
      </c>
      <c r="AZ6" s="1">
        <v>32</v>
      </c>
      <c r="BA6" s="1">
        <v>59</v>
      </c>
      <c r="BB6" s="1">
        <v>178</v>
      </c>
      <c r="BC6" s="1">
        <v>207</v>
      </c>
      <c r="BD6" s="1">
        <v>121</v>
      </c>
      <c r="BE6" s="1">
        <v>219</v>
      </c>
      <c r="BF6" s="1">
        <v>642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</row>
    <row r="7" spans="1:63" x14ac:dyDescent="0.2">
      <c r="A7" s="1">
        <v>47023</v>
      </c>
      <c r="B7" s="1" t="s">
        <v>76</v>
      </c>
      <c r="C7" s="1">
        <v>8</v>
      </c>
      <c r="D7" s="1">
        <v>677</v>
      </c>
      <c r="E7" s="1" t="s">
        <v>64</v>
      </c>
      <c r="F7" s="1">
        <v>61</v>
      </c>
      <c r="G7" s="1" t="s">
        <v>66</v>
      </c>
      <c r="H7" s="1">
        <v>105.55</v>
      </c>
      <c r="I7" s="1">
        <v>844.4</v>
      </c>
      <c r="L7" s="1">
        <v>23.69</v>
      </c>
      <c r="M7" s="1">
        <v>21.75</v>
      </c>
      <c r="O7" s="1">
        <v>32.94</v>
      </c>
      <c r="P7" s="1">
        <v>44.38</v>
      </c>
      <c r="R7" s="1">
        <v>27.94</v>
      </c>
      <c r="S7" s="1">
        <v>36.25</v>
      </c>
      <c r="U7" s="1">
        <v>0</v>
      </c>
      <c r="V7" s="2">
        <v>71404.58</v>
      </c>
      <c r="W7" s="2">
        <v>86445.45</v>
      </c>
      <c r="X7" s="1">
        <v>59</v>
      </c>
      <c r="Y7" s="1">
        <v>70</v>
      </c>
      <c r="Z7" s="1">
        <v>61</v>
      </c>
      <c r="AA7" s="1">
        <v>69</v>
      </c>
      <c r="AB7" s="1">
        <v>174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36</v>
      </c>
      <c r="AS7" s="1">
        <v>84</v>
      </c>
      <c r="AT7" s="1">
        <v>87</v>
      </c>
      <c r="AU7" s="1">
        <v>101</v>
      </c>
      <c r="AV7" s="1">
        <v>329</v>
      </c>
      <c r="AW7" s="1">
        <v>11</v>
      </c>
      <c r="AX7" s="1">
        <v>21</v>
      </c>
      <c r="AY7" s="1">
        <v>21</v>
      </c>
      <c r="AZ7" s="1">
        <v>11</v>
      </c>
      <c r="BA7" s="1">
        <v>26</v>
      </c>
      <c r="BB7" s="1">
        <v>69</v>
      </c>
      <c r="BC7" s="1">
        <v>70</v>
      </c>
      <c r="BD7" s="1">
        <v>92</v>
      </c>
      <c r="BE7" s="1">
        <v>55</v>
      </c>
      <c r="BF7" s="1">
        <v>290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</row>
    <row r="8" spans="1:63" x14ac:dyDescent="0.2">
      <c r="A8" s="1">
        <v>47046</v>
      </c>
      <c r="B8" s="1" t="s">
        <v>78</v>
      </c>
      <c r="C8" s="1">
        <v>24</v>
      </c>
      <c r="D8" s="1">
        <v>677</v>
      </c>
      <c r="E8" s="1" t="s">
        <v>64</v>
      </c>
      <c r="F8" s="1">
        <v>61</v>
      </c>
      <c r="G8" s="1" t="s">
        <v>66</v>
      </c>
      <c r="H8" s="1">
        <v>39.11</v>
      </c>
      <c r="I8" s="1">
        <v>938.64</v>
      </c>
      <c r="L8" s="1">
        <v>8.56</v>
      </c>
      <c r="M8" s="1">
        <v>19.38</v>
      </c>
      <c r="O8" s="1">
        <v>20.329999999999998</v>
      </c>
      <c r="P8" s="1">
        <v>19.170000000000002</v>
      </c>
      <c r="R8" s="1">
        <v>16.5</v>
      </c>
      <c r="S8" s="1">
        <v>17.829999999999998</v>
      </c>
      <c r="U8" s="1">
        <v>0</v>
      </c>
      <c r="V8" s="2">
        <v>42610.34</v>
      </c>
      <c r="W8" s="2">
        <v>52915.83</v>
      </c>
      <c r="X8" s="1">
        <v>34</v>
      </c>
      <c r="Y8" s="1">
        <v>65</v>
      </c>
      <c r="Z8" s="1">
        <v>99</v>
      </c>
      <c r="AA8" s="1">
        <v>80</v>
      </c>
      <c r="AB8" s="1">
        <v>465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85</v>
      </c>
      <c r="AS8" s="1">
        <v>156</v>
      </c>
      <c r="AT8" s="1">
        <v>186</v>
      </c>
      <c r="AU8" s="1">
        <v>169</v>
      </c>
      <c r="AV8" s="1">
        <v>367</v>
      </c>
      <c r="AW8" s="1">
        <v>23</v>
      </c>
      <c r="AX8" s="1">
        <v>19</v>
      </c>
      <c r="AY8" s="1">
        <v>13</v>
      </c>
      <c r="AZ8" s="1">
        <v>18</v>
      </c>
      <c r="BA8" s="1">
        <v>93</v>
      </c>
      <c r="BB8" s="1">
        <v>80</v>
      </c>
      <c r="BC8" s="1">
        <v>284</v>
      </c>
      <c r="BD8" s="1">
        <v>80</v>
      </c>
      <c r="BE8" s="1">
        <v>188</v>
      </c>
      <c r="BF8" s="1">
        <v>428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</row>
    <row r="9" spans="1:63" x14ac:dyDescent="0.2">
      <c r="A9" s="1">
        <v>10703</v>
      </c>
      <c r="B9" s="1" t="s">
        <v>82</v>
      </c>
      <c r="C9" s="1">
        <v>12</v>
      </c>
      <c r="D9" s="1">
        <v>677</v>
      </c>
      <c r="E9" s="1" t="s">
        <v>64</v>
      </c>
      <c r="F9" s="1">
        <v>542</v>
      </c>
      <c r="G9" s="1" t="s">
        <v>84</v>
      </c>
      <c r="H9" s="1">
        <v>133.74420000000001</v>
      </c>
      <c r="I9" s="1">
        <v>1604.9304</v>
      </c>
      <c r="L9" s="1">
        <v>7.96</v>
      </c>
      <c r="M9" s="1">
        <v>3.67</v>
      </c>
      <c r="O9" s="1">
        <v>11.33</v>
      </c>
      <c r="P9" s="1">
        <v>16.420000000000002</v>
      </c>
      <c r="R9" s="1">
        <v>5.83</v>
      </c>
      <c r="S9" s="1">
        <v>6.83</v>
      </c>
      <c r="U9" s="1">
        <v>0</v>
      </c>
      <c r="V9" s="2">
        <v>40323.879999999997</v>
      </c>
      <c r="W9" s="2">
        <v>43199.38</v>
      </c>
      <c r="X9" s="1">
        <v>19</v>
      </c>
      <c r="Y9" s="1">
        <v>52</v>
      </c>
      <c r="Z9" s="1">
        <v>36</v>
      </c>
      <c r="AA9" s="1">
        <v>29</v>
      </c>
      <c r="AB9" s="1">
        <v>44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19</v>
      </c>
      <c r="AS9" s="1">
        <v>50</v>
      </c>
      <c r="AT9" s="1">
        <v>38</v>
      </c>
      <c r="AU9" s="1">
        <v>43</v>
      </c>
      <c r="AV9" s="1">
        <v>156</v>
      </c>
      <c r="AW9" s="1">
        <v>5</v>
      </c>
      <c r="AX9" s="1">
        <v>16</v>
      </c>
      <c r="AY9" s="1">
        <v>16</v>
      </c>
      <c r="AZ9" s="1">
        <v>7</v>
      </c>
      <c r="BA9" s="1">
        <v>41</v>
      </c>
      <c r="BB9" s="1">
        <v>23</v>
      </c>
      <c r="BC9" s="1">
        <v>36</v>
      </c>
      <c r="BD9" s="1">
        <v>28</v>
      </c>
      <c r="BE9" s="1">
        <v>2</v>
      </c>
      <c r="BF9" s="1">
        <v>82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</row>
    <row r="10" spans="1:63" x14ac:dyDescent="0.2">
      <c r="A10" s="1">
        <v>47024</v>
      </c>
      <c r="B10" s="1" t="s">
        <v>88</v>
      </c>
      <c r="C10" s="1">
        <v>12</v>
      </c>
      <c r="D10" s="1">
        <v>677</v>
      </c>
      <c r="E10" s="1" t="s">
        <v>64</v>
      </c>
      <c r="F10" s="1">
        <v>61</v>
      </c>
      <c r="G10" s="1" t="s">
        <v>66</v>
      </c>
      <c r="H10" s="1">
        <v>135.38999999999999</v>
      </c>
      <c r="I10" s="1">
        <v>1624.68</v>
      </c>
      <c r="L10" s="1">
        <v>5.75</v>
      </c>
      <c r="M10" s="1">
        <v>10.25</v>
      </c>
      <c r="O10" s="1">
        <v>6.46</v>
      </c>
      <c r="P10" s="1">
        <v>6.5</v>
      </c>
      <c r="R10" s="1">
        <v>12.12</v>
      </c>
      <c r="S10" s="1">
        <v>5.92</v>
      </c>
      <c r="U10" s="1">
        <v>0</v>
      </c>
      <c r="V10" s="2">
        <v>39533.879999999997</v>
      </c>
      <c r="W10" s="2">
        <v>36826.080000000002</v>
      </c>
      <c r="X10" s="1">
        <v>16</v>
      </c>
      <c r="Y10" s="1">
        <v>22</v>
      </c>
      <c r="Z10" s="1">
        <v>28</v>
      </c>
      <c r="AA10" s="1">
        <v>28</v>
      </c>
      <c r="AB10" s="1">
        <v>123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17</v>
      </c>
      <c r="AS10" s="1">
        <v>16</v>
      </c>
      <c r="AT10" s="1">
        <v>18</v>
      </c>
      <c r="AU10" s="1">
        <v>62</v>
      </c>
      <c r="AV10" s="1">
        <v>40</v>
      </c>
      <c r="AW10" s="1">
        <v>0</v>
      </c>
      <c r="AX10" s="1">
        <v>2</v>
      </c>
      <c r="AY10" s="1">
        <v>2</v>
      </c>
      <c r="AZ10" s="1">
        <v>1</v>
      </c>
      <c r="BA10" s="1">
        <v>38</v>
      </c>
      <c r="BB10" s="1">
        <v>41</v>
      </c>
      <c r="BC10" s="1">
        <v>95</v>
      </c>
      <c r="BD10" s="1">
        <v>34</v>
      </c>
      <c r="BE10" s="1">
        <v>46</v>
      </c>
      <c r="BF10" s="1">
        <v>71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</row>
    <row r="11" spans="1:63" x14ac:dyDescent="0.2">
      <c r="A11" s="1">
        <v>47000</v>
      </c>
      <c r="B11" s="1" t="s">
        <v>85</v>
      </c>
      <c r="C11" s="1">
        <v>16</v>
      </c>
      <c r="D11" s="1">
        <v>677</v>
      </c>
      <c r="E11" s="1" t="s">
        <v>64</v>
      </c>
      <c r="F11" s="1">
        <v>61</v>
      </c>
      <c r="G11" s="1" t="s">
        <v>66</v>
      </c>
      <c r="H11" s="1">
        <v>56.59</v>
      </c>
      <c r="I11" s="1">
        <v>905.44</v>
      </c>
      <c r="L11" s="1">
        <v>9.09</v>
      </c>
      <c r="M11" s="1">
        <v>4.6900000000000004</v>
      </c>
      <c r="O11" s="1">
        <v>23.88</v>
      </c>
      <c r="P11" s="1">
        <v>22.31</v>
      </c>
      <c r="R11" s="1">
        <v>10.66</v>
      </c>
      <c r="S11" s="1">
        <v>18</v>
      </c>
      <c r="U11" s="1">
        <v>0</v>
      </c>
      <c r="V11" s="2">
        <v>39499.82</v>
      </c>
      <c r="W11" s="2">
        <v>40744.800000000003</v>
      </c>
      <c r="X11" s="1">
        <v>66</v>
      </c>
      <c r="Y11" s="1">
        <v>30</v>
      </c>
      <c r="Z11" s="1">
        <v>47</v>
      </c>
      <c r="AA11" s="1">
        <v>35</v>
      </c>
      <c r="AB11" s="1">
        <v>75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54</v>
      </c>
      <c r="AS11" s="1">
        <v>99</v>
      </c>
      <c r="AT11" s="1">
        <v>173</v>
      </c>
      <c r="AU11" s="1">
        <v>109</v>
      </c>
      <c r="AV11" s="1">
        <v>331</v>
      </c>
      <c r="AW11" s="1">
        <v>20</v>
      </c>
      <c r="AX11" s="1">
        <v>17</v>
      </c>
      <c r="AY11" s="1">
        <v>16</v>
      </c>
      <c r="AZ11" s="1">
        <v>13</v>
      </c>
      <c r="BA11" s="1">
        <v>26</v>
      </c>
      <c r="BB11" s="1">
        <v>65</v>
      </c>
      <c r="BC11" s="1">
        <v>72</v>
      </c>
      <c r="BD11" s="1">
        <v>41</v>
      </c>
      <c r="BE11" s="1">
        <v>57</v>
      </c>
      <c r="BF11" s="1">
        <v>288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</row>
    <row r="12" spans="1:63" x14ac:dyDescent="0.2">
      <c r="A12" s="1">
        <v>47039</v>
      </c>
      <c r="B12" s="1" t="s">
        <v>79</v>
      </c>
      <c r="C12" s="1">
        <v>24</v>
      </c>
      <c r="D12" s="1">
        <v>677</v>
      </c>
      <c r="E12" s="1" t="s">
        <v>64</v>
      </c>
      <c r="F12" s="1">
        <v>61</v>
      </c>
      <c r="G12" s="1" t="s">
        <v>66</v>
      </c>
      <c r="H12" s="1">
        <v>52.259</v>
      </c>
      <c r="I12" s="1">
        <v>1254.2159999999999</v>
      </c>
      <c r="L12" s="1">
        <v>7.08</v>
      </c>
      <c r="M12" s="1">
        <v>5</v>
      </c>
      <c r="O12" s="1">
        <v>14.56</v>
      </c>
      <c r="P12" s="1">
        <v>15.04</v>
      </c>
      <c r="R12" s="1">
        <v>8.02</v>
      </c>
      <c r="S12" s="1">
        <v>9.25</v>
      </c>
      <c r="U12" s="1">
        <v>0</v>
      </c>
      <c r="V12" s="2">
        <v>37208.410000000003</v>
      </c>
      <c r="W12" s="2">
        <v>36738.080000000002</v>
      </c>
      <c r="X12" s="1">
        <v>21</v>
      </c>
      <c r="Y12" s="1">
        <v>50</v>
      </c>
      <c r="Z12" s="1">
        <v>89</v>
      </c>
      <c r="AA12" s="1">
        <v>70</v>
      </c>
      <c r="AB12" s="1">
        <v>120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66</v>
      </c>
      <c r="AS12" s="1">
        <v>117</v>
      </c>
      <c r="AT12" s="1">
        <v>106</v>
      </c>
      <c r="AU12" s="1">
        <v>132</v>
      </c>
      <c r="AV12" s="1">
        <v>307</v>
      </c>
      <c r="AW12" s="1">
        <v>24</v>
      </c>
      <c r="AX12" s="1">
        <v>22</v>
      </c>
      <c r="AY12" s="1">
        <v>13</v>
      </c>
      <c r="AZ12" s="1">
        <v>10</v>
      </c>
      <c r="BA12" s="1">
        <v>54</v>
      </c>
      <c r="BB12" s="1">
        <v>50</v>
      </c>
      <c r="BC12" s="1">
        <v>31</v>
      </c>
      <c r="BD12" s="1">
        <v>83</v>
      </c>
      <c r="BE12" s="1">
        <v>88</v>
      </c>
      <c r="BF12" s="1">
        <v>222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</row>
    <row r="13" spans="1:63" x14ac:dyDescent="0.2">
      <c r="A13" s="1">
        <v>47008</v>
      </c>
      <c r="B13" s="1" t="s">
        <v>93</v>
      </c>
      <c r="C13" s="1">
        <v>24</v>
      </c>
      <c r="D13" s="1">
        <v>677</v>
      </c>
      <c r="E13" s="1" t="s">
        <v>64</v>
      </c>
      <c r="F13" s="1">
        <v>61</v>
      </c>
      <c r="G13" s="1" t="s">
        <v>66</v>
      </c>
      <c r="H13" s="1">
        <v>35.74</v>
      </c>
      <c r="I13" s="1">
        <v>857.76</v>
      </c>
      <c r="L13" s="1">
        <v>8.4</v>
      </c>
      <c r="M13" s="1">
        <v>10.54</v>
      </c>
      <c r="O13" s="1">
        <v>13.65</v>
      </c>
      <c r="P13" s="1">
        <v>21.92</v>
      </c>
      <c r="R13" s="1">
        <v>18.309999999999999</v>
      </c>
      <c r="S13" s="1">
        <v>20.92</v>
      </c>
      <c r="U13" s="1">
        <v>0</v>
      </c>
      <c r="V13" s="2">
        <v>34614.19</v>
      </c>
      <c r="W13" s="2">
        <v>45782.94</v>
      </c>
      <c r="X13" s="1">
        <v>17</v>
      </c>
      <c r="Y13" s="1">
        <v>60</v>
      </c>
      <c r="Z13" s="1">
        <v>97</v>
      </c>
      <c r="AA13" s="1">
        <v>115</v>
      </c>
      <c r="AB13" s="1">
        <v>253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35</v>
      </c>
      <c r="AS13" s="1">
        <v>42</v>
      </c>
      <c r="AT13" s="1">
        <v>138</v>
      </c>
      <c r="AU13" s="1">
        <v>173</v>
      </c>
      <c r="AV13" s="1">
        <v>470</v>
      </c>
      <c r="AW13" s="1">
        <v>16</v>
      </c>
      <c r="AX13" s="1">
        <v>21</v>
      </c>
      <c r="AY13" s="1">
        <v>12</v>
      </c>
      <c r="AZ13" s="1">
        <v>17</v>
      </c>
      <c r="BA13" s="1">
        <v>56</v>
      </c>
      <c r="BB13" s="1">
        <v>212</v>
      </c>
      <c r="BC13" s="1">
        <v>129</v>
      </c>
      <c r="BD13" s="1">
        <v>90</v>
      </c>
      <c r="BE13" s="1">
        <v>146</v>
      </c>
      <c r="BF13" s="1">
        <v>502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</row>
    <row r="14" spans="1:63" x14ac:dyDescent="0.2">
      <c r="A14" s="1">
        <v>48091</v>
      </c>
      <c r="B14" s="1" t="s">
        <v>103</v>
      </c>
      <c r="C14" s="1">
        <v>12</v>
      </c>
      <c r="D14" s="1">
        <v>677</v>
      </c>
      <c r="E14" s="1" t="s">
        <v>64</v>
      </c>
      <c r="F14" s="1">
        <v>690</v>
      </c>
      <c r="G14" s="1" t="s">
        <v>101</v>
      </c>
      <c r="H14" s="1">
        <v>54.916699999999999</v>
      </c>
      <c r="I14" s="1">
        <v>659.00040000000001</v>
      </c>
      <c r="L14" s="1">
        <v>14.88</v>
      </c>
      <c r="M14" s="1">
        <v>13.08</v>
      </c>
      <c r="O14" s="1">
        <v>10.71</v>
      </c>
      <c r="P14" s="1">
        <v>5.08</v>
      </c>
      <c r="R14" s="1">
        <v>20.79</v>
      </c>
      <c r="S14" s="1">
        <v>9.75</v>
      </c>
      <c r="U14" s="1">
        <v>0</v>
      </c>
      <c r="V14" s="2">
        <v>30561.14</v>
      </c>
      <c r="W14" s="2">
        <v>18397.09</v>
      </c>
      <c r="X14" s="1">
        <v>55</v>
      </c>
      <c r="Y14" s="1">
        <v>31</v>
      </c>
      <c r="Z14" s="1">
        <v>70</v>
      </c>
      <c r="AA14" s="1">
        <v>76</v>
      </c>
      <c r="AB14" s="1">
        <v>157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33</v>
      </c>
      <c r="AS14" s="1">
        <v>48</v>
      </c>
      <c r="AT14" s="1">
        <v>47</v>
      </c>
      <c r="AU14" s="1">
        <v>18</v>
      </c>
      <c r="AV14" s="1">
        <v>4</v>
      </c>
      <c r="AW14" s="1">
        <v>3</v>
      </c>
      <c r="AX14" s="1">
        <v>8</v>
      </c>
      <c r="AY14" s="1">
        <v>7</v>
      </c>
      <c r="AZ14" s="1">
        <v>3</v>
      </c>
      <c r="BA14" s="1">
        <v>57</v>
      </c>
      <c r="BB14" s="1">
        <v>87</v>
      </c>
      <c r="BC14" s="1">
        <v>94</v>
      </c>
      <c r="BD14" s="1">
        <v>86</v>
      </c>
      <c r="BE14" s="1">
        <v>59</v>
      </c>
      <c r="BF14" s="1">
        <v>117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</row>
    <row r="15" spans="1:63" x14ac:dyDescent="0.2">
      <c r="A15" s="1">
        <v>47038</v>
      </c>
      <c r="B15" s="1" t="s">
        <v>90</v>
      </c>
      <c r="C15" s="1">
        <v>28</v>
      </c>
      <c r="D15" s="1">
        <v>677</v>
      </c>
      <c r="E15" s="1" t="s">
        <v>64</v>
      </c>
      <c r="F15" s="1">
        <v>61</v>
      </c>
      <c r="G15" s="1" t="s">
        <v>66</v>
      </c>
      <c r="H15" s="1">
        <v>26.59</v>
      </c>
      <c r="I15" s="1">
        <v>744.52</v>
      </c>
      <c r="L15" s="1">
        <v>11.59</v>
      </c>
      <c r="M15" s="1">
        <v>8.11</v>
      </c>
      <c r="O15" s="1">
        <v>20.16</v>
      </c>
      <c r="P15" s="1">
        <v>19.39</v>
      </c>
      <c r="R15" s="1">
        <v>8.59</v>
      </c>
      <c r="S15" s="1">
        <v>14.57</v>
      </c>
      <c r="U15" s="1">
        <v>0</v>
      </c>
      <c r="V15" s="2">
        <v>30033.4</v>
      </c>
      <c r="W15" s="2">
        <v>31323.02</v>
      </c>
      <c r="X15" s="1">
        <v>50</v>
      </c>
      <c r="Y15" s="1">
        <v>35</v>
      </c>
      <c r="Z15" s="1">
        <v>195</v>
      </c>
      <c r="AA15" s="1">
        <v>124</v>
      </c>
      <c r="AB15" s="1">
        <v>227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175</v>
      </c>
      <c r="AS15" s="1">
        <v>111</v>
      </c>
      <c r="AT15" s="1">
        <v>190</v>
      </c>
      <c r="AU15" s="1">
        <v>174</v>
      </c>
      <c r="AV15" s="1">
        <v>441</v>
      </c>
      <c r="AW15" s="1">
        <v>12</v>
      </c>
      <c r="AX15" s="1">
        <v>7</v>
      </c>
      <c r="AY15" s="1">
        <v>31</v>
      </c>
      <c r="AZ15" s="1">
        <v>21</v>
      </c>
      <c r="BA15" s="1">
        <v>102</v>
      </c>
      <c r="BB15" s="1">
        <v>83</v>
      </c>
      <c r="BC15" s="1">
        <v>132</v>
      </c>
      <c r="BD15" s="1">
        <v>21</v>
      </c>
      <c r="BE15" s="1">
        <v>141</v>
      </c>
      <c r="BF15" s="1">
        <v>408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</row>
    <row r="16" spans="1:63" x14ac:dyDescent="0.2">
      <c r="A16" s="1">
        <v>48084</v>
      </c>
      <c r="B16" s="1" t="s">
        <v>100</v>
      </c>
      <c r="C16" s="1">
        <v>12</v>
      </c>
      <c r="D16" s="1">
        <v>677</v>
      </c>
      <c r="E16" s="1" t="s">
        <v>64</v>
      </c>
      <c r="F16" s="1">
        <v>690</v>
      </c>
      <c r="G16" s="1" t="s">
        <v>101</v>
      </c>
      <c r="H16" s="1">
        <v>54.916699999999999</v>
      </c>
      <c r="I16" s="1">
        <v>659.00040000000001</v>
      </c>
      <c r="L16" s="1">
        <v>13.17</v>
      </c>
      <c r="M16" s="1">
        <v>7.58</v>
      </c>
      <c r="O16" s="1">
        <v>9.58</v>
      </c>
      <c r="P16" s="1">
        <v>7.67</v>
      </c>
      <c r="R16" s="1">
        <v>20.29</v>
      </c>
      <c r="S16" s="1">
        <v>10.75</v>
      </c>
      <c r="U16" s="1">
        <v>0</v>
      </c>
      <c r="V16" s="2">
        <v>28364.48</v>
      </c>
      <c r="W16" s="2">
        <v>17134.009999999998</v>
      </c>
      <c r="X16" s="1">
        <v>50</v>
      </c>
      <c r="Y16" s="1">
        <v>22</v>
      </c>
      <c r="Z16" s="1">
        <v>69</v>
      </c>
      <c r="AA16" s="1">
        <v>56</v>
      </c>
      <c r="AB16" s="1">
        <v>91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35</v>
      </c>
      <c r="AS16" s="1">
        <v>41</v>
      </c>
      <c r="AT16" s="1">
        <v>37</v>
      </c>
      <c r="AU16" s="1">
        <v>14</v>
      </c>
      <c r="AV16" s="1">
        <v>12</v>
      </c>
      <c r="AW16" s="1">
        <v>8</v>
      </c>
      <c r="AX16" s="1">
        <v>3</v>
      </c>
      <c r="AY16" s="1">
        <v>4</v>
      </c>
      <c r="AZ16" s="1">
        <v>4</v>
      </c>
      <c r="BA16" s="1">
        <v>80</v>
      </c>
      <c r="BB16" s="1">
        <v>85</v>
      </c>
      <c r="BC16" s="1">
        <v>70</v>
      </c>
      <c r="BD16" s="1">
        <v>94</v>
      </c>
      <c r="BE16" s="1">
        <v>59</v>
      </c>
      <c r="BF16" s="1">
        <v>129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</row>
    <row r="17" spans="1:63" x14ac:dyDescent="0.2">
      <c r="A17" s="1">
        <v>48081</v>
      </c>
      <c r="B17" s="1" t="s">
        <v>104</v>
      </c>
      <c r="C17" s="1">
        <v>12</v>
      </c>
      <c r="D17" s="1">
        <v>677</v>
      </c>
      <c r="E17" s="1" t="s">
        <v>64</v>
      </c>
      <c r="F17" s="1">
        <v>690</v>
      </c>
      <c r="G17" s="1" t="s">
        <v>101</v>
      </c>
      <c r="H17" s="1">
        <v>54.916699999999999</v>
      </c>
      <c r="I17" s="1">
        <v>659.00040000000001</v>
      </c>
      <c r="L17" s="1">
        <v>12.96</v>
      </c>
      <c r="M17" s="1">
        <v>5.92</v>
      </c>
      <c r="O17" s="1">
        <v>6.38</v>
      </c>
      <c r="P17" s="1">
        <v>11.75</v>
      </c>
      <c r="R17" s="1">
        <v>17</v>
      </c>
      <c r="S17" s="1">
        <v>13</v>
      </c>
      <c r="U17" s="1">
        <v>0</v>
      </c>
      <c r="V17" s="2">
        <v>23943.68</v>
      </c>
      <c r="W17" s="2">
        <v>20209.349999999999</v>
      </c>
      <c r="X17" s="1">
        <v>41</v>
      </c>
      <c r="Y17" s="1">
        <v>22</v>
      </c>
      <c r="Z17" s="1">
        <v>87</v>
      </c>
      <c r="AA17" s="1">
        <v>33</v>
      </c>
      <c r="AB17" s="1">
        <v>71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19</v>
      </c>
      <c r="AS17" s="1">
        <v>35</v>
      </c>
      <c r="AT17" s="1">
        <v>26</v>
      </c>
      <c r="AU17" s="1">
        <v>12</v>
      </c>
      <c r="AV17" s="1">
        <v>83</v>
      </c>
      <c r="AW17" s="1">
        <v>3</v>
      </c>
      <c r="AX17" s="1">
        <v>1</v>
      </c>
      <c r="AY17" s="1">
        <v>4</v>
      </c>
      <c r="AZ17" s="1">
        <v>1</v>
      </c>
      <c r="BA17" s="1">
        <v>58</v>
      </c>
      <c r="BB17" s="1">
        <v>92</v>
      </c>
      <c r="BC17" s="1">
        <v>63</v>
      </c>
      <c r="BD17" s="1">
        <v>57</v>
      </c>
      <c r="BE17" s="1">
        <v>47</v>
      </c>
      <c r="BF17" s="1">
        <v>156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</row>
    <row r="18" spans="1:63" x14ac:dyDescent="0.2">
      <c r="A18" s="1">
        <v>47004</v>
      </c>
      <c r="B18" s="1" t="s">
        <v>86</v>
      </c>
      <c r="C18" s="1">
        <v>24</v>
      </c>
      <c r="D18" s="1">
        <v>677</v>
      </c>
      <c r="E18" s="1" t="s">
        <v>64</v>
      </c>
      <c r="F18" s="1">
        <v>61</v>
      </c>
      <c r="G18" s="1" t="s">
        <v>66</v>
      </c>
      <c r="H18" s="1">
        <v>22.315999999999999</v>
      </c>
      <c r="I18" s="1">
        <v>535.58399999999995</v>
      </c>
      <c r="L18" s="1">
        <v>15.02</v>
      </c>
      <c r="M18" s="1">
        <v>5.92</v>
      </c>
      <c r="O18" s="1">
        <v>14.04</v>
      </c>
      <c r="P18" s="1">
        <v>10.33</v>
      </c>
      <c r="R18" s="1">
        <v>14.77</v>
      </c>
      <c r="S18" s="1">
        <v>7.96</v>
      </c>
      <c r="U18" s="1">
        <v>0</v>
      </c>
      <c r="V18" s="2">
        <v>23476.43</v>
      </c>
      <c r="W18" s="2">
        <v>12965.6</v>
      </c>
      <c r="X18" s="1">
        <v>135</v>
      </c>
      <c r="Y18" s="1">
        <v>107</v>
      </c>
      <c r="Z18" s="1">
        <v>98</v>
      </c>
      <c r="AA18" s="1">
        <v>148</v>
      </c>
      <c r="AB18" s="1">
        <v>142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68</v>
      </c>
      <c r="AS18" s="1">
        <v>84</v>
      </c>
      <c r="AT18" s="1">
        <v>80</v>
      </c>
      <c r="AU18" s="1">
        <v>109</v>
      </c>
      <c r="AV18" s="1">
        <v>168</v>
      </c>
      <c r="AW18" s="1">
        <v>57</v>
      </c>
      <c r="AX18" s="1">
        <v>35</v>
      </c>
      <c r="AY18" s="1">
        <v>13</v>
      </c>
      <c r="AZ18" s="1">
        <v>10</v>
      </c>
      <c r="BA18" s="1">
        <v>80</v>
      </c>
      <c r="BB18" s="1">
        <v>165</v>
      </c>
      <c r="BC18" s="1">
        <v>120</v>
      </c>
      <c r="BD18" s="1">
        <v>31</v>
      </c>
      <c r="BE18" s="1">
        <v>197</v>
      </c>
      <c r="BF18" s="1">
        <v>191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</row>
    <row r="19" spans="1:63" x14ac:dyDescent="0.2">
      <c r="A19" s="1">
        <v>48067</v>
      </c>
      <c r="B19" s="1" t="s">
        <v>106</v>
      </c>
      <c r="C19" s="1">
        <v>12</v>
      </c>
      <c r="D19" s="1">
        <v>677</v>
      </c>
      <c r="E19" s="1" t="s">
        <v>64</v>
      </c>
      <c r="F19" s="1">
        <v>690</v>
      </c>
      <c r="G19" s="1" t="s">
        <v>101</v>
      </c>
      <c r="H19" s="1">
        <v>54.916699999999999</v>
      </c>
      <c r="I19" s="1">
        <v>659.00040000000001</v>
      </c>
      <c r="L19" s="1">
        <v>13.79</v>
      </c>
      <c r="M19" s="1">
        <v>15.17</v>
      </c>
      <c r="O19" s="1">
        <v>6.71</v>
      </c>
      <c r="P19" s="1">
        <v>10.92</v>
      </c>
      <c r="R19" s="1">
        <v>13.92</v>
      </c>
      <c r="S19" s="1">
        <v>14.42</v>
      </c>
      <c r="U19" s="1">
        <v>0</v>
      </c>
      <c r="V19" s="2">
        <v>22680.6</v>
      </c>
      <c r="W19" s="2">
        <v>26689.52</v>
      </c>
      <c r="X19" s="1">
        <v>52</v>
      </c>
      <c r="Y19" s="1">
        <v>17</v>
      </c>
      <c r="Z19" s="1">
        <v>80</v>
      </c>
      <c r="AA19" s="1">
        <v>50</v>
      </c>
      <c r="AB19" s="1">
        <v>182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26</v>
      </c>
      <c r="AS19" s="1">
        <v>20</v>
      </c>
      <c r="AT19" s="1">
        <v>22</v>
      </c>
      <c r="AU19" s="1">
        <v>18</v>
      </c>
      <c r="AV19" s="1">
        <v>49</v>
      </c>
      <c r="AW19" s="1">
        <v>4</v>
      </c>
      <c r="AX19" s="1">
        <v>1</v>
      </c>
      <c r="AY19" s="1">
        <v>8</v>
      </c>
      <c r="AZ19" s="1">
        <v>2</v>
      </c>
      <c r="BA19" s="1">
        <v>82</v>
      </c>
      <c r="BB19" s="1">
        <v>69</v>
      </c>
      <c r="BC19" s="1">
        <v>65</v>
      </c>
      <c r="BD19" s="1">
        <v>45</v>
      </c>
      <c r="BE19" s="1">
        <v>41</v>
      </c>
      <c r="BF19" s="1">
        <v>173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</row>
    <row r="20" spans="1:63" x14ac:dyDescent="0.2">
      <c r="A20" s="1">
        <v>48068</v>
      </c>
      <c r="B20" s="1" t="s">
        <v>109</v>
      </c>
      <c r="C20" s="1">
        <v>12</v>
      </c>
      <c r="D20" s="1">
        <v>677</v>
      </c>
      <c r="E20" s="1" t="s">
        <v>64</v>
      </c>
      <c r="F20" s="1">
        <v>690</v>
      </c>
      <c r="G20" s="1" t="s">
        <v>101</v>
      </c>
      <c r="H20" s="1">
        <v>54.916699999999999</v>
      </c>
      <c r="I20" s="1">
        <v>659.00040000000001</v>
      </c>
      <c r="L20" s="1">
        <v>10.92</v>
      </c>
      <c r="M20" s="1">
        <v>1.25</v>
      </c>
      <c r="O20" s="1">
        <v>4.33</v>
      </c>
      <c r="P20" s="1">
        <v>0.17</v>
      </c>
      <c r="R20" s="1">
        <v>11.71</v>
      </c>
      <c r="S20" s="1">
        <v>1.25</v>
      </c>
      <c r="U20" s="1">
        <v>0</v>
      </c>
      <c r="V20" s="2">
        <v>17765.55</v>
      </c>
      <c r="W20" s="2">
        <v>1757.33</v>
      </c>
      <c r="X20" s="1">
        <v>37</v>
      </c>
      <c r="Y20" s="1">
        <v>15</v>
      </c>
      <c r="Z20" s="1">
        <v>69</v>
      </c>
      <c r="AA20" s="1">
        <v>35</v>
      </c>
      <c r="AB20" s="1">
        <v>15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17</v>
      </c>
      <c r="AS20" s="1">
        <v>15</v>
      </c>
      <c r="AT20" s="1">
        <v>13</v>
      </c>
      <c r="AU20" s="1">
        <v>11</v>
      </c>
      <c r="AV20" s="1">
        <v>2</v>
      </c>
      <c r="AW20" s="1">
        <v>0</v>
      </c>
      <c r="AX20" s="1">
        <v>0</v>
      </c>
      <c r="AY20" s="1">
        <v>8</v>
      </c>
      <c r="AZ20" s="1">
        <v>2</v>
      </c>
      <c r="BA20" s="1">
        <v>0</v>
      </c>
      <c r="BB20" s="1">
        <v>54</v>
      </c>
      <c r="BC20" s="1">
        <v>37</v>
      </c>
      <c r="BD20" s="1">
        <v>55</v>
      </c>
      <c r="BE20" s="1">
        <v>26</v>
      </c>
      <c r="BF20" s="1">
        <v>15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</row>
    <row r="21" spans="1:63" x14ac:dyDescent="0.2">
      <c r="A21" s="1">
        <v>47003</v>
      </c>
      <c r="B21" s="1" t="s">
        <v>91</v>
      </c>
      <c r="C21" s="1">
        <v>24</v>
      </c>
      <c r="D21" s="1">
        <v>677</v>
      </c>
      <c r="E21" s="1" t="s">
        <v>64</v>
      </c>
      <c r="F21" s="1">
        <v>61</v>
      </c>
      <c r="G21" s="1" t="s">
        <v>66</v>
      </c>
      <c r="H21" s="1">
        <v>22.315999999999999</v>
      </c>
      <c r="I21" s="1">
        <v>535.58399999999995</v>
      </c>
      <c r="L21" s="1">
        <v>8.4600000000000009</v>
      </c>
      <c r="M21" s="1">
        <v>2.25</v>
      </c>
      <c r="O21" s="1">
        <v>16.79</v>
      </c>
      <c r="P21" s="1">
        <v>11.83</v>
      </c>
      <c r="R21" s="1">
        <v>6.15</v>
      </c>
      <c r="S21" s="1">
        <v>8.7100000000000009</v>
      </c>
      <c r="U21" s="1">
        <v>0</v>
      </c>
      <c r="V21" s="2">
        <v>16815.11</v>
      </c>
      <c r="W21" s="2">
        <v>12206.85</v>
      </c>
      <c r="X21" s="1">
        <v>51</v>
      </c>
      <c r="Y21" s="1">
        <v>115</v>
      </c>
      <c r="Z21" s="1">
        <v>65</v>
      </c>
      <c r="AA21" s="1">
        <v>59</v>
      </c>
      <c r="AB21" s="1">
        <v>54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34</v>
      </c>
      <c r="AS21" s="1">
        <v>82</v>
      </c>
      <c r="AT21" s="1">
        <v>208</v>
      </c>
      <c r="AU21" s="1">
        <v>87</v>
      </c>
      <c r="AV21" s="1">
        <v>203</v>
      </c>
      <c r="AW21" s="1">
        <v>42</v>
      </c>
      <c r="AX21" s="1">
        <v>17</v>
      </c>
      <c r="AY21" s="1">
        <v>19</v>
      </c>
      <c r="AZ21" s="1">
        <v>14</v>
      </c>
      <c r="BA21" s="1">
        <v>81</v>
      </c>
      <c r="BB21" s="1">
        <v>21</v>
      </c>
      <c r="BC21" s="1">
        <v>64</v>
      </c>
      <c r="BD21" s="1">
        <v>46</v>
      </c>
      <c r="BE21" s="1">
        <v>97</v>
      </c>
      <c r="BF21" s="1">
        <v>209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</row>
    <row r="22" spans="1:63" x14ac:dyDescent="0.2">
      <c r="A22" s="1">
        <v>48069</v>
      </c>
      <c r="B22" s="1" t="s">
        <v>110</v>
      </c>
      <c r="C22" s="1">
        <v>12</v>
      </c>
      <c r="D22" s="1">
        <v>677</v>
      </c>
      <c r="E22" s="1" t="s">
        <v>64</v>
      </c>
      <c r="F22" s="1">
        <v>690</v>
      </c>
      <c r="G22" s="1" t="s">
        <v>101</v>
      </c>
      <c r="H22" s="1">
        <v>54.916699999999999</v>
      </c>
      <c r="I22" s="1">
        <v>659.00040000000001</v>
      </c>
      <c r="L22" s="1">
        <v>7.17</v>
      </c>
      <c r="M22" s="1">
        <v>0.5</v>
      </c>
      <c r="O22" s="1">
        <v>8.7100000000000009</v>
      </c>
      <c r="P22" s="1">
        <v>6.92</v>
      </c>
      <c r="R22" s="1">
        <v>7.21</v>
      </c>
      <c r="S22" s="1">
        <v>3.75</v>
      </c>
      <c r="U22" s="1">
        <v>0</v>
      </c>
      <c r="V22" s="2">
        <v>15211.93</v>
      </c>
      <c r="W22" s="2">
        <v>7358.84</v>
      </c>
      <c r="X22" s="1">
        <v>34</v>
      </c>
      <c r="Y22" s="1">
        <v>32</v>
      </c>
      <c r="Z22" s="1">
        <v>16</v>
      </c>
      <c r="AA22" s="1">
        <v>40</v>
      </c>
      <c r="AB22" s="1">
        <v>6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35</v>
      </c>
      <c r="AS22" s="1">
        <v>24</v>
      </c>
      <c r="AT22" s="1">
        <v>32</v>
      </c>
      <c r="AU22" s="1">
        <v>21</v>
      </c>
      <c r="AV22" s="1">
        <v>22</v>
      </c>
      <c r="AW22" s="1">
        <v>4</v>
      </c>
      <c r="AX22" s="1">
        <v>5</v>
      </c>
      <c r="AY22" s="1">
        <v>8</v>
      </c>
      <c r="AZ22" s="1">
        <v>1</v>
      </c>
      <c r="BA22" s="1">
        <v>61</v>
      </c>
      <c r="BB22" s="1">
        <v>41</v>
      </c>
      <c r="BC22" s="1">
        <v>24</v>
      </c>
      <c r="BD22" s="1">
        <v>24</v>
      </c>
      <c r="BE22" s="1">
        <v>19</v>
      </c>
      <c r="BF22" s="1">
        <v>45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</row>
    <row r="23" spans="1:63" x14ac:dyDescent="0.2">
      <c r="A23" s="1">
        <v>47002</v>
      </c>
      <c r="B23" s="1" t="s">
        <v>89</v>
      </c>
      <c r="C23" s="1">
        <v>24</v>
      </c>
      <c r="D23" s="1">
        <v>677</v>
      </c>
      <c r="E23" s="1" t="s">
        <v>64</v>
      </c>
      <c r="F23" s="1">
        <v>61</v>
      </c>
      <c r="G23" s="1" t="s">
        <v>66</v>
      </c>
      <c r="H23" s="1">
        <v>22.315999999999999</v>
      </c>
      <c r="I23" s="1">
        <v>535.58399999999995</v>
      </c>
      <c r="L23" s="1">
        <v>9.58</v>
      </c>
      <c r="M23" s="1">
        <v>0.57999999999999996</v>
      </c>
      <c r="O23" s="1">
        <v>13.1</v>
      </c>
      <c r="P23" s="1">
        <v>4.96</v>
      </c>
      <c r="R23" s="1">
        <v>4.5999999999999996</v>
      </c>
      <c r="S23" s="1">
        <v>5.38</v>
      </c>
      <c r="U23" s="1">
        <v>0</v>
      </c>
      <c r="V23" s="2">
        <v>14616.98</v>
      </c>
      <c r="W23" s="2">
        <v>5846.79</v>
      </c>
      <c r="X23" s="1">
        <v>54</v>
      </c>
      <c r="Y23" s="1">
        <v>61</v>
      </c>
      <c r="Z23" s="1">
        <v>82</v>
      </c>
      <c r="AA23" s="1">
        <v>127</v>
      </c>
      <c r="AB23" s="1">
        <v>14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53</v>
      </c>
      <c r="AS23" s="1">
        <v>98</v>
      </c>
      <c r="AT23" s="1">
        <v>100</v>
      </c>
      <c r="AU23" s="1">
        <v>83</v>
      </c>
      <c r="AV23" s="1">
        <v>83</v>
      </c>
      <c r="AW23" s="1">
        <v>34</v>
      </c>
      <c r="AX23" s="1">
        <v>29</v>
      </c>
      <c r="AY23" s="1">
        <v>18</v>
      </c>
      <c r="AZ23" s="1">
        <v>9</v>
      </c>
      <c r="BA23" s="1">
        <v>36</v>
      </c>
      <c r="BB23" s="1">
        <v>17</v>
      </c>
      <c r="BC23" s="1">
        <v>65</v>
      </c>
      <c r="BD23" s="1">
        <v>29</v>
      </c>
      <c r="BE23" s="1">
        <v>64</v>
      </c>
      <c r="BF23" s="1">
        <v>129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</row>
    <row r="24" spans="1:63" x14ac:dyDescent="0.2">
      <c r="A24" s="1">
        <v>47029</v>
      </c>
      <c r="B24" s="1" t="s">
        <v>94</v>
      </c>
      <c r="C24" s="1">
        <v>24</v>
      </c>
      <c r="D24" s="1">
        <v>677</v>
      </c>
      <c r="E24" s="1" t="s">
        <v>64</v>
      </c>
      <c r="F24" s="1">
        <v>61</v>
      </c>
      <c r="G24" s="1" t="s">
        <v>66</v>
      </c>
      <c r="H24" s="1">
        <v>41.26</v>
      </c>
      <c r="I24" s="1">
        <v>990.24</v>
      </c>
      <c r="L24" s="1">
        <v>3.62</v>
      </c>
      <c r="M24" s="1">
        <v>6.46</v>
      </c>
      <c r="O24" s="1">
        <v>5.85</v>
      </c>
      <c r="P24" s="1">
        <v>10.71</v>
      </c>
      <c r="R24" s="1">
        <v>4.21</v>
      </c>
      <c r="S24" s="1">
        <v>2.5</v>
      </c>
      <c r="U24" s="1">
        <v>0</v>
      </c>
      <c r="V24" s="2">
        <v>13553.91</v>
      </c>
      <c r="W24" s="2">
        <v>19474.72</v>
      </c>
      <c r="X24" s="1">
        <v>13</v>
      </c>
      <c r="Y24" s="1">
        <v>31</v>
      </c>
      <c r="Z24" s="1">
        <v>34</v>
      </c>
      <c r="AA24" s="1">
        <v>49</v>
      </c>
      <c r="AB24" s="1">
        <v>155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25</v>
      </c>
      <c r="AS24" s="1">
        <v>32</v>
      </c>
      <c r="AT24" s="1">
        <v>42</v>
      </c>
      <c r="AU24" s="1">
        <v>57</v>
      </c>
      <c r="AV24" s="1">
        <v>217</v>
      </c>
      <c r="AW24" s="1">
        <v>9</v>
      </c>
      <c r="AX24" s="1">
        <v>25</v>
      </c>
      <c r="AY24" s="1">
        <v>4</v>
      </c>
      <c r="AZ24" s="1">
        <v>7</v>
      </c>
      <c r="BA24" s="1">
        <v>40</v>
      </c>
      <c r="BB24" s="1">
        <v>48</v>
      </c>
      <c r="BC24" s="1">
        <v>34</v>
      </c>
      <c r="BD24" s="1">
        <v>16</v>
      </c>
      <c r="BE24" s="1">
        <v>40</v>
      </c>
      <c r="BF24" s="1">
        <v>60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</row>
    <row r="25" spans="1:63" x14ac:dyDescent="0.2">
      <c r="A25" s="1">
        <v>48085</v>
      </c>
      <c r="B25" s="1" t="s">
        <v>105</v>
      </c>
      <c r="C25" s="1">
        <v>12</v>
      </c>
      <c r="D25" s="1">
        <v>677</v>
      </c>
      <c r="E25" s="1" t="s">
        <v>64</v>
      </c>
      <c r="F25" s="1">
        <v>690</v>
      </c>
      <c r="G25" s="1" t="s">
        <v>101</v>
      </c>
      <c r="H25" s="1">
        <v>54.916699999999999</v>
      </c>
      <c r="I25" s="1">
        <v>659.00040000000001</v>
      </c>
      <c r="L25" s="1">
        <v>10.29</v>
      </c>
      <c r="M25" s="1">
        <v>0.92</v>
      </c>
      <c r="O25" s="1">
        <v>4.38</v>
      </c>
      <c r="P25" s="1">
        <v>0</v>
      </c>
      <c r="R25" s="1">
        <v>5.83</v>
      </c>
      <c r="S25" s="1">
        <v>0</v>
      </c>
      <c r="U25" s="1">
        <v>0</v>
      </c>
      <c r="V25" s="2">
        <v>13509.51</v>
      </c>
      <c r="W25" s="2">
        <v>604.08000000000004</v>
      </c>
      <c r="X25" s="1">
        <v>21</v>
      </c>
      <c r="Y25" s="1">
        <v>16</v>
      </c>
      <c r="Z25" s="1">
        <v>69</v>
      </c>
      <c r="AA25" s="1">
        <v>51</v>
      </c>
      <c r="AB25" s="1">
        <v>11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39</v>
      </c>
      <c r="AU25" s="1">
        <v>13</v>
      </c>
      <c r="AV25" s="1">
        <v>0</v>
      </c>
      <c r="AW25" s="1">
        <v>0</v>
      </c>
      <c r="AX25" s="1">
        <v>0</v>
      </c>
      <c r="AY25" s="1">
        <v>7</v>
      </c>
      <c r="AZ25" s="1">
        <v>0</v>
      </c>
      <c r="BA25" s="1">
        <v>0</v>
      </c>
      <c r="BB25" s="1">
        <v>0</v>
      </c>
      <c r="BC25" s="1">
        <v>0</v>
      </c>
      <c r="BD25" s="1">
        <v>47</v>
      </c>
      <c r="BE25" s="1">
        <v>46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</row>
    <row r="26" spans="1:63" x14ac:dyDescent="0.2">
      <c r="A26" s="1">
        <v>48082</v>
      </c>
      <c r="B26" s="1" t="s">
        <v>114</v>
      </c>
      <c r="C26" s="1">
        <v>12</v>
      </c>
      <c r="D26" s="1">
        <v>677</v>
      </c>
      <c r="E26" s="1" t="s">
        <v>64</v>
      </c>
      <c r="F26" s="1">
        <v>690</v>
      </c>
      <c r="G26" s="1" t="s">
        <v>101</v>
      </c>
      <c r="H26" s="1">
        <v>54.916699999999999</v>
      </c>
      <c r="I26" s="1">
        <v>659.00040000000001</v>
      </c>
      <c r="L26" s="1">
        <v>6.96</v>
      </c>
      <c r="M26" s="1">
        <v>1.92</v>
      </c>
      <c r="O26" s="1">
        <v>3.67</v>
      </c>
      <c r="P26" s="1">
        <v>0.75</v>
      </c>
      <c r="R26" s="1">
        <v>8.08</v>
      </c>
      <c r="S26" s="1">
        <v>3.42</v>
      </c>
      <c r="U26" s="1">
        <v>0</v>
      </c>
      <c r="V26" s="2">
        <v>12328.8</v>
      </c>
      <c r="W26" s="2">
        <v>4008.92</v>
      </c>
      <c r="X26" s="1">
        <v>37</v>
      </c>
      <c r="Y26" s="1">
        <v>1</v>
      </c>
      <c r="Z26" s="1">
        <v>16</v>
      </c>
      <c r="AA26" s="1">
        <v>60</v>
      </c>
      <c r="AB26" s="1">
        <v>23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17</v>
      </c>
      <c r="AS26" s="1">
        <v>10</v>
      </c>
      <c r="AT26" s="1">
        <v>12</v>
      </c>
      <c r="AU26" s="1">
        <v>7</v>
      </c>
      <c r="AV26" s="1">
        <v>9</v>
      </c>
      <c r="AW26" s="1">
        <v>0</v>
      </c>
      <c r="AX26" s="1">
        <v>0</v>
      </c>
      <c r="AY26" s="1">
        <v>5</v>
      </c>
      <c r="AZ26" s="1">
        <v>3</v>
      </c>
      <c r="BA26" s="1">
        <v>0</v>
      </c>
      <c r="BB26" s="1">
        <v>46</v>
      </c>
      <c r="BC26" s="1">
        <v>35</v>
      </c>
      <c r="BD26" s="1">
        <v>25</v>
      </c>
      <c r="BE26" s="1">
        <v>17</v>
      </c>
      <c r="BF26" s="1">
        <v>41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</row>
    <row r="27" spans="1:63" x14ac:dyDescent="0.2">
      <c r="A27" s="1">
        <v>48063</v>
      </c>
      <c r="B27" s="1" t="s">
        <v>118</v>
      </c>
      <c r="C27" s="1">
        <v>12</v>
      </c>
      <c r="D27" s="1">
        <v>677</v>
      </c>
      <c r="E27" s="1" t="s">
        <v>64</v>
      </c>
      <c r="F27" s="1">
        <v>690</v>
      </c>
      <c r="G27" s="1" t="s">
        <v>101</v>
      </c>
      <c r="H27" s="1">
        <v>54.916699999999999</v>
      </c>
      <c r="I27" s="1">
        <v>659.00040000000001</v>
      </c>
      <c r="L27" s="1">
        <v>6.21</v>
      </c>
      <c r="M27" s="1">
        <v>2.5</v>
      </c>
      <c r="O27" s="1">
        <v>4.12</v>
      </c>
      <c r="P27" s="1">
        <v>0</v>
      </c>
      <c r="R27" s="1">
        <v>4.71</v>
      </c>
      <c r="S27" s="1">
        <v>-0.25</v>
      </c>
      <c r="U27" s="1">
        <v>0</v>
      </c>
      <c r="V27" s="2">
        <v>9912.4599999999991</v>
      </c>
      <c r="W27" s="2">
        <v>1482.75</v>
      </c>
      <c r="X27" s="1">
        <v>36</v>
      </c>
      <c r="Y27" s="1">
        <v>20</v>
      </c>
      <c r="Z27" s="1">
        <v>24</v>
      </c>
      <c r="AA27" s="1">
        <v>9</v>
      </c>
      <c r="AB27" s="1">
        <v>30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11</v>
      </c>
      <c r="AS27" s="1">
        <v>13</v>
      </c>
      <c r="AT27" s="1">
        <v>21</v>
      </c>
      <c r="AU27" s="1">
        <v>10</v>
      </c>
      <c r="AV27" s="1">
        <v>0</v>
      </c>
      <c r="AW27" s="1">
        <v>1</v>
      </c>
      <c r="AX27" s="1">
        <v>0</v>
      </c>
      <c r="AY27" s="1">
        <v>5</v>
      </c>
      <c r="AZ27" s="1">
        <v>0</v>
      </c>
      <c r="BA27" s="1">
        <v>0</v>
      </c>
      <c r="BB27" s="1">
        <v>18</v>
      </c>
      <c r="BC27" s="1">
        <v>6</v>
      </c>
      <c r="BD27" s="1">
        <v>26</v>
      </c>
      <c r="BE27" s="1">
        <v>19</v>
      </c>
      <c r="BF27" s="1">
        <v>-3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</row>
    <row r="28" spans="1:63" x14ac:dyDescent="0.2">
      <c r="A28" s="1">
        <v>48029</v>
      </c>
      <c r="B28" s="1" t="s">
        <v>111</v>
      </c>
      <c r="C28" s="1">
        <v>12</v>
      </c>
      <c r="D28" s="1">
        <v>677</v>
      </c>
      <c r="E28" s="1" t="s">
        <v>64</v>
      </c>
      <c r="F28" s="1">
        <v>690</v>
      </c>
      <c r="G28" s="1" t="s">
        <v>101</v>
      </c>
      <c r="H28" s="1">
        <v>54.916699999999999</v>
      </c>
      <c r="I28" s="1">
        <v>659.00040000000001</v>
      </c>
      <c r="L28" s="1">
        <v>5</v>
      </c>
      <c r="M28" s="1">
        <v>0.33</v>
      </c>
      <c r="O28" s="1">
        <v>4.54</v>
      </c>
      <c r="P28" s="1">
        <v>0.42</v>
      </c>
      <c r="R28" s="1">
        <v>4.83</v>
      </c>
      <c r="S28" s="1">
        <v>1</v>
      </c>
      <c r="U28" s="1">
        <v>0</v>
      </c>
      <c r="V28" s="2">
        <v>9473.1299999999992</v>
      </c>
      <c r="W28" s="2">
        <v>1153.25</v>
      </c>
      <c r="X28" s="1">
        <v>27</v>
      </c>
      <c r="Y28" s="1">
        <v>11</v>
      </c>
      <c r="Z28" s="1">
        <v>20</v>
      </c>
      <c r="AA28" s="1">
        <v>15</v>
      </c>
      <c r="AB28" s="1">
        <v>4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11</v>
      </c>
      <c r="AS28" s="1">
        <v>7</v>
      </c>
      <c r="AT28" s="1">
        <v>28</v>
      </c>
      <c r="AU28" s="1">
        <v>15</v>
      </c>
      <c r="AV28" s="1">
        <v>5</v>
      </c>
      <c r="AW28" s="1">
        <v>0</v>
      </c>
      <c r="AX28" s="1">
        <v>0</v>
      </c>
      <c r="AY28" s="1">
        <v>4</v>
      </c>
      <c r="AZ28" s="1">
        <v>1</v>
      </c>
      <c r="BA28" s="1">
        <v>0</v>
      </c>
      <c r="BB28" s="1">
        <v>6</v>
      </c>
      <c r="BC28" s="1">
        <v>6</v>
      </c>
      <c r="BD28" s="1">
        <v>40</v>
      </c>
      <c r="BE28" s="1">
        <v>18</v>
      </c>
      <c r="BF28" s="1">
        <v>12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</row>
    <row r="29" spans="1:63" x14ac:dyDescent="0.2">
      <c r="A29" s="1">
        <v>48044</v>
      </c>
      <c r="B29" s="1" t="s">
        <v>121</v>
      </c>
      <c r="C29" s="1">
        <v>12</v>
      </c>
      <c r="D29" s="1">
        <v>677</v>
      </c>
      <c r="E29" s="1" t="s">
        <v>64</v>
      </c>
      <c r="F29" s="1">
        <v>690</v>
      </c>
      <c r="G29" s="1" t="s">
        <v>101</v>
      </c>
      <c r="H29" s="1">
        <v>54.916699999999999</v>
      </c>
      <c r="I29" s="1">
        <v>659.00040000000001</v>
      </c>
      <c r="L29" s="1">
        <v>6.83</v>
      </c>
      <c r="M29" s="1">
        <v>0.57999999999999996</v>
      </c>
      <c r="O29" s="1">
        <v>2.42</v>
      </c>
      <c r="P29" s="1">
        <v>0</v>
      </c>
      <c r="R29" s="1">
        <v>4.71</v>
      </c>
      <c r="S29" s="1">
        <v>0</v>
      </c>
      <c r="U29" s="1">
        <v>0</v>
      </c>
      <c r="V29" s="2">
        <v>9198.5499999999993</v>
      </c>
      <c r="W29" s="2">
        <v>384.42</v>
      </c>
      <c r="X29" s="1">
        <v>29</v>
      </c>
      <c r="Y29" s="1">
        <v>10</v>
      </c>
      <c r="Z29" s="1">
        <v>42</v>
      </c>
      <c r="AA29" s="1">
        <v>12</v>
      </c>
      <c r="AB29" s="1">
        <v>7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16</v>
      </c>
      <c r="AU29" s="1">
        <v>13</v>
      </c>
      <c r="AV29" s="1">
        <v>0</v>
      </c>
      <c r="AW29" s="1">
        <v>0</v>
      </c>
      <c r="AX29" s="1">
        <v>0</v>
      </c>
      <c r="AY29" s="1">
        <v>6</v>
      </c>
      <c r="AZ29" s="1">
        <v>1</v>
      </c>
      <c r="BA29" s="1">
        <v>0</v>
      </c>
      <c r="BB29" s="1">
        <v>9</v>
      </c>
      <c r="BC29" s="1">
        <v>3</v>
      </c>
      <c r="BD29" s="1">
        <v>33</v>
      </c>
      <c r="BE29" s="1">
        <v>26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</row>
    <row r="30" spans="1:63" x14ac:dyDescent="0.2">
      <c r="A30" s="1">
        <v>48055</v>
      </c>
      <c r="B30" s="1" t="s">
        <v>119</v>
      </c>
      <c r="C30" s="1">
        <v>12</v>
      </c>
      <c r="D30" s="1">
        <v>677</v>
      </c>
      <c r="E30" s="1" t="s">
        <v>64</v>
      </c>
      <c r="F30" s="1">
        <v>690</v>
      </c>
      <c r="G30" s="1" t="s">
        <v>101</v>
      </c>
      <c r="H30" s="1">
        <v>54.916699999999999</v>
      </c>
      <c r="I30" s="1">
        <v>659.00040000000001</v>
      </c>
      <c r="L30" s="1">
        <v>6.12</v>
      </c>
      <c r="M30" s="1">
        <v>7.17</v>
      </c>
      <c r="O30" s="1">
        <v>2.04</v>
      </c>
      <c r="P30" s="1">
        <v>2.58</v>
      </c>
      <c r="R30" s="1">
        <v>5.33</v>
      </c>
      <c r="S30" s="1">
        <v>9.58</v>
      </c>
      <c r="U30" s="1">
        <v>0</v>
      </c>
      <c r="V30" s="2">
        <v>8896.51</v>
      </c>
      <c r="W30" s="2">
        <v>12740.67</v>
      </c>
      <c r="X30" s="1">
        <v>29</v>
      </c>
      <c r="Y30" s="1">
        <v>11</v>
      </c>
      <c r="Z30" s="1">
        <v>32</v>
      </c>
      <c r="AA30" s="1">
        <v>14</v>
      </c>
      <c r="AB30" s="1">
        <v>86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14</v>
      </c>
      <c r="AU30" s="1">
        <v>9</v>
      </c>
      <c r="AV30" s="1">
        <v>0</v>
      </c>
      <c r="AW30" s="1">
        <v>1</v>
      </c>
      <c r="AX30" s="1">
        <v>2</v>
      </c>
      <c r="AY30" s="1">
        <v>4</v>
      </c>
      <c r="AZ30" s="1">
        <v>0</v>
      </c>
      <c r="BA30" s="1">
        <v>31</v>
      </c>
      <c r="BB30" s="1">
        <v>30</v>
      </c>
      <c r="BC30" s="1">
        <v>15</v>
      </c>
      <c r="BD30" s="1">
        <v>15</v>
      </c>
      <c r="BE30" s="1">
        <v>23</v>
      </c>
      <c r="BF30" s="1">
        <v>115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</row>
    <row r="31" spans="1:63" x14ac:dyDescent="0.2">
      <c r="A31" s="1">
        <v>47014</v>
      </c>
      <c r="B31" s="1" t="s">
        <v>97</v>
      </c>
      <c r="C31" s="1">
        <v>24</v>
      </c>
      <c r="D31" s="1">
        <v>677</v>
      </c>
      <c r="E31" s="1" t="s">
        <v>64</v>
      </c>
      <c r="F31" s="1">
        <v>61</v>
      </c>
      <c r="G31" s="1" t="s">
        <v>66</v>
      </c>
      <c r="H31" s="1">
        <v>43.319099999999999</v>
      </c>
      <c r="I31" s="1">
        <v>1039.6584</v>
      </c>
      <c r="L31" s="1">
        <v>1.73</v>
      </c>
      <c r="M31" s="1">
        <v>0.79</v>
      </c>
      <c r="O31" s="1">
        <v>5.0999999999999996</v>
      </c>
      <c r="P31" s="1">
        <v>3.38</v>
      </c>
      <c r="R31" s="1">
        <v>1.1499999999999999</v>
      </c>
      <c r="S31" s="1">
        <v>0.88</v>
      </c>
      <c r="U31" s="1">
        <v>0</v>
      </c>
      <c r="V31" s="2">
        <v>8295.61</v>
      </c>
      <c r="W31" s="2">
        <v>5241.6099999999997</v>
      </c>
      <c r="X31" s="1">
        <v>14</v>
      </c>
      <c r="Y31" s="1">
        <v>4</v>
      </c>
      <c r="Z31" s="1">
        <v>8</v>
      </c>
      <c r="AA31" s="1">
        <v>35</v>
      </c>
      <c r="AB31" s="1">
        <v>19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18</v>
      </c>
      <c r="AS31" s="1">
        <v>18</v>
      </c>
      <c r="AT31" s="1">
        <v>74</v>
      </c>
      <c r="AU31" s="1">
        <v>29</v>
      </c>
      <c r="AV31" s="1">
        <v>20</v>
      </c>
      <c r="AW31" s="1">
        <v>0</v>
      </c>
      <c r="AX31" s="1">
        <v>3</v>
      </c>
      <c r="AY31" s="1">
        <v>4</v>
      </c>
      <c r="AZ31" s="1">
        <v>3</v>
      </c>
      <c r="BA31" s="1">
        <v>61</v>
      </c>
      <c r="BB31" s="1">
        <v>18</v>
      </c>
      <c r="BC31" s="1">
        <v>2</v>
      </c>
      <c r="BD31" s="1">
        <v>4</v>
      </c>
      <c r="BE31" s="1">
        <v>9</v>
      </c>
      <c r="BF31" s="1">
        <v>21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</row>
    <row r="32" spans="1:63" x14ac:dyDescent="0.2">
      <c r="A32" s="1">
        <v>48058</v>
      </c>
      <c r="B32" s="1" t="s">
        <v>116</v>
      </c>
      <c r="C32" s="1">
        <v>12</v>
      </c>
      <c r="D32" s="1">
        <v>677</v>
      </c>
      <c r="E32" s="1" t="s">
        <v>64</v>
      </c>
      <c r="F32" s="1">
        <v>690</v>
      </c>
      <c r="G32" s="1" t="s">
        <v>101</v>
      </c>
      <c r="H32" s="1">
        <v>54.916699999999999</v>
      </c>
      <c r="I32" s="1">
        <v>659.00040000000001</v>
      </c>
      <c r="L32" s="1">
        <v>7.54</v>
      </c>
      <c r="M32" s="1">
        <v>0.33</v>
      </c>
      <c r="O32" s="1">
        <v>1.96</v>
      </c>
      <c r="P32" s="1">
        <v>0.42</v>
      </c>
      <c r="R32" s="1">
        <v>2.67</v>
      </c>
      <c r="S32" s="1">
        <v>-0.17</v>
      </c>
      <c r="U32" s="1">
        <v>0</v>
      </c>
      <c r="V32" s="2">
        <v>8017.84</v>
      </c>
      <c r="W32" s="2">
        <v>384.42</v>
      </c>
      <c r="X32" s="1">
        <v>48</v>
      </c>
      <c r="Y32" s="1">
        <v>14</v>
      </c>
      <c r="Z32" s="1">
        <v>21</v>
      </c>
      <c r="AA32" s="1">
        <v>29</v>
      </c>
      <c r="AB32" s="1">
        <v>4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10</v>
      </c>
      <c r="AU32" s="1">
        <v>7</v>
      </c>
      <c r="AV32" s="1">
        <v>0</v>
      </c>
      <c r="AW32" s="1">
        <v>4</v>
      </c>
      <c r="AX32" s="1">
        <v>2</v>
      </c>
      <c r="AY32" s="1">
        <v>5</v>
      </c>
      <c r="AZ32" s="1">
        <v>0</v>
      </c>
      <c r="BA32" s="1">
        <v>5</v>
      </c>
      <c r="BB32" s="1">
        <v>0</v>
      </c>
      <c r="BC32" s="1">
        <v>0</v>
      </c>
      <c r="BD32" s="1">
        <v>22</v>
      </c>
      <c r="BE32" s="1">
        <v>20</v>
      </c>
      <c r="BF32" s="1">
        <v>-2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</row>
    <row r="33" spans="1:63" x14ac:dyDescent="0.2">
      <c r="A33" s="1">
        <v>47019</v>
      </c>
      <c r="B33" s="1" t="s">
        <v>123</v>
      </c>
      <c r="C33" s="1">
        <v>8</v>
      </c>
      <c r="D33" s="1">
        <v>677</v>
      </c>
      <c r="E33" s="1" t="s">
        <v>64</v>
      </c>
      <c r="F33" s="1">
        <v>61</v>
      </c>
      <c r="G33" s="1" t="s">
        <v>66</v>
      </c>
      <c r="H33" s="1">
        <v>152.41</v>
      </c>
      <c r="I33" s="1">
        <v>1219.28</v>
      </c>
      <c r="L33" s="1">
        <v>2.19</v>
      </c>
      <c r="M33" s="1">
        <v>3.12</v>
      </c>
      <c r="O33" s="1">
        <v>2.25</v>
      </c>
      <c r="P33" s="1">
        <v>1.38</v>
      </c>
      <c r="R33" s="1">
        <v>1.06</v>
      </c>
      <c r="S33" s="1">
        <v>0.62</v>
      </c>
      <c r="U33" s="1">
        <v>0</v>
      </c>
      <c r="V33" s="2">
        <v>6706.04</v>
      </c>
      <c r="W33" s="2">
        <v>6248.81</v>
      </c>
      <c r="X33" s="1">
        <v>0</v>
      </c>
      <c r="Y33" s="1">
        <v>0</v>
      </c>
      <c r="Z33" s="1">
        <v>11</v>
      </c>
      <c r="AA33" s="1">
        <v>13</v>
      </c>
      <c r="AB33" s="1">
        <v>25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3</v>
      </c>
      <c r="AS33" s="1">
        <v>0</v>
      </c>
      <c r="AT33" s="1">
        <v>5</v>
      </c>
      <c r="AU33" s="1">
        <v>9</v>
      </c>
      <c r="AV33" s="1">
        <v>6</v>
      </c>
      <c r="AW33" s="1">
        <v>0</v>
      </c>
      <c r="AX33" s="1">
        <v>4</v>
      </c>
      <c r="AY33" s="1">
        <v>2</v>
      </c>
      <c r="AZ33" s="1">
        <v>3</v>
      </c>
      <c r="BA33" s="1">
        <v>5</v>
      </c>
      <c r="BB33" s="1">
        <v>0</v>
      </c>
      <c r="BC33" s="1">
        <v>0</v>
      </c>
      <c r="BD33" s="1">
        <v>8</v>
      </c>
      <c r="BE33" s="1">
        <v>1</v>
      </c>
      <c r="BF33" s="1">
        <v>5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</row>
    <row r="34" spans="1:63" x14ac:dyDescent="0.2">
      <c r="A34" s="1">
        <v>47027</v>
      </c>
      <c r="B34" s="1" t="s">
        <v>95</v>
      </c>
      <c r="C34" s="1">
        <v>16</v>
      </c>
      <c r="D34" s="1">
        <v>677</v>
      </c>
      <c r="E34" s="1" t="s">
        <v>64</v>
      </c>
      <c r="F34" s="1">
        <v>999</v>
      </c>
      <c r="G34" s="1" t="s">
        <v>67</v>
      </c>
      <c r="H34" s="1">
        <v>56.59</v>
      </c>
      <c r="I34" s="1">
        <v>905.44</v>
      </c>
      <c r="L34" s="1">
        <v>1.19</v>
      </c>
      <c r="M34" s="1">
        <v>6.31</v>
      </c>
      <c r="O34" s="1">
        <v>2.91</v>
      </c>
      <c r="P34" s="1">
        <v>5.25</v>
      </c>
      <c r="R34" s="1">
        <v>2.25</v>
      </c>
      <c r="S34" s="1">
        <v>2.38</v>
      </c>
      <c r="U34" s="1">
        <v>0</v>
      </c>
      <c r="V34" s="2">
        <v>5743.88</v>
      </c>
      <c r="W34" s="2">
        <v>12619.57</v>
      </c>
      <c r="X34" s="1">
        <v>8</v>
      </c>
      <c r="Y34" s="1">
        <v>22</v>
      </c>
      <c r="Z34" s="1">
        <v>0</v>
      </c>
      <c r="AA34" s="1">
        <v>0</v>
      </c>
      <c r="AB34" s="1">
        <v>101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29</v>
      </c>
      <c r="AS34" s="1">
        <v>11</v>
      </c>
      <c r="AT34" s="1">
        <v>0</v>
      </c>
      <c r="AU34" s="1">
        <v>0</v>
      </c>
      <c r="AV34" s="1">
        <v>84</v>
      </c>
      <c r="AW34" s="1">
        <v>2</v>
      </c>
      <c r="AX34" s="1">
        <v>20</v>
      </c>
      <c r="AY34" s="1">
        <v>0</v>
      </c>
      <c r="AZ34" s="1">
        <v>0</v>
      </c>
      <c r="BA34" s="1">
        <v>0</v>
      </c>
      <c r="BB34" s="1">
        <v>22</v>
      </c>
      <c r="BC34" s="1">
        <v>28</v>
      </c>
      <c r="BD34" s="1">
        <v>0</v>
      </c>
      <c r="BE34" s="1">
        <v>0</v>
      </c>
      <c r="BF34" s="1">
        <v>38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</row>
    <row r="35" spans="1:63" x14ac:dyDescent="0.2">
      <c r="A35" s="1">
        <v>48049</v>
      </c>
      <c r="B35" s="1" t="s">
        <v>124</v>
      </c>
      <c r="C35" s="1">
        <v>12</v>
      </c>
      <c r="D35" s="1">
        <v>677</v>
      </c>
      <c r="E35" s="1" t="s">
        <v>64</v>
      </c>
      <c r="F35" s="1">
        <v>690</v>
      </c>
      <c r="G35" s="1" t="s">
        <v>101</v>
      </c>
      <c r="H35" s="1">
        <v>54.916699999999999</v>
      </c>
      <c r="I35" s="1">
        <v>659.00040000000001</v>
      </c>
      <c r="L35" s="1">
        <v>3.04</v>
      </c>
      <c r="M35" s="1">
        <v>0</v>
      </c>
      <c r="O35" s="1">
        <v>2.33</v>
      </c>
      <c r="P35" s="1">
        <v>0.83</v>
      </c>
      <c r="R35" s="1">
        <v>2.25</v>
      </c>
      <c r="S35" s="1">
        <v>0</v>
      </c>
      <c r="U35" s="1">
        <v>0</v>
      </c>
      <c r="V35" s="2">
        <v>5024.88</v>
      </c>
      <c r="W35" s="2">
        <v>549.16999999999996</v>
      </c>
      <c r="X35" s="1">
        <v>0</v>
      </c>
      <c r="Y35" s="1">
        <v>0</v>
      </c>
      <c r="Z35" s="1">
        <v>28</v>
      </c>
      <c r="AA35" s="1">
        <v>17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13</v>
      </c>
      <c r="AU35" s="1">
        <v>13</v>
      </c>
      <c r="AV35" s="1">
        <v>0</v>
      </c>
      <c r="AW35" s="1">
        <v>1</v>
      </c>
      <c r="AX35" s="1">
        <v>2</v>
      </c>
      <c r="AY35" s="1">
        <v>5</v>
      </c>
      <c r="AZ35" s="1">
        <v>3</v>
      </c>
      <c r="BA35" s="1">
        <v>10</v>
      </c>
      <c r="BB35" s="1">
        <v>0</v>
      </c>
      <c r="BC35" s="1">
        <v>0</v>
      </c>
      <c r="BD35" s="1">
        <v>23</v>
      </c>
      <c r="BE35" s="1">
        <v>8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</row>
    <row r="36" spans="1:63" x14ac:dyDescent="0.2">
      <c r="A36" s="1">
        <v>48080</v>
      </c>
      <c r="B36" s="1" t="s">
        <v>122</v>
      </c>
      <c r="C36" s="1">
        <v>12</v>
      </c>
      <c r="D36" s="1">
        <v>677</v>
      </c>
      <c r="E36" s="1" t="s">
        <v>64</v>
      </c>
      <c r="F36" s="1">
        <v>690</v>
      </c>
      <c r="G36" s="1" t="s">
        <v>101</v>
      </c>
      <c r="H36" s="1">
        <v>54.916699999999999</v>
      </c>
      <c r="I36" s="1">
        <v>659.00040000000001</v>
      </c>
      <c r="L36" s="1">
        <v>2.17</v>
      </c>
      <c r="M36" s="1">
        <v>0</v>
      </c>
      <c r="O36" s="1">
        <v>2.29</v>
      </c>
      <c r="P36" s="1">
        <v>0</v>
      </c>
      <c r="R36" s="1">
        <v>2.62</v>
      </c>
      <c r="S36" s="1">
        <v>0</v>
      </c>
      <c r="U36" s="1">
        <v>0</v>
      </c>
      <c r="V36" s="2">
        <v>4667.92</v>
      </c>
      <c r="W36" s="2">
        <v>0</v>
      </c>
      <c r="X36" s="1">
        <v>0</v>
      </c>
      <c r="Y36" s="1">
        <v>0</v>
      </c>
      <c r="Z36" s="1">
        <v>21</v>
      </c>
      <c r="AA36" s="1">
        <v>10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18</v>
      </c>
      <c r="AU36" s="1">
        <v>6</v>
      </c>
      <c r="AV36" s="1">
        <v>0</v>
      </c>
      <c r="AW36" s="1">
        <v>0</v>
      </c>
      <c r="AX36" s="1">
        <v>0</v>
      </c>
      <c r="AY36" s="1">
        <v>6</v>
      </c>
      <c r="AZ36" s="1">
        <v>1</v>
      </c>
      <c r="BA36" s="1">
        <v>0</v>
      </c>
      <c r="BB36" s="1">
        <v>0</v>
      </c>
      <c r="BC36" s="1">
        <v>0</v>
      </c>
      <c r="BD36" s="1">
        <v>21</v>
      </c>
      <c r="BE36" s="1">
        <v>21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</row>
    <row r="37" spans="1:63" x14ac:dyDescent="0.2">
      <c r="A37" s="1">
        <v>48056</v>
      </c>
      <c r="B37" s="1" t="s">
        <v>134</v>
      </c>
      <c r="C37" s="1">
        <v>12</v>
      </c>
      <c r="D37" s="1">
        <v>677</v>
      </c>
      <c r="E37" s="1" t="s">
        <v>64</v>
      </c>
      <c r="F37" s="1">
        <v>690</v>
      </c>
      <c r="G37" s="1" t="s">
        <v>101</v>
      </c>
      <c r="H37" s="1">
        <v>54.916699999999999</v>
      </c>
      <c r="I37" s="1">
        <v>659.00040000000001</v>
      </c>
      <c r="L37" s="1">
        <v>1.42</v>
      </c>
      <c r="M37" s="1">
        <v>0</v>
      </c>
      <c r="O37" s="1">
        <v>1.79</v>
      </c>
      <c r="P37" s="1">
        <v>0</v>
      </c>
      <c r="R37" s="1">
        <v>2.5</v>
      </c>
      <c r="S37" s="1">
        <v>0</v>
      </c>
      <c r="U37" s="1">
        <v>0</v>
      </c>
      <c r="V37" s="2">
        <v>3761.79</v>
      </c>
      <c r="W37" s="2">
        <v>0</v>
      </c>
      <c r="X37" s="1">
        <v>0</v>
      </c>
      <c r="Y37" s="1">
        <v>0</v>
      </c>
      <c r="Z37" s="1">
        <v>16</v>
      </c>
      <c r="AA37" s="1">
        <v>2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9</v>
      </c>
      <c r="AU37" s="1">
        <v>6</v>
      </c>
      <c r="AV37" s="1">
        <v>0</v>
      </c>
      <c r="AW37" s="1">
        <v>0</v>
      </c>
      <c r="AX37" s="1">
        <v>0</v>
      </c>
      <c r="AY37" s="1">
        <v>9</v>
      </c>
      <c r="AZ37" s="1">
        <v>1</v>
      </c>
      <c r="BA37" s="1">
        <v>0</v>
      </c>
      <c r="BB37" s="1">
        <v>0</v>
      </c>
      <c r="BC37" s="1">
        <v>0</v>
      </c>
      <c r="BD37" s="1">
        <v>24</v>
      </c>
      <c r="BE37" s="1">
        <v>12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</row>
    <row r="38" spans="1:63" x14ac:dyDescent="0.2">
      <c r="A38" s="1">
        <v>47026</v>
      </c>
      <c r="B38" s="1" t="s">
        <v>120</v>
      </c>
      <c r="C38" s="1">
        <v>12</v>
      </c>
      <c r="D38" s="1">
        <v>677</v>
      </c>
      <c r="E38" s="1" t="s">
        <v>64</v>
      </c>
      <c r="F38" s="1">
        <v>999</v>
      </c>
      <c r="G38" s="1" t="s">
        <v>67</v>
      </c>
      <c r="H38" s="1">
        <v>48.56</v>
      </c>
      <c r="I38" s="1">
        <v>582.72</v>
      </c>
      <c r="L38" s="1">
        <v>0</v>
      </c>
      <c r="M38" s="1">
        <v>0</v>
      </c>
      <c r="O38" s="1">
        <v>4.04</v>
      </c>
      <c r="P38" s="1">
        <v>2.17</v>
      </c>
      <c r="R38" s="1">
        <v>0.04</v>
      </c>
      <c r="S38" s="1">
        <v>0</v>
      </c>
      <c r="U38" s="1">
        <v>0</v>
      </c>
      <c r="V38" s="2">
        <v>2379.44</v>
      </c>
      <c r="W38" s="2">
        <v>1262.56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18</v>
      </c>
      <c r="AS38" s="1">
        <v>42</v>
      </c>
      <c r="AT38" s="1">
        <v>0</v>
      </c>
      <c r="AU38" s="1">
        <v>0</v>
      </c>
      <c r="AV38" s="1">
        <v>0</v>
      </c>
      <c r="AW38" s="1">
        <v>6</v>
      </c>
      <c r="AX38" s="1">
        <v>7</v>
      </c>
      <c r="AY38" s="1">
        <v>0</v>
      </c>
      <c r="AZ38" s="1">
        <v>0</v>
      </c>
      <c r="BA38" s="1">
        <v>26</v>
      </c>
      <c r="BB38" s="1">
        <v>0</v>
      </c>
      <c r="BC38" s="1">
        <v>1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</row>
    <row r="39" spans="1:63" x14ac:dyDescent="0.2">
      <c r="A39" s="1">
        <v>48066</v>
      </c>
      <c r="B39" s="1" t="s">
        <v>129</v>
      </c>
      <c r="C39" s="1">
        <v>12</v>
      </c>
      <c r="D39" s="1">
        <v>677</v>
      </c>
      <c r="E39" s="1" t="s">
        <v>64</v>
      </c>
      <c r="F39" s="1">
        <v>690</v>
      </c>
      <c r="G39" s="1" t="s">
        <v>101</v>
      </c>
      <c r="H39" s="1">
        <v>54.916699999999999</v>
      </c>
      <c r="I39" s="1">
        <v>659.00040000000001</v>
      </c>
      <c r="L39" s="1">
        <v>1.29</v>
      </c>
      <c r="M39" s="1">
        <v>0</v>
      </c>
      <c r="O39" s="1">
        <v>1.54</v>
      </c>
      <c r="P39" s="1">
        <v>1.92</v>
      </c>
      <c r="R39" s="1">
        <v>0.67</v>
      </c>
      <c r="S39" s="1">
        <v>0</v>
      </c>
      <c r="U39" s="1">
        <v>0</v>
      </c>
      <c r="V39" s="2">
        <v>2306.5</v>
      </c>
      <c r="W39" s="2">
        <v>1263.08</v>
      </c>
      <c r="X39" s="1">
        <v>0</v>
      </c>
      <c r="Y39" s="1">
        <v>0</v>
      </c>
      <c r="Z39" s="1">
        <v>10</v>
      </c>
      <c r="AA39" s="1">
        <v>11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5</v>
      </c>
      <c r="AS39" s="1">
        <v>4</v>
      </c>
      <c r="AT39" s="1">
        <v>6</v>
      </c>
      <c r="AU39" s="1">
        <v>7</v>
      </c>
      <c r="AV39" s="1">
        <v>17</v>
      </c>
      <c r="AW39" s="1">
        <v>0</v>
      </c>
      <c r="AX39" s="1">
        <v>0</v>
      </c>
      <c r="AY39" s="1">
        <v>2</v>
      </c>
      <c r="AZ39" s="1">
        <v>0</v>
      </c>
      <c r="BA39" s="1">
        <v>6</v>
      </c>
      <c r="BB39" s="1">
        <v>0</v>
      </c>
      <c r="BC39" s="1">
        <v>0</v>
      </c>
      <c r="BD39" s="1">
        <v>3</v>
      </c>
      <c r="BE39" s="1">
        <v>10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</row>
    <row r="40" spans="1:63" x14ac:dyDescent="0.2">
      <c r="A40" s="1">
        <v>47210</v>
      </c>
      <c r="B40" s="1" t="s">
        <v>127</v>
      </c>
      <c r="C40" s="1">
        <v>12</v>
      </c>
      <c r="D40" s="1">
        <v>677</v>
      </c>
      <c r="E40" s="1" t="s">
        <v>64</v>
      </c>
      <c r="F40" s="1">
        <v>61</v>
      </c>
      <c r="G40" s="1" t="s">
        <v>66</v>
      </c>
      <c r="H40" s="1">
        <v>48.1554</v>
      </c>
      <c r="I40" s="1">
        <v>577.86479999999995</v>
      </c>
      <c r="L40" s="1">
        <v>0.54</v>
      </c>
      <c r="M40" s="1">
        <v>0</v>
      </c>
      <c r="O40" s="1">
        <v>1.96</v>
      </c>
      <c r="P40" s="1">
        <v>0</v>
      </c>
      <c r="R40" s="1">
        <v>0.08</v>
      </c>
      <c r="S40" s="1">
        <v>0.25</v>
      </c>
      <c r="U40" s="1">
        <v>0</v>
      </c>
      <c r="V40" s="2">
        <v>1492.82</v>
      </c>
      <c r="W40" s="2">
        <v>144.47</v>
      </c>
      <c r="X40" s="1">
        <v>0</v>
      </c>
      <c r="Y40" s="1">
        <v>0</v>
      </c>
      <c r="Z40" s="1">
        <v>6</v>
      </c>
      <c r="AA40" s="1">
        <v>1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8</v>
      </c>
      <c r="AS40" s="1">
        <v>7</v>
      </c>
      <c r="AT40" s="1">
        <v>1</v>
      </c>
      <c r="AU40" s="1">
        <v>11</v>
      </c>
      <c r="AV40" s="1">
        <v>0</v>
      </c>
      <c r="AW40" s="1">
        <v>0</v>
      </c>
      <c r="AX40" s="1">
        <v>0</v>
      </c>
      <c r="AY40" s="1">
        <v>2</v>
      </c>
      <c r="AZ40" s="1">
        <v>7</v>
      </c>
      <c r="BA40" s="1">
        <v>0</v>
      </c>
      <c r="BB40" s="1">
        <v>1</v>
      </c>
      <c r="BC40" s="1">
        <v>0</v>
      </c>
      <c r="BD40" s="1">
        <v>0</v>
      </c>
      <c r="BE40" s="1">
        <v>0</v>
      </c>
      <c r="BF40" s="1">
        <v>3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</row>
    <row r="41" spans="1:63" x14ac:dyDescent="0.2">
      <c r="A41" s="1">
        <v>560</v>
      </c>
      <c r="B41" s="1" t="s">
        <v>133</v>
      </c>
      <c r="C41" s="1">
        <v>96</v>
      </c>
      <c r="D41" s="1">
        <v>677</v>
      </c>
      <c r="E41" s="1" t="s">
        <v>64</v>
      </c>
      <c r="F41" s="1">
        <v>690</v>
      </c>
      <c r="G41" s="1" t="s">
        <v>101</v>
      </c>
      <c r="H41" s="1">
        <v>6.8646000000000003</v>
      </c>
      <c r="I41" s="1">
        <v>659.00160000000005</v>
      </c>
      <c r="L41" s="1">
        <v>1.1200000000000001</v>
      </c>
      <c r="M41" s="1">
        <v>-0.76</v>
      </c>
      <c r="O41" s="1">
        <v>0.2</v>
      </c>
      <c r="P41" s="1">
        <v>0.09</v>
      </c>
      <c r="R41" s="1">
        <v>0</v>
      </c>
      <c r="S41" s="1">
        <v>0</v>
      </c>
      <c r="U41" s="1">
        <v>0</v>
      </c>
      <c r="V41" s="2">
        <v>868.37</v>
      </c>
      <c r="W41" s="2">
        <v>-439.33</v>
      </c>
      <c r="X41" s="1">
        <v>22</v>
      </c>
      <c r="Y41" s="1">
        <v>16</v>
      </c>
      <c r="Z41" s="1">
        <v>64</v>
      </c>
      <c r="AA41" s="1">
        <v>27</v>
      </c>
      <c r="AB41" s="1">
        <v>-73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6</v>
      </c>
      <c r="AX41" s="1">
        <v>3</v>
      </c>
      <c r="AY41" s="1">
        <v>10</v>
      </c>
      <c r="AZ41" s="1">
        <v>3</v>
      </c>
      <c r="BA41" s="1">
        <v>9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</row>
    <row r="42" spans="1:63" x14ac:dyDescent="0.2">
      <c r="A42" s="1">
        <v>564</v>
      </c>
      <c r="B42" s="1" t="s">
        <v>136</v>
      </c>
      <c r="C42" s="1">
        <v>96</v>
      </c>
      <c r="D42" s="1">
        <v>677</v>
      </c>
      <c r="E42" s="1" t="s">
        <v>64</v>
      </c>
      <c r="F42" s="1">
        <v>690</v>
      </c>
      <c r="G42" s="1" t="s">
        <v>101</v>
      </c>
      <c r="H42" s="1">
        <v>6.8646000000000003</v>
      </c>
      <c r="I42" s="1">
        <v>659.00160000000005</v>
      </c>
      <c r="L42" s="1">
        <v>0.96</v>
      </c>
      <c r="M42" s="1">
        <v>-0.61</v>
      </c>
      <c r="O42" s="1">
        <v>0.11</v>
      </c>
      <c r="P42" s="1">
        <v>0.11</v>
      </c>
      <c r="R42" s="1">
        <v>0.01</v>
      </c>
      <c r="S42" s="1">
        <v>0.11</v>
      </c>
      <c r="U42" s="1">
        <v>0</v>
      </c>
      <c r="V42" s="2">
        <v>717.35</v>
      </c>
      <c r="W42" s="2">
        <v>-253.99</v>
      </c>
      <c r="X42" s="1">
        <v>30</v>
      </c>
      <c r="Y42" s="1">
        <v>25</v>
      </c>
      <c r="Z42" s="1">
        <v>38</v>
      </c>
      <c r="AA42" s="1">
        <v>24</v>
      </c>
      <c r="AB42" s="1">
        <v>-59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1</v>
      </c>
      <c r="AX42" s="1">
        <v>4</v>
      </c>
      <c r="AY42" s="1">
        <v>7</v>
      </c>
      <c r="AZ42" s="1">
        <v>2</v>
      </c>
      <c r="BA42" s="1">
        <v>11</v>
      </c>
      <c r="BB42" s="1">
        <v>1</v>
      </c>
      <c r="BC42" s="1">
        <v>0</v>
      </c>
      <c r="BD42" s="1">
        <v>0</v>
      </c>
      <c r="BE42" s="1">
        <v>0</v>
      </c>
      <c r="BF42" s="1">
        <v>11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</row>
    <row r="43" spans="1:63" x14ac:dyDescent="0.2">
      <c r="A43" s="1">
        <v>561</v>
      </c>
      <c r="B43" s="1" t="s">
        <v>132</v>
      </c>
      <c r="C43" s="1">
        <v>96</v>
      </c>
      <c r="D43" s="1">
        <v>677</v>
      </c>
      <c r="E43" s="1" t="s">
        <v>64</v>
      </c>
      <c r="F43" s="1">
        <v>690</v>
      </c>
      <c r="G43" s="1" t="s">
        <v>101</v>
      </c>
      <c r="H43" s="1">
        <v>6.8646000000000003</v>
      </c>
      <c r="I43" s="1">
        <v>659.00160000000005</v>
      </c>
      <c r="L43" s="1">
        <v>0.91</v>
      </c>
      <c r="M43" s="1">
        <v>-0.76</v>
      </c>
      <c r="O43" s="1">
        <v>0.1</v>
      </c>
      <c r="P43" s="1">
        <v>0.03</v>
      </c>
      <c r="R43" s="1">
        <v>0.01</v>
      </c>
      <c r="S43" s="1">
        <v>0.1</v>
      </c>
      <c r="U43" s="1">
        <v>0</v>
      </c>
      <c r="V43" s="2">
        <v>669.3</v>
      </c>
      <c r="W43" s="2">
        <v>-411.88</v>
      </c>
      <c r="X43" s="1">
        <v>39</v>
      </c>
      <c r="Y43" s="1">
        <v>14</v>
      </c>
      <c r="Z43" s="1">
        <v>33</v>
      </c>
      <c r="AA43" s="1">
        <v>16</v>
      </c>
      <c r="AB43" s="1">
        <v>-73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3</v>
      </c>
      <c r="AX43" s="1">
        <v>2</v>
      </c>
      <c r="AY43" s="1">
        <v>5</v>
      </c>
      <c r="AZ43" s="1">
        <v>1</v>
      </c>
      <c r="BA43" s="1">
        <v>3</v>
      </c>
      <c r="BB43" s="1">
        <v>0</v>
      </c>
      <c r="BC43" s="1">
        <v>2</v>
      </c>
      <c r="BD43" s="1">
        <v>0</v>
      </c>
      <c r="BE43" s="1">
        <v>0</v>
      </c>
      <c r="BF43" s="1">
        <v>10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</row>
    <row r="44" spans="1:63" x14ac:dyDescent="0.2">
      <c r="A44" s="1">
        <v>562</v>
      </c>
      <c r="B44" s="1" t="s">
        <v>131</v>
      </c>
      <c r="C44" s="1">
        <v>96</v>
      </c>
      <c r="D44" s="1">
        <v>677</v>
      </c>
      <c r="E44" s="1" t="s">
        <v>64</v>
      </c>
      <c r="F44" s="1">
        <v>690</v>
      </c>
      <c r="G44" s="1" t="s">
        <v>101</v>
      </c>
      <c r="H44" s="1">
        <v>6.8646000000000003</v>
      </c>
      <c r="I44" s="1">
        <v>659.00160000000005</v>
      </c>
      <c r="L44" s="1">
        <v>0.77</v>
      </c>
      <c r="M44" s="1">
        <v>-0.5</v>
      </c>
      <c r="O44" s="1">
        <v>0.06</v>
      </c>
      <c r="P44" s="1">
        <v>0.25</v>
      </c>
      <c r="R44" s="1">
        <v>0.02</v>
      </c>
      <c r="S44" s="1">
        <v>-0.03</v>
      </c>
      <c r="U44" s="1">
        <v>0</v>
      </c>
      <c r="V44" s="2">
        <v>556.03</v>
      </c>
      <c r="W44" s="2">
        <v>-185.34</v>
      </c>
      <c r="X44" s="1">
        <v>20</v>
      </c>
      <c r="Y44" s="1">
        <v>29</v>
      </c>
      <c r="Z44" s="1">
        <v>26</v>
      </c>
      <c r="AA44" s="1">
        <v>26</v>
      </c>
      <c r="AB44" s="1">
        <v>-48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2</v>
      </c>
      <c r="AX44" s="1">
        <v>3</v>
      </c>
      <c r="AY44" s="1">
        <v>1</v>
      </c>
      <c r="AZ44" s="1">
        <v>3</v>
      </c>
      <c r="BA44" s="1">
        <v>24</v>
      </c>
      <c r="BB44" s="1">
        <v>0</v>
      </c>
      <c r="BC44" s="1">
        <v>3</v>
      </c>
      <c r="BD44" s="1">
        <v>0</v>
      </c>
      <c r="BE44" s="1">
        <v>0</v>
      </c>
      <c r="BF44" s="1">
        <v>-3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</row>
    <row r="45" spans="1:63" x14ac:dyDescent="0.2">
      <c r="A45" s="1">
        <v>567</v>
      </c>
      <c r="B45" s="1" t="s">
        <v>135</v>
      </c>
      <c r="C45" s="1">
        <v>96</v>
      </c>
      <c r="D45" s="1">
        <v>677</v>
      </c>
      <c r="E45" s="1" t="s">
        <v>64</v>
      </c>
      <c r="F45" s="1">
        <v>690</v>
      </c>
      <c r="G45" s="1" t="s">
        <v>101</v>
      </c>
      <c r="H45" s="1">
        <v>6.8646000000000003</v>
      </c>
      <c r="I45" s="1">
        <v>659.00160000000005</v>
      </c>
      <c r="L45" s="1">
        <v>0.69</v>
      </c>
      <c r="M45" s="1">
        <v>-0.32</v>
      </c>
      <c r="O45" s="1">
        <v>0.15</v>
      </c>
      <c r="P45" s="1">
        <v>0.08</v>
      </c>
      <c r="R45" s="1">
        <v>0</v>
      </c>
      <c r="S45" s="1">
        <v>0.01</v>
      </c>
      <c r="U45" s="1">
        <v>0</v>
      </c>
      <c r="V45" s="2">
        <v>552.6</v>
      </c>
      <c r="W45" s="2">
        <v>-151.02000000000001</v>
      </c>
      <c r="X45" s="1">
        <v>16</v>
      </c>
      <c r="Y45" s="1">
        <v>15</v>
      </c>
      <c r="Z45" s="1">
        <v>28</v>
      </c>
      <c r="AA45" s="1">
        <v>29</v>
      </c>
      <c r="AB45" s="1">
        <v>-31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5</v>
      </c>
      <c r="AX45" s="1">
        <v>2</v>
      </c>
      <c r="AY45" s="1">
        <v>6</v>
      </c>
      <c r="AZ45" s="1">
        <v>5</v>
      </c>
      <c r="BA45" s="1">
        <v>8</v>
      </c>
      <c r="BB45" s="1">
        <v>0</v>
      </c>
      <c r="BC45" s="1">
        <v>0</v>
      </c>
      <c r="BD45" s="1">
        <v>0</v>
      </c>
      <c r="BE45" s="1">
        <v>0</v>
      </c>
      <c r="BF45" s="1">
        <v>1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</row>
    <row r="46" spans="1:63" x14ac:dyDescent="0.2">
      <c r="A46" s="1">
        <v>47036</v>
      </c>
      <c r="B46" s="1" t="s">
        <v>117</v>
      </c>
      <c r="C46" s="1">
        <v>24</v>
      </c>
      <c r="D46" s="1">
        <v>677</v>
      </c>
      <c r="E46" s="1" t="s">
        <v>64</v>
      </c>
      <c r="F46" s="1">
        <v>61</v>
      </c>
      <c r="G46" s="1" t="s">
        <v>66</v>
      </c>
      <c r="H46" s="1">
        <v>38.6661</v>
      </c>
      <c r="I46" s="1">
        <v>927.9864</v>
      </c>
      <c r="L46" s="1">
        <v>0.48</v>
      </c>
      <c r="M46" s="1">
        <v>0</v>
      </c>
      <c r="O46" s="1">
        <v>0</v>
      </c>
      <c r="P46" s="1">
        <v>0</v>
      </c>
      <c r="R46" s="1">
        <v>0</v>
      </c>
      <c r="S46" s="1">
        <v>0</v>
      </c>
      <c r="U46" s="1">
        <v>0</v>
      </c>
      <c r="V46" s="2">
        <v>444.66</v>
      </c>
      <c r="W46" s="2">
        <v>0</v>
      </c>
      <c r="X46" s="1">
        <v>0</v>
      </c>
      <c r="Y46" s="1">
        <v>0</v>
      </c>
      <c r="Z46" s="1">
        <v>2</v>
      </c>
      <c r="AA46" s="1">
        <v>19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</row>
    <row r="47" spans="1:63" x14ac:dyDescent="0.2">
      <c r="A47" s="1">
        <v>565</v>
      </c>
      <c r="B47" s="1" t="s">
        <v>137</v>
      </c>
      <c r="C47" s="1">
        <v>96</v>
      </c>
      <c r="D47" s="1">
        <v>677</v>
      </c>
      <c r="E47" s="1" t="s">
        <v>64</v>
      </c>
      <c r="F47" s="1">
        <v>690</v>
      </c>
      <c r="G47" s="1" t="s">
        <v>101</v>
      </c>
      <c r="H47" s="1">
        <v>6.8646000000000003</v>
      </c>
      <c r="I47" s="1">
        <v>659.00160000000005</v>
      </c>
      <c r="L47" s="1">
        <v>0.64</v>
      </c>
      <c r="M47" s="1">
        <v>-0.56000000000000005</v>
      </c>
      <c r="O47" s="1">
        <v>0</v>
      </c>
      <c r="P47" s="1">
        <v>0</v>
      </c>
      <c r="R47" s="1">
        <v>0.01</v>
      </c>
      <c r="S47" s="1">
        <v>0.05</v>
      </c>
      <c r="U47" s="1">
        <v>0</v>
      </c>
      <c r="V47" s="2">
        <v>429.04</v>
      </c>
      <c r="W47" s="2">
        <v>-336.37</v>
      </c>
      <c r="X47" s="1">
        <v>36</v>
      </c>
      <c r="Y47" s="1">
        <v>8</v>
      </c>
      <c r="Z47" s="1">
        <v>12</v>
      </c>
      <c r="AA47" s="1">
        <v>19</v>
      </c>
      <c r="AB47" s="1">
        <v>-54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1</v>
      </c>
      <c r="BC47" s="1">
        <v>0</v>
      </c>
      <c r="BD47" s="1">
        <v>0</v>
      </c>
      <c r="BE47" s="1">
        <v>0</v>
      </c>
      <c r="BF47" s="1">
        <v>5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</row>
    <row r="48" spans="1:63" x14ac:dyDescent="0.2">
      <c r="A48" s="1">
        <v>504</v>
      </c>
      <c r="B48" s="1" t="s">
        <v>138</v>
      </c>
      <c r="C48" s="1">
        <v>96</v>
      </c>
      <c r="D48" s="1">
        <v>677</v>
      </c>
      <c r="E48" s="1" t="s">
        <v>64</v>
      </c>
      <c r="F48" s="1">
        <v>690</v>
      </c>
      <c r="G48" s="1" t="s">
        <v>101</v>
      </c>
      <c r="H48" s="1">
        <v>6.8646000000000003</v>
      </c>
      <c r="I48" s="1">
        <v>659.00160000000005</v>
      </c>
      <c r="L48" s="1">
        <v>0.5</v>
      </c>
      <c r="M48" s="1">
        <v>-0.43</v>
      </c>
      <c r="O48" s="1">
        <v>7.0000000000000007E-2</v>
      </c>
      <c r="P48" s="1">
        <v>0</v>
      </c>
      <c r="R48" s="1">
        <v>0</v>
      </c>
      <c r="S48" s="1">
        <v>0</v>
      </c>
      <c r="U48" s="1">
        <v>0</v>
      </c>
      <c r="V48" s="2">
        <v>377.55</v>
      </c>
      <c r="W48" s="2">
        <v>-281.45</v>
      </c>
      <c r="X48" s="1">
        <v>16</v>
      </c>
      <c r="Y48" s="1">
        <v>28</v>
      </c>
      <c r="Z48" s="1">
        <v>8</v>
      </c>
      <c r="AA48" s="1">
        <v>20</v>
      </c>
      <c r="AB48" s="1">
        <v>-41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1</v>
      </c>
      <c r="AX48" s="1">
        <v>1</v>
      </c>
      <c r="AY48" s="1">
        <v>4</v>
      </c>
      <c r="AZ48" s="1">
        <v>3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</row>
    <row r="49" spans="1:63" x14ac:dyDescent="0.2">
      <c r="A49" s="1">
        <v>566</v>
      </c>
      <c r="B49" s="1" t="s">
        <v>140</v>
      </c>
      <c r="C49" s="1">
        <v>96</v>
      </c>
      <c r="D49" s="1">
        <v>677</v>
      </c>
      <c r="E49" s="1" t="s">
        <v>64</v>
      </c>
      <c r="F49" s="1">
        <v>690</v>
      </c>
      <c r="G49" s="1" t="s">
        <v>101</v>
      </c>
      <c r="H49" s="1">
        <v>6.8646000000000003</v>
      </c>
      <c r="I49" s="1">
        <v>659.00160000000005</v>
      </c>
      <c r="L49" s="1">
        <v>0.53</v>
      </c>
      <c r="M49" s="1">
        <v>-0.35</v>
      </c>
      <c r="O49" s="1">
        <v>0</v>
      </c>
      <c r="P49" s="1">
        <v>0</v>
      </c>
      <c r="R49" s="1">
        <v>0</v>
      </c>
      <c r="S49" s="1">
        <v>0</v>
      </c>
      <c r="U49" s="1">
        <v>0</v>
      </c>
      <c r="V49" s="2">
        <v>346.66</v>
      </c>
      <c r="W49" s="2">
        <v>-233.4</v>
      </c>
      <c r="X49" s="1">
        <v>23</v>
      </c>
      <c r="Y49" s="1">
        <v>6</v>
      </c>
      <c r="Z49" s="1">
        <v>13</v>
      </c>
      <c r="AA49" s="1">
        <v>23</v>
      </c>
      <c r="AB49" s="1">
        <v>-34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</row>
    <row r="50" spans="1:63" x14ac:dyDescent="0.2">
      <c r="A50" s="1">
        <v>501</v>
      </c>
      <c r="B50" s="1" t="s">
        <v>145</v>
      </c>
      <c r="C50" s="1">
        <v>96</v>
      </c>
      <c r="D50" s="1">
        <v>677</v>
      </c>
      <c r="E50" s="1" t="s">
        <v>64</v>
      </c>
      <c r="F50" s="1">
        <v>690</v>
      </c>
      <c r="G50" s="1" t="s">
        <v>101</v>
      </c>
      <c r="H50" s="1">
        <v>6.8646000000000003</v>
      </c>
      <c r="I50" s="1">
        <v>659.00160000000005</v>
      </c>
      <c r="L50" s="1">
        <v>0.41</v>
      </c>
      <c r="M50" s="1">
        <v>-0.56999999999999995</v>
      </c>
      <c r="O50" s="1">
        <v>0.05</v>
      </c>
      <c r="P50" s="1">
        <v>0.01</v>
      </c>
      <c r="R50" s="1">
        <v>0</v>
      </c>
      <c r="S50" s="1">
        <v>0</v>
      </c>
      <c r="U50" s="1">
        <v>0</v>
      </c>
      <c r="V50" s="2">
        <v>305.47000000000003</v>
      </c>
      <c r="W50" s="2">
        <v>-370.69</v>
      </c>
      <c r="X50" s="1">
        <v>19</v>
      </c>
      <c r="Y50" s="1">
        <v>23</v>
      </c>
      <c r="Z50" s="1">
        <v>5</v>
      </c>
      <c r="AA50" s="1">
        <v>8</v>
      </c>
      <c r="AB50" s="1">
        <v>-55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4</v>
      </c>
      <c r="AZ50" s="1">
        <v>2</v>
      </c>
      <c r="BA50" s="1">
        <v>1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</row>
    <row r="51" spans="1:63" x14ac:dyDescent="0.2">
      <c r="A51" s="1">
        <v>506</v>
      </c>
      <c r="B51" s="1" t="s">
        <v>139</v>
      </c>
      <c r="C51" s="1">
        <v>96</v>
      </c>
      <c r="D51" s="1">
        <v>677</v>
      </c>
      <c r="E51" s="1" t="s">
        <v>64</v>
      </c>
      <c r="F51" s="1">
        <v>690</v>
      </c>
      <c r="G51" s="1" t="s">
        <v>101</v>
      </c>
      <c r="H51" s="1">
        <v>6.8646000000000003</v>
      </c>
      <c r="I51" s="1">
        <v>659.00160000000005</v>
      </c>
      <c r="L51" s="1">
        <v>0.31</v>
      </c>
      <c r="M51" s="1">
        <v>-0.27</v>
      </c>
      <c r="O51" s="1">
        <v>0.03</v>
      </c>
      <c r="P51" s="1">
        <v>0.01</v>
      </c>
      <c r="R51" s="1">
        <v>0</v>
      </c>
      <c r="S51" s="1">
        <v>0</v>
      </c>
      <c r="U51" s="1">
        <v>0</v>
      </c>
      <c r="V51" s="2">
        <v>223.1</v>
      </c>
      <c r="W51" s="2">
        <v>-171.62</v>
      </c>
      <c r="X51" s="1">
        <v>9</v>
      </c>
      <c r="Y51" s="1">
        <v>10</v>
      </c>
      <c r="Z51" s="1">
        <v>6</v>
      </c>
      <c r="AA51" s="1">
        <v>19</v>
      </c>
      <c r="AB51" s="1">
        <v>-26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1</v>
      </c>
      <c r="AX51" s="1">
        <v>1</v>
      </c>
      <c r="AY51" s="1">
        <v>1</v>
      </c>
      <c r="AZ51" s="1">
        <v>1</v>
      </c>
      <c r="BA51" s="1">
        <v>1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</row>
    <row r="52" spans="1:63" x14ac:dyDescent="0.2">
      <c r="A52" s="1">
        <v>509</v>
      </c>
      <c r="B52" s="1" t="s">
        <v>141</v>
      </c>
      <c r="C52" s="1">
        <v>96</v>
      </c>
      <c r="D52" s="1">
        <v>677</v>
      </c>
      <c r="E52" s="1" t="s">
        <v>64</v>
      </c>
      <c r="F52" s="1">
        <v>690</v>
      </c>
      <c r="G52" s="1" t="s">
        <v>101</v>
      </c>
      <c r="H52" s="1">
        <v>6.8646000000000003</v>
      </c>
      <c r="I52" s="1">
        <v>659.00160000000005</v>
      </c>
      <c r="L52" s="1">
        <v>0.25</v>
      </c>
      <c r="M52" s="1">
        <v>0</v>
      </c>
      <c r="O52" s="1">
        <v>0.05</v>
      </c>
      <c r="P52" s="1">
        <v>0.03</v>
      </c>
      <c r="R52" s="1">
        <v>0</v>
      </c>
      <c r="S52" s="1">
        <v>0</v>
      </c>
      <c r="U52" s="1">
        <v>0</v>
      </c>
      <c r="V52" s="2">
        <v>195.64</v>
      </c>
      <c r="W52" s="2">
        <v>20.59</v>
      </c>
      <c r="X52" s="1">
        <v>0</v>
      </c>
      <c r="Y52" s="1">
        <v>0</v>
      </c>
      <c r="Z52" s="1">
        <v>20</v>
      </c>
      <c r="AA52" s="1">
        <v>8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1</v>
      </c>
      <c r="AX52" s="1">
        <v>2</v>
      </c>
      <c r="AY52" s="1">
        <v>2</v>
      </c>
      <c r="AZ52" s="1">
        <v>1</v>
      </c>
      <c r="BA52" s="1">
        <v>3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</row>
    <row r="53" spans="1:63" x14ac:dyDescent="0.2">
      <c r="A53" s="1">
        <v>519</v>
      </c>
      <c r="B53" s="1" t="s">
        <v>143</v>
      </c>
      <c r="C53" s="1">
        <v>96</v>
      </c>
      <c r="D53" s="1">
        <v>677</v>
      </c>
      <c r="E53" s="1" t="s">
        <v>64</v>
      </c>
      <c r="F53" s="1">
        <v>690</v>
      </c>
      <c r="G53" s="1" t="s">
        <v>101</v>
      </c>
      <c r="H53" s="1">
        <v>6.8646000000000003</v>
      </c>
      <c r="I53" s="1">
        <v>659.00160000000005</v>
      </c>
      <c r="L53" s="1">
        <v>0.2</v>
      </c>
      <c r="M53" s="1">
        <v>-0.24</v>
      </c>
      <c r="O53" s="1">
        <v>0.06</v>
      </c>
      <c r="P53" s="1">
        <v>7.0000000000000007E-2</v>
      </c>
      <c r="R53" s="1">
        <v>0</v>
      </c>
      <c r="S53" s="1">
        <v>0</v>
      </c>
      <c r="U53" s="1">
        <v>0</v>
      </c>
      <c r="V53" s="2">
        <v>171.62</v>
      </c>
      <c r="W53" s="2">
        <v>-109.83</v>
      </c>
      <c r="X53" s="1">
        <v>3</v>
      </c>
      <c r="Y53" s="1">
        <v>8</v>
      </c>
      <c r="Z53" s="1">
        <v>10</v>
      </c>
      <c r="AA53" s="1">
        <v>4</v>
      </c>
      <c r="AB53" s="1">
        <v>-23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4</v>
      </c>
      <c r="AX53" s="1">
        <v>2</v>
      </c>
      <c r="AY53" s="1">
        <v>0</v>
      </c>
      <c r="AZ53" s="1">
        <v>2</v>
      </c>
      <c r="BA53" s="1">
        <v>7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</row>
    <row r="54" spans="1:63" x14ac:dyDescent="0.2">
      <c r="A54" s="1">
        <v>526</v>
      </c>
      <c r="B54" s="1" t="s">
        <v>144</v>
      </c>
      <c r="C54" s="1">
        <v>96</v>
      </c>
      <c r="D54" s="1">
        <v>677</v>
      </c>
      <c r="E54" s="1" t="s">
        <v>64</v>
      </c>
      <c r="F54" s="1">
        <v>690</v>
      </c>
      <c r="G54" s="1" t="s">
        <v>101</v>
      </c>
      <c r="H54" s="1">
        <v>6.8646000000000003</v>
      </c>
      <c r="I54" s="1">
        <v>659.00160000000005</v>
      </c>
      <c r="L54" s="1">
        <v>0.21</v>
      </c>
      <c r="M54" s="1">
        <v>0</v>
      </c>
      <c r="O54" s="1">
        <v>0.01</v>
      </c>
      <c r="P54" s="1">
        <v>0.01</v>
      </c>
      <c r="R54" s="1">
        <v>0</v>
      </c>
      <c r="S54" s="1">
        <v>0</v>
      </c>
      <c r="U54" s="1">
        <v>0</v>
      </c>
      <c r="V54" s="2">
        <v>147.59</v>
      </c>
      <c r="W54" s="2">
        <v>6.86</v>
      </c>
      <c r="X54" s="1">
        <v>0</v>
      </c>
      <c r="Y54" s="1">
        <v>0</v>
      </c>
      <c r="Z54" s="1">
        <v>13</v>
      </c>
      <c r="AA54" s="1">
        <v>15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1</v>
      </c>
      <c r="AY54" s="1">
        <v>0</v>
      </c>
      <c r="AZ54" s="1">
        <v>1</v>
      </c>
      <c r="BA54" s="1">
        <v>1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</row>
    <row r="55" spans="1:63" x14ac:dyDescent="0.2">
      <c r="A55" s="1">
        <v>510</v>
      </c>
      <c r="B55" s="1" t="s">
        <v>146</v>
      </c>
      <c r="C55" s="1">
        <v>96</v>
      </c>
      <c r="D55" s="1">
        <v>677</v>
      </c>
      <c r="E55" s="1" t="s">
        <v>64</v>
      </c>
      <c r="F55" s="1">
        <v>690</v>
      </c>
      <c r="G55" s="1" t="s">
        <v>101</v>
      </c>
      <c r="H55" s="1">
        <v>6.8646000000000003</v>
      </c>
      <c r="I55" s="1">
        <v>659.00160000000005</v>
      </c>
      <c r="L55" s="1">
        <v>0.18</v>
      </c>
      <c r="M55" s="1">
        <v>-0.39</v>
      </c>
      <c r="O55" s="1">
        <v>0.02</v>
      </c>
      <c r="P55" s="1">
        <v>0</v>
      </c>
      <c r="R55" s="1">
        <v>0</v>
      </c>
      <c r="S55" s="1">
        <v>0</v>
      </c>
      <c r="U55" s="1">
        <v>0</v>
      </c>
      <c r="V55" s="2">
        <v>133.86000000000001</v>
      </c>
      <c r="W55" s="2">
        <v>-253.99</v>
      </c>
      <c r="X55" s="1">
        <v>5</v>
      </c>
      <c r="Y55" s="1">
        <v>7</v>
      </c>
      <c r="Z55" s="1">
        <v>6</v>
      </c>
      <c r="AA55" s="1">
        <v>6</v>
      </c>
      <c r="AB55" s="1">
        <v>-37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3</v>
      </c>
      <c r="AY55" s="1">
        <v>0</v>
      </c>
      <c r="AZ55" s="1">
        <v>1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</row>
    <row r="56" spans="1:63" x14ac:dyDescent="0.2">
      <c r="A56" s="1">
        <v>514</v>
      </c>
      <c r="B56" s="1" t="s">
        <v>147</v>
      </c>
      <c r="C56" s="1">
        <v>96</v>
      </c>
      <c r="D56" s="1">
        <v>677</v>
      </c>
      <c r="E56" s="1" t="s">
        <v>64</v>
      </c>
      <c r="F56" s="1">
        <v>690</v>
      </c>
      <c r="G56" s="1" t="s">
        <v>101</v>
      </c>
      <c r="H56" s="1">
        <v>6.8646000000000003</v>
      </c>
      <c r="I56" s="1">
        <v>659.00160000000005</v>
      </c>
      <c r="L56" s="1">
        <v>0.09</v>
      </c>
      <c r="M56" s="1">
        <v>0</v>
      </c>
      <c r="O56" s="1">
        <v>0.05</v>
      </c>
      <c r="P56" s="1">
        <v>0</v>
      </c>
      <c r="R56" s="1">
        <v>0</v>
      </c>
      <c r="S56" s="1">
        <v>0</v>
      </c>
      <c r="U56" s="1">
        <v>0</v>
      </c>
      <c r="V56" s="2">
        <v>92.67</v>
      </c>
      <c r="W56" s="2">
        <v>0</v>
      </c>
      <c r="X56" s="1">
        <v>0</v>
      </c>
      <c r="Y56" s="1">
        <v>0</v>
      </c>
      <c r="Z56" s="1">
        <v>6</v>
      </c>
      <c r="AA56" s="1">
        <v>6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3</v>
      </c>
      <c r="AZ56" s="1">
        <v>3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</row>
    <row r="57" spans="1:63" x14ac:dyDescent="0.2">
      <c r="A57" s="1">
        <v>515</v>
      </c>
      <c r="B57" s="1" t="s">
        <v>152</v>
      </c>
      <c r="C57" s="1">
        <v>96</v>
      </c>
      <c r="D57" s="1">
        <v>677</v>
      </c>
      <c r="E57" s="1" t="s">
        <v>64</v>
      </c>
      <c r="F57" s="1">
        <v>690</v>
      </c>
      <c r="G57" s="1" t="s">
        <v>101</v>
      </c>
      <c r="H57" s="1">
        <v>6.8646000000000003</v>
      </c>
      <c r="I57" s="1">
        <v>659.00160000000005</v>
      </c>
      <c r="L57" s="1">
        <v>0.08</v>
      </c>
      <c r="M57" s="1">
        <v>0</v>
      </c>
      <c r="O57" s="1">
        <v>0</v>
      </c>
      <c r="P57" s="1">
        <v>0</v>
      </c>
      <c r="R57" s="1">
        <v>0</v>
      </c>
      <c r="S57" s="1">
        <v>0</v>
      </c>
      <c r="U57" s="1">
        <v>0</v>
      </c>
      <c r="V57" s="2">
        <v>54.92</v>
      </c>
      <c r="W57" s="2">
        <v>0</v>
      </c>
      <c r="X57" s="1">
        <v>0</v>
      </c>
      <c r="Y57" s="1">
        <v>0</v>
      </c>
      <c r="Z57" s="1">
        <v>7</v>
      </c>
      <c r="AA57" s="1">
        <v>2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</row>
    <row r="58" spans="1:63" x14ac:dyDescent="0.2">
      <c r="A58" s="1">
        <v>8041</v>
      </c>
      <c r="B58" s="1" t="s">
        <v>77</v>
      </c>
      <c r="C58" s="1">
        <v>72</v>
      </c>
      <c r="D58" s="1">
        <v>677</v>
      </c>
      <c r="E58" s="1" t="s">
        <v>64</v>
      </c>
      <c r="F58" s="1">
        <v>999</v>
      </c>
      <c r="G58" s="1" t="s">
        <v>67</v>
      </c>
      <c r="H58" s="1">
        <v>6.5368000000000004</v>
      </c>
      <c r="I58" s="1">
        <v>470.64960000000002</v>
      </c>
      <c r="L58" s="1">
        <v>0</v>
      </c>
      <c r="M58" s="1">
        <v>0</v>
      </c>
      <c r="O58" s="1">
        <v>0</v>
      </c>
      <c r="P58" s="1">
        <v>0</v>
      </c>
      <c r="R58" s="1">
        <v>0</v>
      </c>
      <c r="S58" s="1">
        <v>0</v>
      </c>
      <c r="U58" s="1">
        <v>0</v>
      </c>
      <c r="V58" s="2">
        <v>0</v>
      </c>
      <c r="W58" s="2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</row>
    <row r="59" spans="1:63" x14ac:dyDescent="0.2">
      <c r="A59" s="1">
        <v>8042</v>
      </c>
      <c r="B59" s="1" t="s">
        <v>77</v>
      </c>
      <c r="C59" s="1">
        <v>72</v>
      </c>
      <c r="D59" s="1">
        <v>677</v>
      </c>
      <c r="E59" s="1" t="s">
        <v>64</v>
      </c>
      <c r="F59" s="1">
        <v>999</v>
      </c>
      <c r="G59" s="1" t="s">
        <v>67</v>
      </c>
      <c r="H59" s="1">
        <v>6.5368000000000004</v>
      </c>
      <c r="I59" s="1">
        <v>470.64960000000002</v>
      </c>
      <c r="L59" s="1">
        <v>0</v>
      </c>
      <c r="M59" s="1">
        <v>0</v>
      </c>
      <c r="O59" s="1">
        <v>0</v>
      </c>
      <c r="P59" s="1">
        <v>0</v>
      </c>
      <c r="R59" s="1">
        <v>0</v>
      </c>
      <c r="S59" s="1">
        <v>0</v>
      </c>
      <c r="U59" s="1">
        <v>0</v>
      </c>
      <c r="V59" s="2">
        <v>0</v>
      </c>
      <c r="W59" s="2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</row>
    <row r="60" spans="1:63" x14ac:dyDescent="0.2">
      <c r="A60" s="1">
        <v>8038</v>
      </c>
      <c r="B60" s="1" t="s">
        <v>156</v>
      </c>
      <c r="C60" s="1">
        <v>6</v>
      </c>
      <c r="D60" s="1">
        <v>677</v>
      </c>
      <c r="E60" s="1" t="s">
        <v>64</v>
      </c>
      <c r="F60" s="1">
        <v>61</v>
      </c>
      <c r="G60" s="1" t="s">
        <v>66</v>
      </c>
      <c r="H60" s="1">
        <v>77</v>
      </c>
      <c r="I60" s="1">
        <v>462</v>
      </c>
      <c r="L60" s="1">
        <v>0</v>
      </c>
      <c r="M60" s="1">
        <v>0</v>
      </c>
      <c r="O60" s="1">
        <v>0</v>
      </c>
      <c r="P60" s="1">
        <v>0</v>
      </c>
      <c r="R60" s="1">
        <v>0</v>
      </c>
      <c r="S60" s="1">
        <v>0</v>
      </c>
      <c r="U60" s="1">
        <v>0</v>
      </c>
      <c r="V60" s="2">
        <v>0</v>
      </c>
      <c r="W60" s="2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</row>
    <row r="61" spans="1:63" x14ac:dyDescent="0.2">
      <c r="A61" s="1">
        <v>563</v>
      </c>
      <c r="B61" s="1" t="s">
        <v>155</v>
      </c>
      <c r="C61" s="1">
        <v>96</v>
      </c>
      <c r="D61" s="1">
        <v>677</v>
      </c>
      <c r="E61" s="1" t="s">
        <v>64</v>
      </c>
      <c r="F61" s="1">
        <v>690</v>
      </c>
      <c r="G61" s="1" t="s">
        <v>101</v>
      </c>
      <c r="H61" s="1">
        <v>6.8646000000000003</v>
      </c>
      <c r="I61" s="1">
        <v>659.00160000000005</v>
      </c>
      <c r="L61" s="1">
        <v>0</v>
      </c>
      <c r="M61" s="1">
        <v>0</v>
      </c>
      <c r="O61" s="1">
        <v>0</v>
      </c>
      <c r="P61" s="1">
        <v>0</v>
      </c>
      <c r="R61" s="1">
        <v>0</v>
      </c>
      <c r="S61" s="1">
        <v>0</v>
      </c>
      <c r="U61" s="1">
        <v>0</v>
      </c>
      <c r="V61" s="2">
        <v>0</v>
      </c>
      <c r="W61" s="2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</row>
    <row r="62" spans="1:63" x14ac:dyDescent="0.2">
      <c r="A62" s="1">
        <v>543</v>
      </c>
      <c r="B62" s="1" t="s">
        <v>154</v>
      </c>
      <c r="C62" s="1">
        <v>96</v>
      </c>
      <c r="D62" s="1">
        <v>677</v>
      </c>
      <c r="E62" s="1" t="s">
        <v>64</v>
      </c>
      <c r="F62" s="1">
        <v>690</v>
      </c>
      <c r="G62" s="1" t="s">
        <v>101</v>
      </c>
      <c r="H62" s="1">
        <v>6.8646000000000003</v>
      </c>
      <c r="I62" s="1">
        <v>659.00160000000005</v>
      </c>
      <c r="L62" s="1">
        <v>0</v>
      </c>
      <c r="M62" s="1">
        <v>0</v>
      </c>
      <c r="O62" s="1">
        <v>0</v>
      </c>
      <c r="P62" s="1">
        <v>0</v>
      </c>
      <c r="R62" s="1">
        <v>0</v>
      </c>
      <c r="S62" s="1">
        <v>0</v>
      </c>
      <c r="U62" s="1">
        <v>0</v>
      </c>
      <c r="V62" s="2">
        <v>0</v>
      </c>
      <c r="W62" s="2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</row>
    <row r="63" spans="1:63" x14ac:dyDescent="0.2">
      <c r="A63" s="1">
        <v>512</v>
      </c>
      <c r="B63" s="1" t="s">
        <v>151</v>
      </c>
      <c r="C63" s="1">
        <v>96</v>
      </c>
      <c r="D63" s="1">
        <v>677</v>
      </c>
      <c r="E63" s="1" t="s">
        <v>64</v>
      </c>
      <c r="F63" s="1">
        <v>690</v>
      </c>
      <c r="G63" s="1" t="s">
        <v>101</v>
      </c>
      <c r="H63" s="1">
        <v>6.8646000000000003</v>
      </c>
      <c r="I63" s="1">
        <v>659.00160000000005</v>
      </c>
      <c r="L63" s="1">
        <v>0</v>
      </c>
      <c r="M63" s="1">
        <v>0</v>
      </c>
      <c r="O63" s="1">
        <v>0</v>
      </c>
      <c r="P63" s="1">
        <v>0</v>
      </c>
      <c r="R63" s="1">
        <v>0</v>
      </c>
      <c r="S63" s="1">
        <v>0</v>
      </c>
      <c r="U63" s="1">
        <v>0</v>
      </c>
      <c r="V63" s="2">
        <v>0</v>
      </c>
      <c r="W63" s="2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</row>
    <row r="64" spans="1:63" x14ac:dyDescent="0.2">
      <c r="A64" s="1">
        <v>511</v>
      </c>
      <c r="B64" s="1" t="s">
        <v>150</v>
      </c>
      <c r="C64" s="1">
        <v>96</v>
      </c>
      <c r="D64" s="1">
        <v>677</v>
      </c>
      <c r="E64" s="1" t="s">
        <v>64</v>
      </c>
      <c r="F64" s="1">
        <v>690</v>
      </c>
      <c r="G64" s="1" t="s">
        <v>101</v>
      </c>
      <c r="H64" s="1">
        <v>6.8646000000000003</v>
      </c>
      <c r="I64" s="1">
        <v>659.00160000000005</v>
      </c>
      <c r="L64" s="1">
        <v>0</v>
      </c>
      <c r="M64" s="1">
        <v>0</v>
      </c>
      <c r="O64" s="1">
        <v>0</v>
      </c>
      <c r="P64" s="1">
        <v>0</v>
      </c>
      <c r="R64" s="1">
        <v>0</v>
      </c>
      <c r="S64" s="1">
        <v>0</v>
      </c>
      <c r="U64" s="1">
        <v>0</v>
      </c>
      <c r="V64" s="2">
        <v>0</v>
      </c>
      <c r="W64" s="2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</row>
    <row r="65" spans="1:63" x14ac:dyDescent="0.2">
      <c r="A65" s="1">
        <v>516</v>
      </c>
      <c r="B65" s="1" t="s">
        <v>153</v>
      </c>
      <c r="C65" s="1">
        <v>96</v>
      </c>
      <c r="D65" s="1">
        <v>677</v>
      </c>
      <c r="E65" s="1" t="s">
        <v>64</v>
      </c>
      <c r="F65" s="1">
        <v>690</v>
      </c>
      <c r="G65" s="1" t="s">
        <v>101</v>
      </c>
      <c r="H65" s="1">
        <v>6.8646000000000003</v>
      </c>
      <c r="I65" s="1">
        <v>659.00160000000005</v>
      </c>
      <c r="L65" s="1">
        <v>0</v>
      </c>
      <c r="M65" s="1">
        <v>0</v>
      </c>
      <c r="O65" s="1">
        <v>0</v>
      </c>
      <c r="P65" s="1">
        <v>0</v>
      </c>
      <c r="R65" s="1">
        <v>0</v>
      </c>
      <c r="S65" s="1">
        <v>0</v>
      </c>
      <c r="U65" s="1">
        <v>0</v>
      </c>
      <c r="V65" s="2">
        <v>0</v>
      </c>
      <c r="W65" s="2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</row>
    <row r="66" spans="1:63" x14ac:dyDescent="0.2">
      <c r="A66" s="1">
        <v>47028</v>
      </c>
      <c r="B66" s="1" t="s">
        <v>81</v>
      </c>
      <c r="C66" s="1">
        <v>24</v>
      </c>
      <c r="D66" s="1">
        <v>677</v>
      </c>
      <c r="E66" s="1" t="s">
        <v>64</v>
      </c>
      <c r="F66" s="1">
        <v>999</v>
      </c>
      <c r="G66" s="1" t="s">
        <v>67</v>
      </c>
      <c r="H66" s="1">
        <v>37.9</v>
      </c>
      <c r="I66" s="1">
        <v>909.6</v>
      </c>
      <c r="L66" s="1">
        <v>0</v>
      </c>
      <c r="M66" s="1">
        <v>0</v>
      </c>
      <c r="O66" s="1">
        <v>0</v>
      </c>
      <c r="P66" s="1">
        <v>0</v>
      </c>
      <c r="R66" s="1">
        <v>0</v>
      </c>
      <c r="S66" s="1">
        <v>0</v>
      </c>
      <c r="U66" s="1">
        <v>0</v>
      </c>
      <c r="V66" s="2">
        <v>0</v>
      </c>
      <c r="W66" s="2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</row>
    <row r="67" spans="1:63" x14ac:dyDescent="0.2">
      <c r="A67" s="1">
        <v>48083</v>
      </c>
      <c r="B67" s="1" t="s">
        <v>142</v>
      </c>
      <c r="C67" s="1">
        <v>12</v>
      </c>
      <c r="D67" s="1">
        <v>677</v>
      </c>
      <c r="E67" s="1" t="s">
        <v>64</v>
      </c>
      <c r="F67" s="1">
        <v>690</v>
      </c>
      <c r="G67" s="1" t="s">
        <v>101</v>
      </c>
      <c r="H67" s="1">
        <v>54.916699999999999</v>
      </c>
      <c r="I67" s="1">
        <v>659.00040000000001</v>
      </c>
      <c r="L67" s="1">
        <v>0</v>
      </c>
      <c r="M67" s="1">
        <v>0</v>
      </c>
      <c r="O67" s="1">
        <v>0</v>
      </c>
      <c r="P67" s="1">
        <v>0</v>
      </c>
      <c r="R67" s="1">
        <v>0</v>
      </c>
      <c r="S67" s="1">
        <v>0</v>
      </c>
      <c r="U67" s="1">
        <v>0</v>
      </c>
      <c r="V67" s="2">
        <v>0</v>
      </c>
      <c r="W67" s="2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</row>
    <row r="68" spans="1:63" x14ac:dyDescent="0.2">
      <c r="A68" s="1">
        <v>47125</v>
      </c>
      <c r="B68" s="1" t="s">
        <v>81</v>
      </c>
      <c r="C68" s="1">
        <v>15</v>
      </c>
      <c r="D68" s="1">
        <v>677</v>
      </c>
      <c r="E68" s="1" t="s">
        <v>64</v>
      </c>
      <c r="F68" s="1">
        <v>999</v>
      </c>
      <c r="G68" s="1" t="s">
        <v>67</v>
      </c>
      <c r="H68" s="1">
        <v>37.9</v>
      </c>
      <c r="I68" s="1">
        <v>568.5</v>
      </c>
      <c r="L68" s="1">
        <v>0</v>
      </c>
      <c r="M68" s="1">
        <v>0</v>
      </c>
      <c r="O68" s="1">
        <v>0</v>
      </c>
      <c r="P68" s="1">
        <v>0</v>
      </c>
      <c r="R68" s="1">
        <v>0</v>
      </c>
      <c r="S68" s="1">
        <v>0</v>
      </c>
      <c r="U68" s="1">
        <v>0</v>
      </c>
      <c r="V68" s="2">
        <v>0</v>
      </c>
      <c r="W68" s="2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</row>
    <row r="69" spans="1:63" x14ac:dyDescent="0.2">
      <c r="A69" s="1">
        <v>47050</v>
      </c>
      <c r="B69" s="1" t="s">
        <v>81</v>
      </c>
      <c r="C69" s="1">
        <v>24</v>
      </c>
      <c r="D69" s="1">
        <v>677</v>
      </c>
      <c r="E69" s="1" t="s">
        <v>64</v>
      </c>
      <c r="F69" s="1">
        <v>999</v>
      </c>
      <c r="G69" s="1" t="s">
        <v>67</v>
      </c>
      <c r="H69" s="1">
        <v>16.470099999999999</v>
      </c>
      <c r="I69" s="1">
        <v>395.2824</v>
      </c>
      <c r="L69" s="1">
        <v>0</v>
      </c>
      <c r="M69" s="1">
        <v>0</v>
      </c>
      <c r="O69" s="1">
        <v>0</v>
      </c>
      <c r="P69" s="1">
        <v>0</v>
      </c>
      <c r="R69" s="1">
        <v>0</v>
      </c>
      <c r="S69" s="1">
        <v>0</v>
      </c>
      <c r="U69" s="1">
        <v>0</v>
      </c>
      <c r="V69" s="2">
        <v>0</v>
      </c>
      <c r="W69" s="2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</row>
    <row r="70" spans="1:63" x14ac:dyDescent="0.2">
      <c r="A70" s="1">
        <v>47049</v>
      </c>
      <c r="B70" s="1" t="s">
        <v>165</v>
      </c>
      <c r="C70" s="1">
        <v>12</v>
      </c>
      <c r="D70" s="1">
        <v>677</v>
      </c>
      <c r="E70" s="1" t="s">
        <v>64</v>
      </c>
      <c r="F70" s="1">
        <v>999</v>
      </c>
      <c r="G70" s="1" t="s">
        <v>67</v>
      </c>
      <c r="H70" s="1">
        <v>34.17</v>
      </c>
      <c r="I70" s="1">
        <v>410.04</v>
      </c>
      <c r="L70" s="1">
        <v>0</v>
      </c>
      <c r="M70" s="1">
        <v>0</v>
      </c>
      <c r="O70" s="1">
        <v>0</v>
      </c>
      <c r="P70" s="1">
        <v>0</v>
      </c>
      <c r="R70" s="1">
        <v>0</v>
      </c>
      <c r="S70" s="1">
        <v>0</v>
      </c>
      <c r="U70" s="1">
        <v>0</v>
      </c>
      <c r="V70" s="2">
        <v>0</v>
      </c>
      <c r="W70" s="2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</row>
    <row r="71" spans="1:63" x14ac:dyDescent="0.2">
      <c r="A71" s="1">
        <v>47048</v>
      </c>
      <c r="B71" s="1" t="s">
        <v>166</v>
      </c>
      <c r="C71" s="1">
        <v>4</v>
      </c>
      <c r="D71" s="1">
        <v>677</v>
      </c>
      <c r="E71" s="1" t="s">
        <v>64</v>
      </c>
      <c r="F71" s="1">
        <v>677</v>
      </c>
      <c r="G71" s="1" t="s">
        <v>84</v>
      </c>
      <c r="H71" s="1">
        <v>119.16</v>
      </c>
      <c r="I71" s="1">
        <v>476.64</v>
      </c>
      <c r="L71" s="1">
        <v>0</v>
      </c>
      <c r="M71" s="1">
        <v>0</v>
      </c>
      <c r="O71" s="1">
        <v>0</v>
      </c>
      <c r="P71" s="1">
        <v>0</v>
      </c>
      <c r="R71" s="1">
        <v>0</v>
      </c>
      <c r="S71" s="1">
        <v>0</v>
      </c>
      <c r="U71" s="1">
        <v>0</v>
      </c>
      <c r="V71" s="2">
        <v>0</v>
      </c>
      <c r="W71" s="2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</row>
    <row r="72" spans="1:63" x14ac:dyDescent="0.2">
      <c r="A72" s="1">
        <v>47047</v>
      </c>
      <c r="B72" s="1">
        <v>47047</v>
      </c>
      <c r="C72" s="1">
        <v>15</v>
      </c>
      <c r="D72" s="1">
        <v>677</v>
      </c>
      <c r="E72" s="1" t="s">
        <v>64</v>
      </c>
      <c r="F72" s="1">
        <v>999</v>
      </c>
      <c r="G72" s="1" t="s">
        <v>67</v>
      </c>
      <c r="H72" s="1">
        <v>20.947700000000001</v>
      </c>
      <c r="I72" s="1">
        <v>314.21550000000002</v>
      </c>
      <c r="L72" s="1">
        <v>0</v>
      </c>
      <c r="M72" s="1">
        <v>0</v>
      </c>
      <c r="O72" s="1">
        <v>0</v>
      </c>
      <c r="P72" s="1">
        <v>0</v>
      </c>
      <c r="R72" s="1">
        <v>0</v>
      </c>
      <c r="S72" s="1">
        <v>0</v>
      </c>
      <c r="U72" s="1">
        <v>0</v>
      </c>
      <c r="V72" s="2">
        <v>0</v>
      </c>
      <c r="W72" s="2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</row>
    <row r="73" spans="1:63" x14ac:dyDescent="0.2">
      <c r="A73" s="1">
        <v>47044</v>
      </c>
      <c r="B73" s="1" t="s">
        <v>81</v>
      </c>
      <c r="C73" s="1">
        <v>12</v>
      </c>
      <c r="D73" s="1">
        <v>677</v>
      </c>
      <c r="E73" s="1" t="s">
        <v>64</v>
      </c>
      <c r="F73" s="1">
        <v>999</v>
      </c>
      <c r="G73" s="1" t="s">
        <v>67</v>
      </c>
      <c r="H73" s="1">
        <v>18.04</v>
      </c>
      <c r="I73" s="1">
        <v>216.48</v>
      </c>
      <c r="L73" s="1">
        <v>0</v>
      </c>
      <c r="M73" s="1">
        <v>0</v>
      </c>
      <c r="O73" s="1">
        <v>0</v>
      </c>
      <c r="P73" s="1">
        <v>0</v>
      </c>
      <c r="R73" s="1">
        <v>0</v>
      </c>
      <c r="S73" s="1">
        <v>0</v>
      </c>
      <c r="U73" s="1">
        <v>0</v>
      </c>
      <c r="V73" s="2">
        <v>0</v>
      </c>
      <c r="W73" s="2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</row>
    <row r="74" spans="1:63" x14ac:dyDescent="0.2">
      <c r="A74" s="1">
        <v>47037</v>
      </c>
      <c r="B74" s="1" t="s">
        <v>81</v>
      </c>
      <c r="C74" s="1">
        <v>24</v>
      </c>
      <c r="D74" s="1">
        <v>677</v>
      </c>
      <c r="E74" s="1" t="s">
        <v>64</v>
      </c>
      <c r="F74" s="1">
        <v>999</v>
      </c>
      <c r="G74" s="1" t="s">
        <v>67</v>
      </c>
      <c r="H74" s="1">
        <v>20.088100000000001</v>
      </c>
      <c r="I74" s="1">
        <v>482.11439999999999</v>
      </c>
      <c r="L74" s="1">
        <v>0</v>
      </c>
      <c r="M74" s="1">
        <v>0</v>
      </c>
      <c r="O74" s="1">
        <v>0</v>
      </c>
      <c r="P74" s="1">
        <v>0</v>
      </c>
      <c r="R74" s="1">
        <v>0</v>
      </c>
      <c r="S74" s="1">
        <v>0</v>
      </c>
      <c r="U74" s="1">
        <v>0</v>
      </c>
      <c r="V74" s="2">
        <v>0</v>
      </c>
      <c r="W74" s="2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</row>
    <row r="75" spans="1:63" x14ac:dyDescent="0.2">
      <c r="A75" s="1">
        <v>47034</v>
      </c>
      <c r="B75" s="1" t="s">
        <v>81</v>
      </c>
      <c r="C75" s="1">
        <v>12</v>
      </c>
      <c r="D75" s="1">
        <v>677</v>
      </c>
      <c r="E75" s="1" t="s">
        <v>64</v>
      </c>
      <c r="F75" s="1">
        <v>999</v>
      </c>
      <c r="G75" s="1" t="s">
        <v>67</v>
      </c>
      <c r="H75" s="1">
        <v>25.038699999999999</v>
      </c>
      <c r="I75" s="1">
        <v>300.46440000000001</v>
      </c>
      <c r="L75" s="1">
        <v>0</v>
      </c>
      <c r="M75" s="1">
        <v>0</v>
      </c>
      <c r="O75" s="1">
        <v>0</v>
      </c>
      <c r="P75" s="1">
        <v>0</v>
      </c>
      <c r="R75" s="1">
        <v>0</v>
      </c>
      <c r="S75" s="1">
        <v>0</v>
      </c>
      <c r="U75" s="1">
        <v>0</v>
      </c>
      <c r="V75" s="2">
        <v>0</v>
      </c>
      <c r="W75" s="2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</row>
    <row r="76" spans="1:63" x14ac:dyDescent="0.2">
      <c r="A76" s="1">
        <v>47032</v>
      </c>
      <c r="B76" s="1" t="s">
        <v>81</v>
      </c>
      <c r="C76" s="1">
        <v>12</v>
      </c>
      <c r="D76" s="1">
        <v>677</v>
      </c>
      <c r="E76" s="1" t="s">
        <v>64</v>
      </c>
      <c r="F76" s="1">
        <v>999</v>
      </c>
      <c r="G76" s="1" t="s">
        <v>67</v>
      </c>
      <c r="H76" s="1">
        <v>22.49</v>
      </c>
      <c r="I76" s="1">
        <v>269.88</v>
      </c>
      <c r="L76" s="1">
        <v>0</v>
      </c>
      <c r="M76" s="1">
        <v>0</v>
      </c>
      <c r="O76" s="1">
        <v>0</v>
      </c>
      <c r="P76" s="1">
        <v>0</v>
      </c>
      <c r="R76" s="1">
        <v>0</v>
      </c>
      <c r="S76" s="1">
        <v>0</v>
      </c>
      <c r="U76" s="1">
        <v>0</v>
      </c>
      <c r="V76" s="2">
        <v>0</v>
      </c>
      <c r="W76" s="2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</row>
    <row r="77" spans="1:63" x14ac:dyDescent="0.2">
      <c r="A77" s="1">
        <v>47017</v>
      </c>
      <c r="B77" s="1" t="s">
        <v>81</v>
      </c>
      <c r="C77" s="1">
        <v>6</v>
      </c>
      <c r="D77" s="1">
        <v>677</v>
      </c>
      <c r="E77" s="1" t="s">
        <v>64</v>
      </c>
      <c r="F77" s="1">
        <v>999</v>
      </c>
      <c r="G77" s="1" t="s">
        <v>67</v>
      </c>
      <c r="H77" s="1">
        <v>51.17</v>
      </c>
      <c r="I77" s="1">
        <v>307.02</v>
      </c>
      <c r="L77" s="1">
        <v>0</v>
      </c>
      <c r="M77" s="1">
        <v>0</v>
      </c>
      <c r="O77" s="1">
        <v>0</v>
      </c>
      <c r="P77" s="1">
        <v>0</v>
      </c>
      <c r="R77" s="1">
        <v>0</v>
      </c>
      <c r="S77" s="1">
        <v>0</v>
      </c>
      <c r="U77" s="1">
        <v>0</v>
      </c>
      <c r="V77" s="2">
        <v>0</v>
      </c>
      <c r="W77" s="2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</row>
    <row r="78" spans="1:63" x14ac:dyDescent="0.2">
      <c r="A78" s="1">
        <v>47030</v>
      </c>
      <c r="B78" s="1" t="s">
        <v>163</v>
      </c>
      <c r="C78" s="1">
        <v>12</v>
      </c>
      <c r="D78" s="1">
        <v>677</v>
      </c>
      <c r="E78" s="1" t="s">
        <v>64</v>
      </c>
      <c r="F78" s="1">
        <v>999</v>
      </c>
      <c r="G78" s="1" t="s">
        <v>67</v>
      </c>
      <c r="H78" s="1">
        <v>109.64</v>
      </c>
      <c r="I78" s="1">
        <v>1315.68</v>
      </c>
      <c r="L78" s="1">
        <v>0</v>
      </c>
      <c r="M78" s="1">
        <v>0</v>
      </c>
      <c r="O78" s="1">
        <v>0</v>
      </c>
      <c r="P78" s="1">
        <v>0</v>
      </c>
      <c r="R78" s="1">
        <v>0</v>
      </c>
      <c r="S78" s="1">
        <v>0</v>
      </c>
      <c r="U78" s="1">
        <v>0</v>
      </c>
      <c r="V78" s="2">
        <v>0</v>
      </c>
      <c r="W78" s="2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</row>
    <row r="79" spans="1:63" x14ac:dyDescent="0.2">
      <c r="A79" s="1">
        <v>9099</v>
      </c>
      <c r="B79" s="1" t="s">
        <v>77</v>
      </c>
      <c r="C79" s="1">
        <v>24</v>
      </c>
      <c r="D79" s="1">
        <v>677</v>
      </c>
      <c r="E79" s="1" t="s">
        <v>64</v>
      </c>
      <c r="F79" s="1">
        <v>999</v>
      </c>
      <c r="G79" s="1" t="s">
        <v>67</v>
      </c>
      <c r="H79" s="1">
        <v>15.6492</v>
      </c>
      <c r="I79" s="1">
        <v>375.58080000000001</v>
      </c>
      <c r="L79" s="1">
        <v>0</v>
      </c>
      <c r="M79" s="1">
        <v>0</v>
      </c>
      <c r="O79" s="1">
        <v>0</v>
      </c>
      <c r="P79" s="1">
        <v>0</v>
      </c>
      <c r="R79" s="1">
        <v>0</v>
      </c>
      <c r="S79" s="1">
        <v>0</v>
      </c>
      <c r="U79" s="1">
        <v>0</v>
      </c>
      <c r="V79" s="2">
        <v>0</v>
      </c>
      <c r="W79" s="2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</row>
    <row r="80" spans="1:63" x14ac:dyDescent="0.2">
      <c r="A80" s="1">
        <v>47025</v>
      </c>
      <c r="B80" s="1" t="s">
        <v>162</v>
      </c>
      <c r="C80" s="1">
        <v>24</v>
      </c>
      <c r="D80" s="1">
        <v>677</v>
      </c>
      <c r="E80" s="1" t="s">
        <v>64</v>
      </c>
      <c r="F80" s="1">
        <v>677</v>
      </c>
      <c r="G80" s="1" t="s">
        <v>84</v>
      </c>
      <c r="H80" s="1">
        <v>48.56</v>
      </c>
      <c r="I80" s="1">
        <v>1165.44</v>
      </c>
      <c r="L80" s="1">
        <v>0</v>
      </c>
      <c r="M80" s="1">
        <v>0</v>
      </c>
      <c r="O80" s="1">
        <v>0</v>
      </c>
      <c r="P80" s="1">
        <v>0</v>
      </c>
      <c r="R80" s="1">
        <v>0</v>
      </c>
      <c r="S80" s="1">
        <v>0</v>
      </c>
      <c r="U80" s="1">
        <v>0</v>
      </c>
      <c r="V80" s="2">
        <v>0</v>
      </c>
      <c r="W80" s="2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</row>
    <row r="81" spans="1:63" x14ac:dyDescent="0.2">
      <c r="A81" s="1">
        <v>47022</v>
      </c>
      <c r="B81" s="1" t="s">
        <v>75</v>
      </c>
      <c r="C81" s="1">
        <v>10</v>
      </c>
      <c r="D81" s="1">
        <v>677</v>
      </c>
      <c r="E81" s="1" t="s">
        <v>64</v>
      </c>
      <c r="F81" s="1">
        <v>998</v>
      </c>
      <c r="G81" s="1" t="s">
        <v>73</v>
      </c>
      <c r="H81" s="1">
        <v>127.43</v>
      </c>
      <c r="I81" s="1">
        <v>1274.3</v>
      </c>
      <c r="L81" s="1">
        <v>0</v>
      </c>
      <c r="M81" s="1">
        <v>0</v>
      </c>
      <c r="O81" s="1">
        <v>0</v>
      </c>
      <c r="P81" s="1">
        <v>0</v>
      </c>
      <c r="R81" s="1">
        <v>0</v>
      </c>
      <c r="S81" s="1">
        <v>0</v>
      </c>
      <c r="U81" s="1">
        <v>0</v>
      </c>
      <c r="V81" s="2">
        <v>0</v>
      </c>
      <c r="W81" s="2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</row>
    <row r="82" spans="1:63" x14ac:dyDescent="0.2">
      <c r="A82" s="1">
        <v>47021</v>
      </c>
      <c r="B82" s="1" t="s">
        <v>81</v>
      </c>
      <c r="C82" s="1">
        <v>10</v>
      </c>
      <c r="D82" s="1">
        <v>677</v>
      </c>
      <c r="E82" s="1" t="s">
        <v>64</v>
      </c>
      <c r="F82" s="1">
        <v>999</v>
      </c>
      <c r="G82" s="1" t="s">
        <v>67</v>
      </c>
      <c r="H82" s="1">
        <v>34.318800000000003</v>
      </c>
      <c r="I82" s="1">
        <v>343.18799999999999</v>
      </c>
      <c r="L82" s="1">
        <v>0</v>
      </c>
      <c r="M82" s="1">
        <v>0</v>
      </c>
      <c r="O82" s="1">
        <v>0</v>
      </c>
      <c r="P82" s="1">
        <v>0</v>
      </c>
      <c r="R82" s="1">
        <v>0</v>
      </c>
      <c r="S82" s="1">
        <v>0</v>
      </c>
      <c r="U82" s="1">
        <v>0</v>
      </c>
      <c r="V82" s="2">
        <v>0</v>
      </c>
      <c r="W82" s="2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</row>
    <row r="83" spans="1:63" x14ac:dyDescent="0.2">
      <c r="A83" s="1">
        <v>47018</v>
      </c>
      <c r="B83" s="1" t="s">
        <v>161</v>
      </c>
      <c r="C83" s="1">
        <v>6</v>
      </c>
      <c r="D83" s="1">
        <v>677</v>
      </c>
      <c r="E83" s="1" t="s">
        <v>64</v>
      </c>
      <c r="F83" s="1">
        <v>61</v>
      </c>
      <c r="G83" s="1" t="s">
        <v>66</v>
      </c>
      <c r="H83" s="1">
        <v>77.28</v>
      </c>
      <c r="I83" s="1">
        <v>463.68</v>
      </c>
      <c r="L83" s="1">
        <v>0</v>
      </c>
      <c r="M83" s="1">
        <v>0</v>
      </c>
      <c r="O83" s="1">
        <v>0</v>
      </c>
      <c r="P83" s="1">
        <v>0</v>
      </c>
      <c r="R83" s="1">
        <v>0</v>
      </c>
      <c r="S83" s="1">
        <v>0</v>
      </c>
      <c r="U83" s="1">
        <v>0</v>
      </c>
      <c r="V83" s="2">
        <v>0</v>
      </c>
      <c r="W83" s="2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</row>
    <row r="84" spans="1:63" x14ac:dyDescent="0.2">
      <c r="A84" s="1">
        <v>85</v>
      </c>
      <c r="B84" s="1" t="s">
        <v>148</v>
      </c>
      <c r="C84" s="1">
        <v>192</v>
      </c>
      <c r="D84" s="1">
        <v>677</v>
      </c>
      <c r="E84" s="1" t="s">
        <v>64</v>
      </c>
      <c r="F84" s="1">
        <v>1</v>
      </c>
      <c r="G84" s="1" t="s">
        <v>149</v>
      </c>
      <c r="H84" s="1">
        <v>6</v>
      </c>
      <c r="I84" s="1">
        <v>1152</v>
      </c>
      <c r="L84" s="1">
        <v>0</v>
      </c>
      <c r="M84" s="1">
        <v>0</v>
      </c>
      <c r="O84" s="1">
        <v>0</v>
      </c>
      <c r="P84" s="1">
        <v>0</v>
      </c>
      <c r="R84" s="1">
        <v>0</v>
      </c>
      <c r="S84" s="1">
        <v>0</v>
      </c>
      <c r="U84" s="1">
        <v>0</v>
      </c>
      <c r="V84" s="2">
        <v>0</v>
      </c>
      <c r="W84" s="2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</row>
    <row r="85" spans="1:63" x14ac:dyDescent="0.2">
      <c r="A85" s="1">
        <v>47016</v>
      </c>
      <c r="B85" s="1" t="s">
        <v>160</v>
      </c>
      <c r="C85" s="1">
        <v>12</v>
      </c>
      <c r="D85" s="1">
        <v>677</v>
      </c>
      <c r="E85" s="1" t="s">
        <v>64</v>
      </c>
      <c r="F85" s="1">
        <v>1</v>
      </c>
      <c r="G85" s="1" t="s">
        <v>149</v>
      </c>
      <c r="H85" s="1">
        <v>7.68</v>
      </c>
      <c r="I85" s="1">
        <v>92.16</v>
      </c>
      <c r="L85" s="1">
        <v>0</v>
      </c>
      <c r="M85" s="1">
        <v>0</v>
      </c>
      <c r="O85" s="1">
        <v>0</v>
      </c>
      <c r="P85" s="1">
        <v>0</v>
      </c>
      <c r="R85" s="1">
        <v>0</v>
      </c>
      <c r="S85" s="1">
        <v>0</v>
      </c>
      <c r="U85" s="1">
        <v>0</v>
      </c>
      <c r="V85" s="2">
        <v>0</v>
      </c>
      <c r="W85" s="2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</row>
    <row r="86" spans="1:63" x14ac:dyDescent="0.2">
      <c r="A86" s="1">
        <v>47013</v>
      </c>
      <c r="B86" s="1" t="s">
        <v>159</v>
      </c>
      <c r="C86" s="1">
        <v>4</v>
      </c>
      <c r="D86" s="1">
        <v>677</v>
      </c>
      <c r="E86" s="1" t="s">
        <v>64</v>
      </c>
      <c r="F86" s="1">
        <v>61</v>
      </c>
      <c r="G86" s="1" t="s">
        <v>66</v>
      </c>
      <c r="H86" s="1">
        <v>92.19</v>
      </c>
      <c r="I86" s="1">
        <v>368.76</v>
      </c>
      <c r="L86" s="1">
        <v>0</v>
      </c>
      <c r="M86" s="1">
        <v>0</v>
      </c>
      <c r="O86" s="1">
        <v>0</v>
      </c>
      <c r="P86" s="1">
        <v>0</v>
      </c>
      <c r="R86" s="1">
        <v>0</v>
      </c>
      <c r="S86" s="1">
        <v>0</v>
      </c>
      <c r="U86" s="1">
        <v>0</v>
      </c>
      <c r="V86" s="2">
        <v>0</v>
      </c>
      <c r="W86" s="2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</row>
    <row r="87" spans="1:63" x14ac:dyDescent="0.2">
      <c r="A87" s="1">
        <v>47011</v>
      </c>
      <c r="B87" s="1" t="s">
        <v>158</v>
      </c>
      <c r="C87" s="1">
        <v>24</v>
      </c>
      <c r="D87" s="1">
        <v>677</v>
      </c>
      <c r="E87" s="1" t="s">
        <v>64</v>
      </c>
      <c r="F87" s="1">
        <v>677</v>
      </c>
      <c r="G87" s="1" t="s">
        <v>84</v>
      </c>
      <c r="H87" s="1">
        <v>21.65</v>
      </c>
      <c r="I87" s="1">
        <v>519.6</v>
      </c>
      <c r="L87" s="1">
        <v>0</v>
      </c>
      <c r="M87" s="1">
        <v>0</v>
      </c>
      <c r="O87" s="1">
        <v>0</v>
      </c>
      <c r="P87" s="1">
        <v>0</v>
      </c>
      <c r="R87" s="1">
        <v>0</v>
      </c>
      <c r="S87" s="1">
        <v>0</v>
      </c>
      <c r="U87" s="1">
        <v>0</v>
      </c>
      <c r="V87" s="2">
        <v>0</v>
      </c>
      <c r="W87" s="2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</row>
    <row r="88" spans="1:63" x14ac:dyDescent="0.2">
      <c r="A88" s="1">
        <v>47009</v>
      </c>
      <c r="B88" s="1" t="s">
        <v>130</v>
      </c>
      <c r="C88" s="1">
        <v>12</v>
      </c>
      <c r="D88" s="1">
        <v>677</v>
      </c>
      <c r="E88" s="1" t="s">
        <v>64</v>
      </c>
      <c r="F88" s="1">
        <v>61</v>
      </c>
      <c r="G88" s="1" t="s">
        <v>66</v>
      </c>
      <c r="H88" s="1">
        <v>138.47</v>
      </c>
      <c r="I88" s="1">
        <v>1661.64</v>
      </c>
      <c r="L88" s="1">
        <v>0</v>
      </c>
      <c r="M88" s="1">
        <v>0</v>
      </c>
      <c r="O88" s="1">
        <v>0</v>
      </c>
      <c r="P88" s="1">
        <v>0</v>
      </c>
      <c r="R88" s="1">
        <v>0</v>
      </c>
      <c r="S88" s="1">
        <v>0</v>
      </c>
      <c r="U88" s="1">
        <v>0</v>
      </c>
      <c r="V88" s="2">
        <v>0</v>
      </c>
      <c r="W88" s="2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</row>
    <row r="89" spans="1:63" x14ac:dyDescent="0.2">
      <c r="A89" s="1">
        <v>47007</v>
      </c>
      <c r="B89" s="1" t="s">
        <v>157</v>
      </c>
      <c r="C89" s="1">
        <v>12</v>
      </c>
      <c r="D89" s="1">
        <v>677</v>
      </c>
      <c r="E89" s="1" t="s">
        <v>64</v>
      </c>
      <c r="F89" s="1">
        <v>1</v>
      </c>
      <c r="G89" s="1" t="s">
        <v>149</v>
      </c>
      <c r="H89" s="1">
        <v>7.68</v>
      </c>
      <c r="I89" s="1">
        <v>92.16</v>
      </c>
      <c r="L89" s="1">
        <v>0</v>
      </c>
      <c r="M89" s="1">
        <v>0</v>
      </c>
      <c r="O89" s="1">
        <v>0</v>
      </c>
      <c r="P89" s="1">
        <v>0</v>
      </c>
      <c r="R89" s="1">
        <v>0</v>
      </c>
      <c r="S89" s="1">
        <v>0</v>
      </c>
      <c r="U89" s="1">
        <v>0</v>
      </c>
      <c r="V89" s="2">
        <v>0</v>
      </c>
      <c r="W89" s="2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</row>
    <row r="90" spans="1:63" x14ac:dyDescent="0.2">
      <c r="A90" s="1">
        <v>47006</v>
      </c>
      <c r="B90" s="1" t="s">
        <v>72</v>
      </c>
      <c r="C90" s="1">
        <v>24</v>
      </c>
      <c r="D90" s="1">
        <v>677</v>
      </c>
      <c r="E90" s="1" t="s">
        <v>64</v>
      </c>
      <c r="F90" s="1">
        <v>998</v>
      </c>
      <c r="G90" s="1" t="s">
        <v>73</v>
      </c>
      <c r="H90" s="1">
        <v>20.635100000000001</v>
      </c>
      <c r="I90" s="1">
        <v>495.24239999999998</v>
      </c>
      <c r="L90" s="1">
        <v>0</v>
      </c>
      <c r="M90" s="1">
        <v>0</v>
      </c>
      <c r="O90" s="1">
        <v>0</v>
      </c>
      <c r="P90" s="1">
        <v>0</v>
      </c>
      <c r="R90" s="1">
        <v>0</v>
      </c>
      <c r="S90" s="1">
        <v>0</v>
      </c>
      <c r="U90" s="1">
        <v>0</v>
      </c>
      <c r="V90" s="2">
        <v>0</v>
      </c>
      <c r="W90" s="2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</row>
    <row r="91" spans="1:63" x14ac:dyDescent="0.2">
      <c r="A91" s="1">
        <v>47031</v>
      </c>
      <c r="B91" s="1" t="s">
        <v>164</v>
      </c>
      <c r="C91" s="1">
        <v>4</v>
      </c>
      <c r="D91" s="1">
        <v>677</v>
      </c>
      <c r="E91" s="1" t="s">
        <v>64</v>
      </c>
      <c r="F91" s="1">
        <v>61</v>
      </c>
      <c r="G91" s="1" t="s">
        <v>66</v>
      </c>
      <c r="H91" s="1">
        <v>92.19</v>
      </c>
      <c r="I91" s="1">
        <v>368.76</v>
      </c>
      <c r="L91" s="1">
        <v>0</v>
      </c>
      <c r="M91" s="1">
        <v>0</v>
      </c>
      <c r="O91" s="1">
        <v>0</v>
      </c>
      <c r="P91" s="1">
        <v>0</v>
      </c>
      <c r="R91" s="1">
        <v>0</v>
      </c>
      <c r="S91" s="1">
        <v>0</v>
      </c>
      <c r="U91" s="1">
        <v>0</v>
      </c>
      <c r="V91" s="2">
        <v>0</v>
      </c>
      <c r="W91" s="2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</row>
    <row r="92" spans="1:63" x14ac:dyDescent="0.2">
      <c r="V92" s="26"/>
      <c r="W92" s="26"/>
    </row>
    <row r="93" spans="1:63" x14ac:dyDescent="0.2">
      <c r="V93" s="26"/>
      <c r="W93" s="26"/>
    </row>
    <row r="94" spans="1:63" x14ac:dyDescent="0.2">
      <c r="V94" s="26"/>
      <c r="W94" s="26"/>
    </row>
    <row r="95" spans="1:63" x14ac:dyDescent="0.2">
      <c r="V95" s="26"/>
      <c r="W95" s="26"/>
    </row>
    <row r="96" spans="1:63" x14ac:dyDescent="0.2">
      <c r="V96" s="26"/>
      <c r="W96" s="26"/>
    </row>
    <row r="97" spans="22:23" x14ac:dyDescent="0.2">
      <c r="V97" s="26"/>
      <c r="W97" s="26"/>
    </row>
    <row r="98" spans="22:23" x14ac:dyDescent="0.2">
      <c r="V98" s="26"/>
      <c r="W98" s="26"/>
    </row>
    <row r="99" spans="22:23" x14ac:dyDescent="0.2">
      <c r="V99" s="26"/>
      <c r="W99" s="26"/>
    </row>
    <row r="100" spans="22:23" x14ac:dyDescent="0.2">
      <c r="V100" s="26"/>
      <c r="W100" s="26"/>
    </row>
    <row r="101" spans="22:23" x14ac:dyDescent="0.2">
      <c r="V101" s="26"/>
      <c r="W101" s="26"/>
    </row>
    <row r="102" spans="22:23" x14ac:dyDescent="0.2">
      <c r="V102" s="26"/>
      <c r="W102" s="26"/>
    </row>
    <row r="103" spans="22:23" x14ac:dyDescent="0.2">
      <c r="V103" s="26"/>
      <c r="W103" s="26"/>
    </row>
    <row r="104" spans="22:23" x14ac:dyDescent="0.2">
      <c r="V104" s="26"/>
      <c r="W104" s="26"/>
    </row>
    <row r="105" spans="22:23" x14ac:dyDescent="0.2">
      <c r="V105" s="26"/>
      <c r="W105" s="26"/>
    </row>
    <row r="106" spans="22:23" x14ac:dyDescent="0.2">
      <c r="V106" s="26"/>
      <c r="W106" s="26"/>
    </row>
    <row r="107" spans="22:23" x14ac:dyDescent="0.2">
      <c r="V107" s="26"/>
      <c r="W107" s="26"/>
    </row>
    <row r="108" spans="22:23" x14ac:dyDescent="0.2">
      <c r="V108" s="26"/>
      <c r="W108" s="26"/>
    </row>
    <row r="109" spans="22:23" x14ac:dyDescent="0.2">
      <c r="V109" s="26"/>
      <c r="W109" s="26"/>
    </row>
    <row r="110" spans="22:23" x14ac:dyDescent="0.2">
      <c r="V110" s="26"/>
      <c r="W110" s="26"/>
    </row>
    <row r="111" spans="22:23" x14ac:dyDescent="0.2">
      <c r="V111" s="26"/>
      <c r="W111" s="26"/>
    </row>
    <row r="112" spans="22:23" x14ac:dyDescent="0.2">
      <c r="V112" s="26"/>
      <c r="W112" s="26"/>
    </row>
    <row r="113" spans="22:23" x14ac:dyDescent="0.2">
      <c r="V113" s="26"/>
      <c r="W113" s="26"/>
    </row>
    <row r="114" spans="22:23" x14ac:dyDescent="0.2">
      <c r="V114" s="26"/>
      <c r="W114" s="26"/>
    </row>
    <row r="115" spans="22:23" x14ac:dyDescent="0.2">
      <c r="V115" s="26"/>
      <c r="W115" s="26"/>
    </row>
    <row r="116" spans="22:23" x14ac:dyDescent="0.2">
      <c r="V116" s="26"/>
      <c r="W116" s="26"/>
    </row>
    <row r="117" spans="22:23" x14ac:dyDescent="0.2">
      <c r="V117" s="26"/>
      <c r="W117" s="26"/>
    </row>
    <row r="118" spans="22:23" x14ac:dyDescent="0.2">
      <c r="V118" s="26"/>
      <c r="W118" s="26"/>
    </row>
    <row r="119" spans="22:23" x14ac:dyDescent="0.2">
      <c r="V119" s="26"/>
      <c r="W119" s="26"/>
    </row>
    <row r="120" spans="22:23" x14ac:dyDescent="0.2">
      <c r="V120" s="26"/>
      <c r="W120" s="26"/>
    </row>
    <row r="121" spans="22:23" x14ac:dyDescent="0.2">
      <c r="V121" s="26"/>
      <c r="W121" s="26"/>
    </row>
    <row r="122" spans="22:23" x14ac:dyDescent="0.2">
      <c r="V122" s="26"/>
      <c r="W122" s="26"/>
    </row>
    <row r="123" spans="22:23" x14ac:dyDescent="0.2">
      <c r="V123" s="26"/>
      <c r="W123" s="26"/>
    </row>
    <row r="124" spans="22:23" x14ac:dyDescent="0.2">
      <c r="V124" s="26"/>
      <c r="W124" s="26"/>
    </row>
    <row r="125" spans="22:23" x14ac:dyDescent="0.2">
      <c r="V125" s="26"/>
      <c r="W125" s="26"/>
    </row>
    <row r="126" spans="22:23" x14ac:dyDescent="0.2">
      <c r="V126" s="26"/>
      <c r="W126" s="26"/>
    </row>
    <row r="127" spans="22:23" x14ac:dyDescent="0.2">
      <c r="V127" s="26"/>
      <c r="W127" s="26"/>
    </row>
    <row r="128" spans="22:23" x14ac:dyDescent="0.2">
      <c r="V128" s="26"/>
      <c r="W128" s="26"/>
    </row>
    <row r="129" spans="22:23" x14ac:dyDescent="0.2">
      <c r="V129" s="26"/>
      <c r="W129" s="26"/>
    </row>
    <row r="130" spans="22:23" x14ac:dyDescent="0.2">
      <c r="V130" s="26"/>
      <c r="W130" s="26"/>
    </row>
    <row r="131" spans="22:23" x14ac:dyDescent="0.2">
      <c r="V131" s="26"/>
      <c r="W131" s="26"/>
    </row>
    <row r="132" spans="22:23" x14ac:dyDescent="0.2">
      <c r="V132" s="26"/>
      <c r="W132" s="26"/>
    </row>
    <row r="133" spans="22:23" x14ac:dyDescent="0.2">
      <c r="V133" s="26"/>
      <c r="W133" s="26"/>
    </row>
    <row r="134" spans="22:23" x14ac:dyDescent="0.2">
      <c r="V134" s="26"/>
      <c r="W134" s="26"/>
    </row>
    <row r="135" spans="22:23" x14ac:dyDescent="0.2">
      <c r="V135" s="26"/>
      <c r="W135" s="26"/>
    </row>
    <row r="136" spans="22:23" x14ac:dyDescent="0.2">
      <c r="V136" s="26"/>
      <c r="W136" s="26"/>
    </row>
    <row r="137" spans="22:23" x14ac:dyDescent="0.2">
      <c r="V137" s="26"/>
      <c r="W137" s="26"/>
    </row>
    <row r="138" spans="22:23" x14ac:dyDescent="0.2">
      <c r="V138" s="26"/>
      <c r="W138" s="26"/>
    </row>
    <row r="139" spans="22:23" x14ac:dyDescent="0.2">
      <c r="V139" s="26"/>
      <c r="W139" s="26"/>
    </row>
    <row r="140" spans="22:23" x14ac:dyDescent="0.2">
      <c r="V140" s="26"/>
      <c r="W140" s="26"/>
    </row>
    <row r="141" spans="22:23" x14ac:dyDescent="0.2">
      <c r="V141" s="26"/>
      <c r="W141" s="26"/>
    </row>
    <row r="142" spans="22:23" x14ac:dyDescent="0.2">
      <c r="V142" s="26"/>
      <c r="W142" s="26"/>
    </row>
    <row r="143" spans="22:23" x14ac:dyDescent="0.2">
      <c r="V143" s="26"/>
      <c r="W143" s="26"/>
    </row>
    <row r="144" spans="22:23" x14ac:dyDescent="0.2">
      <c r="V144" s="26"/>
      <c r="W144" s="26"/>
    </row>
    <row r="145" spans="22:23" x14ac:dyDescent="0.2">
      <c r="V145" s="26"/>
      <c r="W145" s="26"/>
    </row>
    <row r="146" spans="22:23" x14ac:dyDescent="0.2">
      <c r="V146" s="26"/>
      <c r="W146" s="26"/>
    </row>
    <row r="147" spans="22:23" x14ac:dyDescent="0.2">
      <c r="V147" s="26"/>
      <c r="W147" s="26"/>
    </row>
    <row r="148" spans="22:23" x14ac:dyDescent="0.2">
      <c r="V148" s="26"/>
      <c r="W148" s="26"/>
    </row>
    <row r="149" spans="22:23" x14ac:dyDescent="0.2">
      <c r="V149" s="26"/>
      <c r="W149" s="26"/>
    </row>
    <row r="150" spans="22:23" x14ac:dyDescent="0.2">
      <c r="V150" s="26"/>
      <c r="W150" s="26"/>
    </row>
    <row r="151" spans="22:23" x14ac:dyDescent="0.2">
      <c r="V151" s="26"/>
      <c r="W151" s="26"/>
    </row>
    <row r="152" spans="22:23" x14ac:dyDescent="0.2">
      <c r="V152" s="26"/>
      <c r="W152" s="26"/>
    </row>
    <row r="153" spans="22:23" x14ac:dyDescent="0.2">
      <c r="V153" s="26"/>
      <c r="W153" s="26"/>
    </row>
    <row r="154" spans="22:23" x14ac:dyDescent="0.2">
      <c r="V154" s="26"/>
      <c r="W154" s="26"/>
    </row>
    <row r="155" spans="22:23" x14ac:dyDescent="0.2">
      <c r="V155" s="26"/>
      <c r="W155" s="26"/>
    </row>
    <row r="156" spans="22:23" x14ac:dyDescent="0.2">
      <c r="V156" s="26"/>
      <c r="W156" s="26"/>
    </row>
    <row r="157" spans="22:23" x14ac:dyDescent="0.2">
      <c r="V157" s="26"/>
      <c r="W157" s="26"/>
    </row>
    <row r="158" spans="22:23" x14ac:dyDescent="0.2">
      <c r="V158" s="26"/>
      <c r="W158" s="26"/>
    </row>
    <row r="159" spans="22:23" x14ac:dyDescent="0.2">
      <c r="V159" s="26"/>
      <c r="W159" s="26"/>
    </row>
    <row r="160" spans="22:23" x14ac:dyDescent="0.2">
      <c r="V160" s="26"/>
      <c r="W160" s="26"/>
    </row>
    <row r="161" spans="22:23" x14ac:dyDescent="0.2">
      <c r="V161" s="26"/>
      <c r="W161" s="26"/>
    </row>
    <row r="162" spans="22:23" x14ac:dyDescent="0.2">
      <c r="V162" s="26"/>
      <c r="W162" s="26"/>
    </row>
    <row r="163" spans="22:23" x14ac:dyDescent="0.2">
      <c r="V163" s="26"/>
      <c r="W163" s="26"/>
    </row>
    <row r="164" spans="22:23" x14ac:dyDescent="0.2">
      <c r="V164" s="26"/>
      <c r="W164" s="26"/>
    </row>
    <row r="165" spans="22:23" x14ac:dyDescent="0.2">
      <c r="V165" s="26"/>
      <c r="W165" s="26"/>
    </row>
    <row r="166" spans="22:23" x14ac:dyDescent="0.2">
      <c r="V166" s="26"/>
      <c r="W166" s="26"/>
    </row>
    <row r="167" spans="22:23" x14ac:dyDescent="0.2">
      <c r="V167" s="26"/>
      <c r="W167" s="26"/>
    </row>
    <row r="168" spans="22:23" x14ac:dyDescent="0.2">
      <c r="V168" s="26"/>
      <c r="W168" s="26"/>
    </row>
    <row r="169" spans="22:23" x14ac:dyDescent="0.2">
      <c r="V169" s="26"/>
      <c r="W169" s="26"/>
    </row>
    <row r="170" spans="22:23" x14ac:dyDescent="0.2">
      <c r="V170" s="26"/>
      <c r="W170" s="26"/>
    </row>
    <row r="171" spans="22:23" x14ac:dyDescent="0.2">
      <c r="V171" s="26"/>
      <c r="W171" s="26"/>
    </row>
    <row r="172" spans="22:23" x14ac:dyDescent="0.2">
      <c r="V172" s="26"/>
      <c r="W172" s="26"/>
    </row>
    <row r="173" spans="22:23" x14ac:dyDescent="0.2">
      <c r="V173" s="26"/>
      <c r="W173" s="26"/>
    </row>
    <row r="174" spans="22:23" x14ac:dyDescent="0.2">
      <c r="V174" s="26"/>
      <c r="W174" s="26"/>
    </row>
    <row r="175" spans="22:23" x14ac:dyDescent="0.2">
      <c r="V175" s="26"/>
      <c r="W175" s="26"/>
    </row>
    <row r="176" spans="22:23" x14ac:dyDescent="0.2">
      <c r="V176" s="26"/>
      <c r="W176" s="26"/>
    </row>
    <row r="177" spans="22:23" x14ac:dyDescent="0.2">
      <c r="V177" s="26"/>
      <c r="W177" s="26"/>
    </row>
    <row r="178" spans="22:23" x14ac:dyDescent="0.2">
      <c r="V178" s="26"/>
      <c r="W178" s="26"/>
    </row>
    <row r="179" spans="22:23" x14ac:dyDescent="0.2">
      <c r="V179" s="26"/>
      <c r="W179" s="26"/>
    </row>
    <row r="180" spans="22:23" x14ac:dyDescent="0.2">
      <c r="V180" s="26"/>
      <c r="W180" s="26"/>
    </row>
    <row r="181" spans="22:23" x14ac:dyDescent="0.2">
      <c r="V181" s="26"/>
      <c r="W181" s="26"/>
    </row>
    <row r="182" spans="22:23" x14ac:dyDescent="0.2">
      <c r="V182" s="26"/>
      <c r="W182" s="26"/>
    </row>
    <row r="183" spans="22:23" x14ac:dyDescent="0.2">
      <c r="V183" s="26"/>
      <c r="W183" s="26"/>
    </row>
    <row r="184" spans="22:23" x14ac:dyDescent="0.2">
      <c r="V184" s="26"/>
      <c r="W184" s="26"/>
    </row>
    <row r="185" spans="22:23" x14ac:dyDescent="0.2">
      <c r="V185" s="26"/>
      <c r="W185" s="26"/>
    </row>
    <row r="186" spans="22:23" x14ac:dyDescent="0.2">
      <c r="V186" s="26"/>
      <c r="W186" s="26"/>
    </row>
    <row r="187" spans="22:23" x14ac:dyDescent="0.2">
      <c r="V187" s="26"/>
      <c r="W187" s="26"/>
    </row>
    <row r="188" spans="22:23" x14ac:dyDescent="0.2">
      <c r="V188" s="26"/>
      <c r="W188" s="26"/>
    </row>
    <row r="189" spans="22:23" x14ac:dyDescent="0.2">
      <c r="V189" s="26"/>
      <c r="W189" s="26"/>
    </row>
    <row r="190" spans="22:23" x14ac:dyDescent="0.2">
      <c r="V190" s="26"/>
      <c r="W190" s="26"/>
    </row>
    <row r="191" spans="22:23" x14ac:dyDescent="0.2">
      <c r="V191" s="26"/>
      <c r="W191" s="26"/>
    </row>
    <row r="192" spans="22:23" x14ac:dyDescent="0.2">
      <c r="V192" s="26"/>
      <c r="W192" s="26"/>
    </row>
    <row r="193" spans="22:23" x14ac:dyDescent="0.2">
      <c r="V193" s="26"/>
      <c r="W193" s="26"/>
    </row>
    <row r="194" spans="22:23" x14ac:dyDescent="0.2">
      <c r="V194" s="26"/>
      <c r="W194" s="26"/>
    </row>
    <row r="195" spans="22:23" x14ac:dyDescent="0.2">
      <c r="V195" s="26"/>
      <c r="W195" s="26"/>
    </row>
    <row r="196" spans="22:23" x14ac:dyDescent="0.2">
      <c r="V196" s="26"/>
      <c r="W196" s="26"/>
    </row>
    <row r="197" spans="22:23" x14ac:dyDescent="0.2">
      <c r="V197" s="26"/>
      <c r="W197" s="26"/>
    </row>
    <row r="198" spans="22:23" x14ac:dyDescent="0.2">
      <c r="V198" s="26"/>
      <c r="W198" s="26"/>
    </row>
    <row r="199" spans="22:23" x14ac:dyDescent="0.2">
      <c r="V199" s="26"/>
      <c r="W199" s="26"/>
    </row>
    <row r="200" spans="22:23" x14ac:dyDescent="0.2">
      <c r="V200" s="26"/>
      <c r="W200" s="26"/>
    </row>
    <row r="201" spans="22:23" x14ac:dyDescent="0.2">
      <c r="V201" s="26"/>
      <c r="W201" s="26"/>
    </row>
    <row r="202" spans="22:23" x14ac:dyDescent="0.2">
      <c r="V202" s="26"/>
      <c r="W202" s="26"/>
    </row>
    <row r="203" spans="22:23" x14ac:dyDescent="0.2">
      <c r="V203" s="26"/>
      <c r="W203" s="26"/>
    </row>
    <row r="204" spans="22:23" x14ac:dyDescent="0.2">
      <c r="V204" s="26"/>
      <c r="W204" s="26"/>
    </row>
    <row r="205" spans="22:23" x14ac:dyDescent="0.2">
      <c r="V205" s="26"/>
      <c r="W205" s="26"/>
    </row>
    <row r="206" spans="22:23" x14ac:dyDescent="0.2">
      <c r="V206" s="26"/>
      <c r="W206" s="26"/>
    </row>
    <row r="207" spans="22:23" x14ac:dyDescent="0.2">
      <c r="V207" s="26"/>
      <c r="W207" s="26"/>
    </row>
    <row r="208" spans="22:23" x14ac:dyDescent="0.2">
      <c r="V208" s="26"/>
      <c r="W208" s="26"/>
    </row>
    <row r="209" spans="22:23" x14ac:dyDescent="0.2">
      <c r="V209" s="26"/>
      <c r="W209" s="26"/>
    </row>
    <row r="210" spans="22:23" x14ac:dyDescent="0.2">
      <c r="V210" s="26"/>
      <c r="W210" s="26"/>
    </row>
    <row r="211" spans="22:23" x14ac:dyDescent="0.2">
      <c r="V211" s="26"/>
      <c r="W211" s="26"/>
    </row>
    <row r="212" spans="22:23" x14ac:dyDescent="0.2">
      <c r="V212" s="26"/>
      <c r="W212" s="26"/>
    </row>
    <row r="213" spans="22:23" x14ac:dyDescent="0.2">
      <c r="V213" s="26"/>
      <c r="W213" s="26"/>
    </row>
    <row r="214" spans="22:23" x14ac:dyDescent="0.2">
      <c r="V214" s="26"/>
      <c r="W214" s="26"/>
    </row>
    <row r="215" spans="22:23" x14ac:dyDescent="0.2">
      <c r="V215" s="26"/>
      <c r="W215" s="26"/>
    </row>
    <row r="216" spans="22:23" x14ac:dyDescent="0.2">
      <c r="V216" s="26"/>
      <c r="W216" s="26"/>
    </row>
    <row r="217" spans="22:23" x14ac:dyDescent="0.2">
      <c r="V217" s="26"/>
      <c r="W217" s="26"/>
    </row>
    <row r="218" spans="22:23" x14ac:dyDescent="0.2">
      <c r="V218" s="26"/>
      <c r="W218" s="26"/>
    </row>
    <row r="219" spans="22:23" x14ac:dyDescent="0.2">
      <c r="V219" s="26"/>
      <c r="W219" s="26"/>
    </row>
    <row r="220" spans="22:23" x14ac:dyDescent="0.2">
      <c r="V220" s="26"/>
      <c r="W220" s="26"/>
    </row>
    <row r="221" spans="22:23" x14ac:dyDescent="0.2">
      <c r="V221" s="26"/>
      <c r="W221" s="26"/>
    </row>
    <row r="222" spans="22:23" x14ac:dyDescent="0.2">
      <c r="V222" s="26"/>
      <c r="W222" s="26"/>
    </row>
    <row r="223" spans="22:23" x14ac:dyDescent="0.2">
      <c r="V223" s="26"/>
      <c r="W223" s="26"/>
    </row>
    <row r="224" spans="22:23" x14ac:dyDescent="0.2">
      <c r="V224" s="26"/>
      <c r="W224" s="26"/>
    </row>
    <row r="225" spans="22:23" x14ac:dyDescent="0.2">
      <c r="V225" s="26"/>
      <c r="W225" s="26"/>
    </row>
    <row r="226" spans="22:23" x14ac:dyDescent="0.2">
      <c r="V226" s="26"/>
      <c r="W226" s="26"/>
    </row>
    <row r="227" spans="22:23" x14ac:dyDescent="0.2">
      <c r="V227" s="26"/>
      <c r="W227" s="26"/>
    </row>
    <row r="228" spans="22:23" x14ac:dyDescent="0.2">
      <c r="V228" s="26"/>
      <c r="W228" s="26"/>
    </row>
    <row r="229" spans="22:23" x14ac:dyDescent="0.2">
      <c r="V229" s="26"/>
      <c r="W229" s="26"/>
    </row>
    <row r="230" spans="22:23" x14ac:dyDescent="0.2">
      <c r="V230" s="26"/>
      <c r="W230" s="26"/>
    </row>
    <row r="231" spans="22:23" x14ac:dyDescent="0.2">
      <c r="V231" s="26"/>
      <c r="W231" s="26"/>
    </row>
    <row r="232" spans="22:23" x14ac:dyDescent="0.2">
      <c r="V232" s="26"/>
      <c r="W232" s="26"/>
    </row>
    <row r="233" spans="22:23" x14ac:dyDescent="0.2">
      <c r="V233" s="26"/>
      <c r="W233" s="26"/>
    </row>
    <row r="234" spans="22:23" x14ac:dyDescent="0.2">
      <c r="V234" s="26"/>
      <c r="W234" s="26"/>
    </row>
    <row r="235" spans="22:23" x14ac:dyDescent="0.2">
      <c r="V235" s="26"/>
      <c r="W235" s="26"/>
    </row>
    <row r="236" spans="22:23" x14ac:dyDescent="0.2">
      <c r="V236" s="26"/>
      <c r="W236" s="26"/>
    </row>
    <row r="237" spans="22:23" x14ac:dyDescent="0.2">
      <c r="V237" s="26"/>
      <c r="W237" s="26"/>
    </row>
    <row r="238" spans="22:23" x14ac:dyDescent="0.2">
      <c r="V238" s="26"/>
      <c r="W238" s="26"/>
    </row>
    <row r="239" spans="22:23" x14ac:dyDescent="0.2">
      <c r="V239" s="26"/>
      <c r="W239" s="26"/>
    </row>
    <row r="240" spans="22:23" x14ac:dyDescent="0.2">
      <c r="V240" s="26"/>
      <c r="W240" s="26"/>
    </row>
    <row r="241" spans="22:23" x14ac:dyDescent="0.2">
      <c r="V241" s="26"/>
      <c r="W241" s="26"/>
    </row>
    <row r="242" spans="22:23" x14ac:dyDescent="0.2">
      <c r="V242" s="26"/>
      <c r="W242" s="26"/>
    </row>
    <row r="243" spans="22:23" x14ac:dyDescent="0.2">
      <c r="V243" s="26"/>
      <c r="W243" s="26"/>
    </row>
    <row r="244" spans="22:23" x14ac:dyDescent="0.2">
      <c r="V244" s="26"/>
      <c r="W244" s="26"/>
    </row>
    <row r="245" spans="22:23" x14ac:dyDescent="0.2">
      <c r="V245" s="26"/>
      <c r="W245" s="26"/>
    </row>
    <row r="246" spans="22:23" x14ac:dyDescent="0.2">
      <c r="V246" s="26"/>
      <c r="W246" s="26"/>
    </row>
    <row r="247" spans="22:23" x14ac:dyDescent="0.2">
      <c r="V247" s="26"/>
      <c r="W247" s="26"/>
    </row>
    <row r="248" spans="22:23" x14ac:dyDescent="0.2">
      <c r="V248" s="26"/>
      <c r="W248" s="26"/>
    </row>
    <row r="249" spans="22:23" x14ac:dyDescent="0.2">
      <c r="V249" s="26"/>
      <c r="W249" s="26"/>
    </row>
    <row r="250" spans="22:23" x14ac:dyDescent="0.2">
      <c r="V250" s="26"/>
      <c r="W250" s="26"/>
    </row>
    <row r="251" spans="22:23" x14ac:dyDescent="0.2">
      <c r="V251" s="26"/>
      <c r="W251" s="26"/>
    </row>
    <row r="252" spans="22:23" x14ac:dyDescent="0.2">
      <c r="V252" s="26"/>
      <c r="W252" s="26"/>
    </row>
    <row r="253" spans="22:23" x14ac:dyDescent="0.2">
      <c r="V253" s="26"/>
      <c r="W253" s="26"/>
    </row>
    <row r="254" spans="22:23" x14ac:dyDescent="0.2">
      <c r="V254" s="26"/>
      <c r="W254" s="26"/>
    </row>
    <row r="255" spans="22:23" x14ac:dyDescent="0.2">
      <c r="V255" s="26"/>
      <c r="W255" s="26"/>
    </row>
    <row r="256" spans="22:23" x14ac:dyDescent="0.2">
      <c r="V256" s="26"/>
      <c r="W256" s="26"/>
    </row>
    <row r="257" spans="22:23" x14ac:dyDescent="0.2">
      <c r="V257" s="26"/>
      <c r="W257" s="26"/>
    </row>
    <row r="258" spans="22:23" x14ac:dyDescent="0.2">
      <c r="V258" s="26"/>
      <c r="W258" s="26"/>
    </row>
    <row r="259" spans="22:23" x14ac:dyDescent="0.2">
      <c r="V259" s="26"/>
      <c r="W259" s="26"/>
    </row>
    <row r="260" spans="22:23" x14ac:dyDescent="0.2">
      <c r="V260" s="26"/>
      <c r="W260" s="26"/>
    </row>
    <row r="261" spans="22:23" x14ac:dyDescent="0.2">
      <c r="V261" s="26"/>
      <c r="W261" s="26"/>
    </row>
    <row r="262" spans="22:23" x14ac:dyDescent="0.2">
      <c r="V262" s="26"/>
      <c r="W262" s="26"/>
    </row>
    <row r="263" spans="22:23" x14ac:dyDescent="0.2">
      <c r="V263" s="26"/>
      <c r="W263" s="26"/>
    </row>
    <row r="264" spans="22:23" x14ac:dyDescent="0.2">
      <c r="V264" s="26"/>
      <c r="W264" s="26"/>
    </row>
    <row r="265" spans="22:23" x14ac:dyDescent="0.2">
      <c r="V265" s="26"/>
      <c r="W265" s="26"/>
    </row>
    <row r="266" spans="22:23" x14ac:dyDescent="0.2">
      <c r="V266" s="26"/>
      <c r="W266" s="26"/>
    </row>
    <row r="267" spans="22:23" x14ac:dyDescent="0.2">
      <c r="V267" s="26"/>
      <c r="W267" s="26"/>
    </row>
    <row r="268" spans="22:23" x14ac:dyDescent="0.2">
      <c r="V268" s="26"/>
      <c r="W268" s="26"/>
    </row>
    <row r="269" spans="22:23" x14ac:dyDescent="0.2">
      <c r="V269" s="26"/>
      <c r="W269" s="26"/>
    </row>
    <row r="270" spans="22:23" x14ac:dyDescent="0.2">
      <c r="V270" s="26"/>
      <c r="W270" s="26"/>
    </row>
    <row r="271" spans="22:23" x14ac:dyDescent="0.2">
      <c r="V271" s="26"/>
      <c r="W271" s="26"/>
    </row>
    <row r="272" spans="22:23" x14ac:dyDescent="0.2">
      <c r="V272" s="26"/>
      <c r="W272" s="26"/>
    </row>
    <row r="273" spans="22:23" x14ac:dyDescent="0.2">
      <c r="V273" s="26"/>
      <c r="W273" s="26"/>
    </row>
    <row r="274" spans="22:23" x14ac:dyDescent="0.2">
      <c r="V274" s="26"/>
      <c r="W274" s="26"/>
    </row>
    <row r="275" spans="22:23" x14ac:dyDescent="0.2">
      <c r="V275" s="26"/>
      <c r="W275" s="26"/>
    </row>
    <row r="276" spans="22:23" x14ac:dyDescent="0.2">
      <c r="V276" s="26"/>
      <c r="W276" s="26"/>
    </row>
    <row r="277" spans="22:23" x14ac:dyDescent="0.2">
      <c r="V277" s="26"/>
      <c r="W277" s="26"/>
    </row>
    <row r="278" spans="22:23" x14ac:dyDescent="0.2">
      <c r="V278" s="26"/>
      <c r="W278" s="26"/>
    </row>
    <row r="279" spans="22:23" x14ac:dyDescent="0.2">
      <c r="V279" s="26"/>
      <c r="W279" s="26"/>
    </row>
    <row r="280" spans="22:23" x14ac:dyDescent="0.2">
      <c r="V280" s="26"/>
      <c r="W280" s="26"/>
    </row>
    <row r="281" spans="22:23" x14ac:dyDescent="0.2">
      <c r="V281" s="26"/>
      <c r="W281" s="26"/>
    </row>
    <row r="282" spans="22:23" x14ac:dyDescent="0.2">
      <c r="V282" s="26"/>
      <c r="W282" s="26"/>
    </row>
    <row r="283" spans="22:23" x14ac:dyDescent="0.2">
      <c r="V283" s="26"/>
      <c r="W283" s="26"/>
    </row>
    <row r="284" spans="22:23" x14ac:dyDescent="0.2">
      <c r="V284" s="26"/>
      <c r="W284" s="26"/>
    </row>
    <row r="285" spans="22:23" x14ac:dyDescent="0.2">
      <c r="V285" s="26"/>
      <c r="W285" s="26"/>
    </row>
    <row r="286" spans="22:23" x14ac:dyDescent="0.2">
      <c r="V286" s="26"/>
      <c r="W286" s="26"/>
    </row>
    <row r="287" spans="22:23" x14ac:dyDescent="0.2">
      <c r="V287" s="26"/>
      <c r="W287" s="26"/>
    </row>
    <row r="288" spans="22:23" x14ac:dyDescent="0.2">
      <c r="V288" s="26"/>
      <c r="W288" s="26"/>
    </row>
    <row r="289" spans="22:23" x14ac:dyDescent="0.2">
      <c r="V289" s="26"/>
      <c r="W289" s="26"/>
    </row>
    <row r="290" spans="22:23" x14ac:dyDescent="0.2">
      <c r="V290" s="26"/>
      <c r="W290" s="26"/>
    </row>
    <row r="291" spans="22:23" x14ac:dyDescent="0.2">
      <c r="V291" s="26"/>
      <c r="W291" s="26"/>
    </row>
    <row r="292" spans="22:23" x14ac:dyDescent="0.2">
      <c r="V292" s="26"/>
      <c r="W292" s="26"/>
    </row>
    <row r="293" spans="22:23" x14ac:dyDescent="0.2">
      <c r="V293" s="26"/>
      <c r="W293" s="26"/>
    </row>
    <row r="294" spans="22:23" x14ac:dyDescent="0.2">
      <c r="V294" s="26"/>
      <c r="W294" s="26"/>
    </row>
    <row r="295" spans="22:23" x14ac:dyDescent="0.2">
      <c r="V295" s="26"/>
      <c r="W295" s="26"/>
    </row>
    <row r="296" spans="22:23" x14ac:dyDescent="0.2">
      <c r="V296" s="26"/>
      <c r="W296" s="26"/>
    </row>
    <row r="297" spans="22:23" x14ac:dyDescent="0.2">
      <c r="V297" s="26"/>
      <c r="W297" s="26"/>
    </row>
    <row r="298" spans="22:23" x14ac:dyDescent="0.2">
      <c r="V298" s="26"/>
      <c r="W298" s="26"/>
    </row>
    <row r="299" spans="22:23" x14ac:dyDescent="0.2">
      <c r="V299" s="26"/>
      <c r="W299" s="26"/>
    </row>
    <row r="300" spans="22:23" x14ac:dyDescent="0.2">
      <c r="V300" s="26"/>
      <c r="W300" s="26"/>
    </row>
    <row r="301" spans="22:23" x14ac:dyDescent="0.2">
      <c r="V301" s="26"/>
      <c r="W301" s="26"/>
    </row>
    <row r="302" spans="22:23" x14ac:dyDescent="0.2">
      <c r="V302" s="26"/>
      <c r="W302" s="26"/>
    </row>
    <row r="303" spans="22:23" x14ac:dyDescent="0.2">
      <c r="V303" s="26"/>
      <c r="W303" s="26"/>
    </row>
    <row r="304" spans="22:23" x14ac:dyDescent="0.2">
      <c r="V304" s="26"/>
      <c r="W304" s="26"/>
    </row>
    <row r="305" spans="22:23" x14ac:dyDescent="0.2">
      <c r="V305" s="26"/>
      <c r="W305" s="26"/>
    </row>
    <row r="306" spans="22:23" x14ac:dyDescent="0.2">
      <c r="V306" s="26"/>
      <c r="W306" s="26"/>
    </row>
    <row r="307" spans="22:23" x14ac:dyDescent="0.2">
      <c r="V307" s="26"/>
      <c r="W307" s="26"/>
    </row>
    <row r="308" spans="22:23" x14ac:dyDescent="0.2">
      <c r="V308" s="26"/>
      <c r="W308" s="26"/>
    </row>
    <row r="309" spans="22:23" x14ac:dyDescent="0.2">
      <c r="V309" s="26"/>
      <c r="W309" s="26"/>
    </row>
    <row r="310" spans="22:23" x14ac:dyDescent="0.2">
      <c r="V310" s="26"/>
      <c r="W310" s="26"/>
    </row>
    <row r="311" spans="22:23" x14ac:dyDescent="0.2">
      <c r="V311" s="26"/>
      <c r="W311" s="26"/>
    </row>
    <row r="312" spans="22:23" x14ac:dyDescent="0.2">
      <c r="V312" s="26"/>
      <c r="W312" s="26"/>
    </row>
    <row r="313" spans="22:23" x14ac:dyDescent="0.2">
      <c r="V313" s="26"/>
      <c r="W313" s="26"/>
    </row>
    <row r="314" spans="22:23" x14ac:dyDescent="0.2">
      <c r="V314" s="26"/>
      <c r="W314" s="26"/>
    </row>
    <row r="315" spans="22:23" x14ac:dyDescent="0.2">
      <c r="V315" s="26"/>
      <c r="W315" s="26"/>
    </row>
    <row r="316" spans="22:23" x14ac:dyDescent="0.2">
      <c r="V316" s="26"/>
      <c r="W316" s="26"/>
    </row>
    <row r="317" spans="22:23" x14ac:dyDescent="0.2">
      <c r="V317" s="26"/>
      <c r="W317" s="26"/>
    </row>
    <row r="318" spans="22:23" x14ac:dyDescent="0.2">
      <c r="V318" s="26"/>
      <c r="W318" s="26"/>
    </row>
    <row r="319" spans="22:23" x14ac:dyDescent="0.2">
      <c r="V319" s="26"/>
      <c r="W319" s="26"/>
    </row>
    <row r="320" spans="22:23" x14ac:dyDescent="0.2">
      <c r="V320" s="26"/>
      <c r="W320" s="26"/>
    </row>
    <row r="321" spans="22:23" x14ac:dyDescent="0.2">
      <c r="V321" s="26"/>
      <c r="W321" s="26"/>
    </row>
    <row r="322" spans="22:23" x14ac:dyDescent="0.2">
      <c r="V322" s="26"/>
      <c r="W322" s="26"/>
    </row>
    <row r="323" spans="22:23" x14ac:dyDescent="0.2">
      <c r="V323" s="26"/>
      <c r="W323" s="26"/>
    </row>
    <row r="324" spans="22:23" x14ac:dyDescent="0.2">
      <c r="V324" s="26"/>
      <c r="W324" s="26"/>
    </row>
    <row r="325" spans="22:23" x14ac:dyDescent="0.2">
      <c r="V325" s="26"/>
      <c r="W325" s="26"/>
    </row>
    <row r="326" spans="22:23" x14ac:dyDescent="0.2">
      <c r="V326" s="26"/>
      <c r="W326" s="26"/>
    </row>
    <row r="327" spans="22:23" x14ac:dyDescent="0.2">
      <c r="V327" s="26"/>
      <c r="W327" s="26"/>
    </row>
    <row r="328" spans="22:23" x14ac:dyDescent="0.2">
      <c r="V328" s="26"/>
      <c r="W328" s="26"/>
    </row>
    <row r="329" spans="22:23" x14ac:dyDescent="0.2">
      <c r="V329" s="26"/>
      <c r="W329" s="26"/>
    </row>
    <row r="330" spans="22:23" x14ac:dyDescent="0.2">
      <c r="V330" s="26"/>
      <c r="W330" s="26"/>
    </row>
    <row r="331" spans="22:23" x14ac:dyDescent="0.2">
      <c r="V331" s="26"/>
      <c r="W331" s="26"/>
    </row>
    <row r="332" spans="22:23" x14ac:dyDescent="0.2">
      <c r="V332" s="26"/>
      <c r="W332" s="26"/>
    </row>
    <row r="333" spans="22:23" x14ac:dyDescent="0.2">
      <c r="V333" s="26"/>
      <c r="W333" s="26"/>
    </row>
    <row r="334" spans="22:23" x14ac:dyDescent="0.2">
      <c r="V334" s="26"/>
      <c r="W334" s="26"/>
    </row>
    <row r="335" spans="22:23" x14ac:dyDescent="0.2">
      <c r="V335" s="26"/>
      <c r="W335" s="26"/>
    </row>
    <row r="336" spans="22:23" x14ac:dyDescent="0.2">
      <c r="V336" s="26"/>
      <c r="W336" s="26"/>
    </row>
    <row r="337" spans="22:23" x14ac:dyDescent="0.2">
      <c r="V337" s="26"/>
      <c r="W337" s="26"/>
    </row>
    <row r="338" spans="22:23" x14ac:dyDescent="0.2">
      <c r="V338" s="26"/>
      <c r="W338" s="26"/>
    </row>
    <row r="339" spans="22:23" x14ac:dyDescent="0.2">
      <c r="V339" s="26"/>
      <c r="W339" s="26"/>
    </row>
    <row r="340" spans="22:23" x14ac:dyDescent="0.2">
      <c r="V340" s="26"/>
      <c r="W340" s="26"/>
    </row>
    <row r="341" spans="22:23" x14ac:dyDescent="0.2">
      <c r="V341" s="26"/>
      <c r="W341" s="26"/>
    </row>
    <row r="342" spans="22:23" x14ac:dyDescent="0.2">
      <c r="V342" s="26"/>
      <c r="W342" s="26"/>
    </row>
    <row r="343" spans="22:23" x14ac:dyDescent="0.2">
      <c r="V343" s="26"/>
      <c r="W343" s="26"/>
    </row>
    <row r="344" spans="22:23" x14ac:dyDescent="0.2">
      <c r="V344" s="26"/>
      <c r="W344" s="26"/>
    </row>
    <row r="345" spans="22:23" x14ac:dyDescent="0.2">
      <c r="V345" s="26"/>
      <c r="W345" s="26"/>
    </row>
    <row r="346" spans="22:23" x14ac:dyDescent="0.2">
      <c r="V346" s="26"/>
      <c r="W346" s="26"/>
    </row>
    <row r="347" spans="22:23" x14ac:dyDescent="0.2">
      <c r="V347" s="26"/>
      <c r="W347" s="26"/>
    </row>
    <row r="348" spans="22:23" x14ac:dyDescent="0.2">
      <c r="V348" s="26"/>
      <c r="W348" s="26"/>
    </row>
    <row r="349" spans="22:23" x14ac:dyDescent="0.2">
      <c r="V349" s="26"/>
      <c r="W349" s="26"/>
    </row>
    <row r="350" spans="22:23" x14ac:dyDescent="0.2">
      <c r="V350" s="26"/>
      <c r="W350" s="26"/>
    </row>
    <row r="351" spans="22:23" x14ac:dyDescent="0.2">
      <c r="V351" s="26"/>
      <c r="W351" s="26"/>
    </row>
    <row r="352" spans="22:23" x14ac:dyDescent="0.2">
      <c r="V352" s="26"/>
      <c r="W352" s="26"/>
    </row>
    <row r="353" spans="22:23" x14ac:dyDescent="0.2">
      <c r="V353" s="26"/>
      <c r="W353" s="26"/>
    </row>
    <row r="354" spans="22:23" x14ac:dyDescent="0.2">
      <c r="V354" s="26"/>
      <c r="W354" s="26"/>
    </row>
    <row r="355" spans="22:23" x14ac:dyDescent="0.2">
      <c r="V355" s="26"/>
      <c r="W355" s="26"/>
    </row>
    <row r="356" spans="22:23" x14ac:dyDescent="0.2">
      <c r="V356" s="26"/>
      <c r="W356" s="26"/>
    </row>
    <row r="357" spans="22:23" x14ac:dyDescent="0.2">
      <c r="V357" s="26"/>
      <c r="W357" s="26"/>
    </row>
    <row r="358" spans="22:23" x14ac:dyDescent="0.2">
      <c r="V358" s="26"/>
      <c r="W358" s="26"/>
    </row>
    <row r="359" spans="22:23" x14ac:dyDescent="0.2">
      <c r="V359" s="26"/>
      <c r="W359" s="26"/>
    </row>
    <row r="360" spans="22:23" x14ac:dyDescent="0.2">
      <c r="V360" s="26"/>
      <c r="W360" s="26"/>
    </row>
    <row r="361" spans="22:23" x14ac:dyDescent="0.2">
      <c r="V361" s="26"/>
      <c r="W361" s="26"/>
    </row>
    <row r="362" spans="22:23" x14ac:dyDescent="0.2">
      <c r="V362" s="26"/>
      <c r="W362" s="26"/>
    </row>
    <row r="363" spans="22:23" x14ac:dyDescent="0.2">
      <c r="V363" s="26"/>
      <c r="W363" s="26"/>
    </row>
    <row r="364" spans="22:23" x14ac:dyDescent="0.2">
      <c r="V364" s="26"/>
      <c r="W364" s="26"/>
    </row>
    <row r="365" spans="22:23" x14ac:dyDescent="0.2">
      <c r="V365" s="26"/>
      <c r="W365" s="26"/>
    </row>
    <row r="366" spans="22:23" x14ac:dyDescent="0.2">
      <c r="V366" s="26"/>
      <c r="W366" s="26"/>
    </row>
    <row r="367" spans="22:23" x14ac:dyDescent="0.2">
      <c r="V367" s="26"/>
      <c r="W367" s="26"/>
    </row>
    <row r="368" spans="22:23" x14ac:dyDescent="0.2">
      <c r="V368" s="26"/>
      <c r="W368" s="26"/>
    </row>
    <row r="369" spans="22:23" x14ac:dyDescent="0.2">
      <c r="V369" s="26"/>
      <c r="W369" s="26"/>
    </row>
    <row r="370" spans="22:23" x14ac:dyDescent="0.2">
      <c r="V370" s="26"/>
      <c r="W370" s="26"/>
    </row>
    <row r="371" spans="22:23" x14ac:dyDescent="0.2">
      <c r="V371" s="26"/>
      <c r="W371" s="26"/>
    </row>
    <row r="372" spans="22:23" x14ac:dyDescent="0.2">
      <c r="V372" s="26"/>
      <c r="W372" s="26"/>
    </row>
    <row r="373" spans="22:23" x14ac:dyDescent="0.2">
      <c r="V373" s="26"/>
      <c r="W373" s="26"/>
    </row>
    <row r="374" spans="22:23" x14ac:dyDescent="0.2">
      <c r="V374" s="26"/>
      <c r="W374" s="26"/>
    </row>
    <row r="375" spans="22:23" x14ac:dyDescent="0.2">
      <c r="V375" s="26"/>
      <c r="W375" s="26"/>
    </row>
    <row r="376" spans="22:23" x14ac:dyDescent="0.2">
      <c r="V376" s="26"/>
      <c r="W376" s="26"/>
    </row>
    <row r="377" spans="22:23" x14ac:dyDescent="0.2">
      <c r="V377" s="26"/>
      <c r="W377" s="26"/>
    </row>
    <row r="378" spans="22:23" x14ac:dyDescent="0.2">
      <c r="V378" s="26"/>
      <c r="W378" s="26"/>
    </row>
    <row r="379" spans="22:23" x14ac:dyDescent="0.2">
      <c r="V379" s="26"/>
      <c r="W379" s="26"/>
    </row>
    <row r="380" spans="22:23" x14ac:dyDescent="0.2">
      <c r="V380" s="26"/>
      <c r="W380" s="26"/>
    </row>
    <row r="381" spans="22:23" x14ac:dyDescent="0.2">
      <c r="V381" s="26"/>
      <c r="W381" s="26"/>
    </row>
    <row r="382" spans="22:23" x14ac:dyDescent="0.2">
      <c r="V382" s="26"/>
      <c r="W382" s="26"/>
    </row>
    <row r="383" spans="22:23" x14ac:dyDescent="0.2">
      <c r="V383" s="26"/>
      <c r="W383" s="26"/>
    </row>
    <row r="384" spans="22:23" x14ac:dyDescent="0.2">
      <c r="V384" s="26"/>
      <c r="W384" s="26"/>
    </row>
    <row r="385" spans="22:23" x14ac:dyDescent="0.2">
      <c r="V385" s="26"/>
      <c r="W385" s="26"/>
    </row>
    <row r="386" spans="22:23" x14ac:dyDescent="0.2">
      <c r="V386" s="26"/>
      <c r="W386" s="26"/>
    </row>
    <row r="387" spans="22:23" x14ac:dyDescent="0.2">
      <c r="V387" s="26"/>
      <c r="W387" s="26"/>
    </row>
    <row r="388" spans="22:23" x14ac:dyDescent="0.2">
      <c r="V388" s="26"/>
      <c r="W388" s="26"/>
    </row>
    <row r="389" spans="22:23" x14ac:dyDescent="0.2">
      <c r="V389" s="26"/>
      <c r="W389" s="26"/>
    </row>
    <row r="390" spans="22:23" x14ac:dyDescent="0.2">
      <c r="V390" s="26"/>
      <c r="W390" s="26"/>
    </row>
    <row r="391" spans="22:23" x14ac:dyDescent="0.2">
      <c r="V391" s="26"/>
      <c r="W391" s="26"/>
    </row>
    <row r="392" spans="22:23" x14ac:dyDescent="0.2">
      <c r="V392" s="26"/>
      <c r="W392" s="26"/>
    </row>
    <row r="393" spans="22:23" x14ac:dyDescent="0.2">
      <c r="V393" s="26"/>
      <c r="W393" s="26"/>
    </row>
    <row r="394" spans="22:23" x14ac:dyDescent="0.2">
      <c r="V394" s="26"/>
      <c r="W394" s="26"/>
    </row>
    <row r="395" spans="22:23" x14ac:dyDescent="0.2">
      <c r="V395" s="26"/>
      <c r="W395" s="26"/>
    </row>
    <row r="396" spans="22:23" x14ac:dyDescent="0.2">
      <c r="V396" s="26"/>
      <c r="W396" s="26"/>
    </row>
    <row r="397" spans="22:23" x14ac:dyDescent="0.2">
      <c r="V397" s="26"/>
      <c r="W397" s="26"/>
    </row>
    <row r="398" spans="22:23" x14ac:dyDescent="0.2">
      <c r="V398" s="26"/>
      <c r="W398" s="26"/>
    </row>
    <row r="399" spans="22:23" x14ac:dyDescent="0.2">
      <c r="V399" s="26"/>
      <c r="W399" s="26"/>
    </row>
    <row r="400" spans="22:23" x14ac:dyDescent="0.2">
      <c r="V400" s="26"/>
      <c r="W400" s="26"/>
    </row>
    <row r="401" spans="22:23" x14ac:dyDescent="0.2">
      <c r="V401" s="26"/>
      <c r="W401" s="26"/>
    </row>
    <row r="402" spans="22:23" x14ac:dyDescent="0.2">
      <c r="V402" s="26"/>
      <c r="W402" s="26"/>
    </row>
    <row r="403" spans="22:23" x14ac:dyDescent="0.2">
      <c r="V403" s="26"/>
      <c r="W403" s="26"/>
    </row>
    <row r="404" spans="22:23" x14ac:dyDescent="0.2">
      <c r="V404" s="26"/>
      <c r="W404" s="26"/>
    </row>
    <row r="405" spans="22:23" x14ac:dyDescent="0.2">
      <c r="V405" s="26"/>
      <c r="W405" s="26"/>
    </row>
    <row r="406" spans="22:23" x14ac:dyDescent="0.2">
      <c r="V406" s="26"/>
      <c r="W406" s="26"/>
    </row>
    <row r="407" spans="22:23" x14ac:dyDescent="0.2">
      <c r="V407" s="26"/>
      <c r="W407" s="26"/>
    </row>
    <row r="408" spans="22:23" x14ac:dyDescent="0.2">
      <c r="V408" s="26"/>
      <c r="W408" s="26"/>
    </row>
    <row r="409" spans="22:23" x14ac:dyDescent="0.2">
      <c r="V409" s="26"/>
      <c r="W409" s="26"/>
    </row>
    <row r="410" spans="22:23" x14ac:dyDescent="0.2">
      <c r="V410" s="26"/>
      <c r="W410" s="26"/>
    </row>
    <row r="411" spans="22:23" x14ac:dyDescent="0.2">
      <c r="V411" s="26"/>
      <c r="W411" s="26"/>
    </row>
    <row r="412" spans="22:23" x14ac:dyDescent="0.2">
      <c r="V412" s="26"/>
      <c r="W412" s="26"/>
    </row>
    <row r="413" spans="22:23" x14ac:dyDescent="0.2">
      <c r="V413" s="26"/>
      <c r="W413" s="26"/>
    </row>
    <row r="414" spans="22:23" x14ac:dyDescent="0.2">
      <c r="V414" s="26"/>
      <c r="W414" s="26"/>
    </row>
    <row r="415" spans="22:23" x14ac:dyDescent="0.2">
      <c r="V415" s="26"/>
      <c r="W415" s="26"/>
    </row>
    <row r="416" spans="22:23" x14ac:dyDescent="0.2">
      <c r="V416" s="26"/>
      <c r="W416" s="26"/>
    </row>
    <row r="417" spans="22:23" x14ac:dyDescent="0.2">
      <c r="V417" s="26"/>
      <c r="W417" s="26"/>
    </row>
    <row r="418" spans="22:23" x14ac:dyDescent="0.2">
      <c r="V418" s="26"/>
      <c r="W418" s="26"/>
    </row>
    <row r="419" spans="22:23" x14ac:dyDescent="0.2">
      <c r="V419" s="26"/>
      <c r="W419" s="26"/>
    </row>
    <row r="420" spans="22:23" x14ac:dyDescent="0.2">
      <c r="V420" s="26"/>
      <c r="W420" s="26"/>
    </row>
    <row r="421" spans="22:23" x14ac:dyDescent="0.2">
      <c r="V421" s="26"/>
      <c r="W421" s="26"/>
    </row>
    <row r="422" spans="22:23" x14ac:dyDescent="0.2">
      <c r="V422" s="26"/>
      <c r="W422" s="26"/>
    </row>
    <row r="423" spans="22:23" x14ac:dyDescent="0.2">
      <c r="V423" s="26"/>
      <c r="W423" s="26"/>
    </row>
    <row r="424" spans="22:23" x14ac:dyDescent="0.2">
      <c r="V424" s="26"/>
      <c r="W424" s="26"/>
    </row>
    <row r="425" spans="22:23" x14ac:dyDescent="0.2">
      <c r="V425" s="26"/>
      <c r="W425" s="26"/>
    </row>
    <row r="426" spans="22:23" x14ac:dyDescent="0.2">
      <c r="V426" s="26"/>
      <c r="W426" s="26"/>
    </row>
    <row r="427" spans="22:23" x14ac:dyDescent="0.2">
      <c r="V427" s="26"/>
      <c r="W427" s="26"/>
    </row>
    <row r="428" spans="22:23" x14ac:dyDescent="0.2">
      <c r="V428" s="26"/>
      <c r="W428" s="26"/>
    </row>
    <row r="429" spans="22:23" x14ac:dyDescent="0.2">
      <c r="V429" s="26"/>
      <c r="W429" s="26"/>
    </row>
    <row r="430" spans="22:23" x14ac:dyDescent="0.2">
      <c r="V430" s="26"/>
      <c r="W430" s="26"/>
    </row>
    <row r="431" spans="22:23" x14ac:dyDescent="0.2">
      <c r="V431" s="26"/>
      <c r="W431" s="26"/>
    </row>
    <row r="432" spans="22:23" x14ac:dyDescent="0.2">
      <c r="V432" s="26"/>
      <c r="W432" s="26"/>
    </row>
    <row r="433" spans="22:23" x14ac:dyDescent="0.2">
      <c r="V433" s="26"/>
      <c r="W433" s="26"/>
    </row>
    <row r="434" spans="22:23" x14ac:dyDescent="0.2">
      <c r="V434" s="26"/>
      <c r="W434" s="26"/>
    </row>
    <row r="435" spans="22:23" x14ac:dyDescent="0.2">
      <c r="V435" s="26"/>
      <c r="W435" s="26"/>
    </row>
    <row r="436" spans="22:23" x14ac:dyDescent="0.2">
      <c r="V436" s="26"/>
      <c r="W436" s="26"/>
    </row>
    <row r="437" spans="22:23" x14ac:dyDescent="0.2">
      <c r="V437" s="26"/>
      <c r="W437" s="26"/>
    </row>
    <row r="438" spans="22:23" x14ac:dyDescent="0.2">
      <c r="V438" s="26"/>
      <c r="W438" s="26"/>
    </row>
    <row r="439" spans="22:23" x14ac:dyDescent="0.2">
      <c r="V439" s="26"/>
      <c r="W439" s="26"/>
    </row>
    <row r="440" spans="22:23" x14ac:dyDescent="0.2">
      <c r="V440" s="26"/>
      <c r="W440" s="26"/>
    </row>
    <row r="441" spans="22:23" x14ac:dyDescent="0.2">
      <c r="V441" s="26"/>
      <c r="W441" s="26"/>
    </row>
    <row r="442" spans="22:23" x14ac:dyDescent="0.2">
      <c r="V442" s="26"/>
      <c r="W442" s="26"/>
    </row>
    <row r="443" spans="22:23" x14ac:dyDescent="0.2">
      <c r="V443" s="26"/>
      <c r="W443" s="26"/>
    </row>
    <row r="444" spans="22:23" x14ac:dyDescent="0.2">
      <c r="V444" s="26"/>
      <c r="W444" s="26"/>
    </row>
    <row r="445" spans="22:23" x14ac:dyDescent="0.2">
      <c r="V445" s="26"/>
      <c r="W445" s="26"/>
    </row>
    <row r="446" spans="22:23" x14ac:dyDescent="0.2">
      <c r="V446" s="26"/>
      <c r="W446" s="26"/>
    </row>
    <row r="447" spans="22:23" x14ac:dyDescent="0.2">
      <c r="V447" s="26"/>
      <c r="W447" s="26"/>
    </row>
    <row r="448" spans="22:23" x14ac:dyDescent="0.2">
      <c r="V448" s="26"/>
      <c r="W448" s="26"/>
    </row>
    <row r="449" spans="22:23" x14ac:dyDescent="0.2">
      <c r="V449" s="26"/>
      <c r="W449" s="26"/>
    </row>
    <row r="450" spans="22:23" x14ac:dyDescent="0.2">
      <c r="V450" s="26"/>
      <c r="W450" s="26"/>
    </row>
    <row r="451" spans="22:23" x14ac:dyDescent="0.2">
      <c r="V451" s="26"/>
      <c r="W451" s="26"/>
    </row>
    <row r="452" spans="22:23" x14ac:dyDescent="0.2">
      <c r="V452" s="26"/>
      <c r="W452" s="26"/>
    </row>
    <row r="453" spans="22:23" x14ac:dyDescent="0.2">
      <c r="V453" s="26"/>
      <c r="W453" s="26"/>
    </row>
    <row r="454" spans="22:23" x14ac:dyDescent="0.2">
      <c r="V454" s="26"/>
      <c r="W454" s="26"/>
    </row>
    <row r="455" spans="22:23" x14ac:dyDescent="0.2">
      <c r="V455" s="26"/>
      <c r="W455" s="26"/>
    </row>
    <row r="456" spans="22:23" x14ac:dyDescent="0.2">
      <c r="V456" s="26"/>
      <c r="W456" s="26"/>
    </row>
    <row r="457" spans="22:23" x14ac:dyDescent="0.2">
      <c r="V457" s="26"/>
      <c r="W457" s="26"/>
    </row>
    <row r="458" spans="22:23" x14ac:dyDescent="0.2">
      <c r="V458" s="26"/>
      <c r="W458" s="26"/>
    </row>
    <row r="459" spans="22:23" x14ac:dyDescent="0.2">
      <c r="V459" s="26"/>
      <c r="W459" s="26"/>
    </row>
    <row r="460" spans="22:23" x14ac:dyDescent="0.2">
      <c r="V460" s="26"/>
      <c r="W460" s="26"/>
    </row>
    <row r="461" spans="22:23" x14ac:dyDescent="0.2">
      <c r="V461" s="26"/>
      <c r="W461" s="26"/>
    </row>
    <row r="462" spans="22:23" x14ac:dyDescent="0.2">
      <c r="V462" s="26"/>
      <c r="W462" s="26"/>
    </row>
    <row r="463" spans="22:23" x14ac:dyDescent="0.2">
      <c r="V463" s="26"/>
      <c r="W463" s="26"/>
    </row>
    <row r="464" spans="22:23" x14ac:dyDescent="0.2">
      <c r="V464" s="26"/>
      <c r="W464" s="26"/>
    </row>
    <row r="465" spans="22:23" x14ac:dyDescent="0.2">
      <c r="V465" s="26"/>
      <c r="W465" s="26"/>
    </row>
    <row r="466" spans="22:23" x14ac:dyDescent="0.2">
      <c r="V466" s="26"/>
      <c r="W466" s="26"/>
    </row>
    <row r="467" spans="22:23" x14ac:dyDescent="0.2">
      <c r="V467" s="26"/>
      <c r="W467" s="26"/>
    </row>
    <row r="468" spans="22:23" x14ac:dyDescent="0.2">
      <c r="V468" s="26"/>
      <c r="W468" s="26"/>
    </row>
    <row r="469" spans="22:23" x14ac:dyDescent="0.2">
      <c r="V469" s="26"/>
      <c r="W469" s="26"/>
    </row>
    <row r="470" spans="22:23" x14ac:dyDescent="0.2">
      <c r="V470" s="26"/>
      <c r="W470" s="26"/>
    </row>
    <row r="471" spans="22:23" x14ac:dyDescent="0.2">
      <c r="V471" s="26"/>
      <c r="W471" s="26"/>
    </row>
    <row r="472" spans="22:23" x14ac:dyDescent="0.2">
      <c r="V472" s="26"/>
      <c r="W472" s="26"/>
    </row>
    <row r="473" spans="22:23" x14ac:dyDescent="0.2">
      <c r="V473" s="26"/>
      <c r="W473" s="26"/>
    </row>
    <row r="474" spans="22:23" x14ac:dyDescent="0.2">
      <c r="V474" s="26"/>
      <c r="W474" s="26"/>
    </row>
    <row r="475" spans="22:23" x14ac:dyDescent="0.2">
      <c r="V475" s="26"/>
      <c r="W475" s="26"/>
    </row>
    <row r="476" spans="22:23" x14ac:dyDescent="0.2">
      <c r="V476" s="26"/>
      <c r="W476" s="26"/>
    </row>
    <row r="477" spans="22:23" x14ac:dyDescent="0.2">
      <c r="V477" s="26"/>
      <c r="W477" s="26"/>
    </row>
    <row r="478" spans="22:23" x14ac:dyDescent="0.2">
      <c r="V478" s="26"/>
      <c r="W478" s="26"/>
    </row>
    <row r="479" spans="22:23" x14ac:dyDescent="0.2">
      <c r="V479" s="26"/>
      <c r="W479" s="26"/>
    </row>
    <row r="480" spans="22:23" x14ac:dyDescent="0.2">
      <c r="V480" s="26"/>
      <c r="W480" s="26"/>
    </row>
    <row r="481" spans="22:23" x14ac:dyDescent="0.2">
      <c r="V481" s="26"/>
      <c r="W481" s="26"/>
    </row>
    <row r="482" spans="22:23" x14ac:dyDescent="0.2">
      <c r="V482" s="26"/>
      <c r="W482" s="26"/>
    </row>
    <row r="483" spans="22:23" x14ac:dyDescent="0.2">
      <c r="V483" s="26"/>
      <c r="W483" s="26"/>
    </row>
    <row r="484" spans="22:23" x14ac:dyDescent="0.2">
      <c r="V484" s="26"/>
      <c r="W484" s="26"/>
    </row>
    <row r="485" spans="22:23" x14ac:dyDescent="0.2">
      <c r="V485" s="26"/>
      <c r="W485" s="26"/>
    </row>
    <row r="486" spans="22:23" x14ac:dyDescent="0.2">
      <c r="V486" s="26"/>
      <c r="W486" s="26"/>
    </row>
    <row r="487" spans="22:23" x14ac:dyDescent="0.2">
      <c r="V487" s="26"/>
      <c r="W487" s="26"/>
    </row>
    <row r="488" spans="22:23" x14ac:dyDescent="0.2">
      <c r="V488" s="26"/>
      <c r="W488" s="26"/>
    </row>
    <row r="489" spans="22:23" x14ac:dyDescent="0.2">
      <c r="V489" s="26"/>
      <c r="W489" s="26"/>
    </row>
    <row r="490" spans="22:23" x14ac:dyDescent="0.2">
      <c r="V490" s="26"/>
      <c r="W490" s="26"/>
    </row>
    <row r="491" spans="22:23" x14ac:dyDescent="0.2">
      <c r="V491" s="26"/>
      <c r="W491" s="26"/>
    </row>
    <row r="492" spans="22:23" x14ac:dyDescent="0.2">
      <c r="V492" s="26"/>
      <c r="W492" s="26"/>
    </row>
    <row r="493" spans="22:23" x14ac:dyDescent="0.2">
      <c r="V493" s="26"/>
      <c r="W493" s="26"/>
    </row>
    <row r="494" spans="22:23" x14ac:dyDescent="0.2">
      <c r="V494" s="26"/>
      <c r="W494" s="26"/>
    </row>
    <row r="495" spans="22:23" x14ac:dyDescent="0.2">
      <c r="V495" s="26"/>
      <c r="W495" s="26"/>
    </row>
    <row r="496" spans="22:23" x14ac:dyDescent="0.2">
      <c r="V496" s="26"/>
      <c r="W496" s="26"/>
    </row>
    <row r="497" spans="22:23" x14ac:dyDescent="0.2">
      <c r="V497" s="26"/>
      <c r="W497" s="26"/>
    </row>
    <row r="498" spans="22:23" x14ac:dyDescent="0.2">
      <c r="V498" s="26"/>
      <c r="W498" s="26"/>
    </row>
    <row r="499" spans="22:23" x14ac:dyDescent="0.2">
      <c r="V499" s="26"/>
      <c r="W499" s="26"/>
    </row>
    <row r="500" spans="22:23" x14ac:dyDescent="0.2">
      <c r="V500" s="26"/>
      <c r="W500" s="26"/>
    </row>
    <row r="501" spans="22:23" x14ac:dyDescent="0.2">
      <c r="V501" s="26"/>
      <c r="W501" s="26"/>
    </row>
    <row r="502" spans="22:23" x14ac:dyDescent="0.2">
      <c r="V502" s="26"/>
      <c r="W502" s="26"/>
    </row>
    <row r="503" spans="22:23" x14ac:dyDescent="0.2">
      <c r="V503" s="26"/>
      <c r="W503" s="26"/>
    </row>
    <row r="504" spans="22:23" x14ac:dyDescent="0.2">
      <c r="V504" s="26"/>
      <c r="W504" s="26"/>
    </row>
    <row r="505" spans="22:23" x14ac:dyDescent="0.2">
      <c r="V505" s="26"/>
      <c r="W505" s="26"/>
    </row>
    <row r="506" spans="22:23" x14ac:dyDescent="0.2">
      <c r="V506" s="26"/>
      <c r="W506" s="26"/>
    </row>
    <row r="507" spans="22:23" x14ac:dyDescent="0.2">
      <c r="V507" s="26"/>
      <c r="W507" s="26"/>
    </row>
    <row r="508" spans="22:23" x14ac:dyDescent="0.2">
      <c r="V508" s="26"/>
      <c r="W508" s="26"/>
    </row>
    <row r="509" spans="22:23" x14ac:dyDescent="0.2">
      <c r="V509" s="26"/>
      <c r="W509" s="26"/>
    </row>
    <row r="510" spans="22:23" x14ac:dyDescent="0.2">
      <c r="V510" s="26"/>
      <c r="W510" s="26"/>
    </row>
    <row r="511" spans="22:23" x14ac:dyDescent="0.2">
      <c r="V511" s="26"/>
      <c r="W511" s="26"/>
    </row>
    <row r="512" spans="22:23" x14ac:dyDescent="0.2">
      <c r="V512" s="26"/>
      <c r="W512" s="26"/>
    </row>
    <row r="513" spans="22:23" x14ac:dyDescent="0.2">
      <c r="V513" s="26"/>
      <c r="W513" s="26"/>
    </row>
    <row r="514" spans="22:23" x14ac:dyDescent="0.2">
      <c r="V514" s="26"/>
      <c r="W514" s="26"/>
    </row>
    <row r="515" spans="22:23" x14ac:dyDescent="0.2">
      <c r="V515" s="26"/>
      <c r="W515" s="26"/>
    </row>
    <row r="516" spans="22:23" x14ac:dyDescent="0.2">
      <c r="V516" s="26"/>
      <c r="W516" s="26"/>
    </row>
    <row r="517" spans="22:23" x14ac:dyDescent="0.2">
      <c r="V517" s="26"/>
      <c r="W517" s="26"/>
    </row>
    <row r="518" spans="22:23" x14ac:dyDescent="0.2">
      <c r="V518" s="26"/>
      <c r="W518" s="26"/>
    </row>
    <row r="519" spans="22:23" x14ac:dyDescent="0.2">
      <c r="V519" s="26"/>
      <c r="W519" s="26"/>
    </row>
    <row r="520" spans="22:23" x14ac:dyDescent="0.2">
      <c r="V520" s="26"/>
      <c r="W520" s="26"/>
    </row>
    <row r="521" spans="22:23" x14ac:dyDescent="0.2">
      <c r="V521" s="26"/>
      <c r="W521" s="26"/>
    </row>
    <row r="522" spans="22:23" x14ac:dyDescent="0.2">
      <c r="V522" s="26"/>
      <c r="W522" s="26"/>
    </row>
    <row r="523" spans="22:23" x14ac:dyDescent="0.2">
      <c r="V523" s="26"/>
      <c r="W523" s="26"/>
    </row>
    <row r="524" spans="22:23" x14ac:dyDescent="0.2">
      <c r="V524" s="26"/>
      <c r="W524" s="26"/>
    </row>
    <row r="525" spans="22:23" x14ac:dyDescent="0.2">
      <c r="V525" s="26"/>
      <c r="W525" s="26"/>
    </row>
    <row r="526" spans="22:23" x14ac:dyDescent="0.2">
      <c r="V526" s="26"/>
      <c r="W526" s="26"/>
    </row>
    <row r="527" spans="22:23" x14ac:dyDescent="0.2">
      <c r="V527" s="26"/>
      <c r="W527" s="26"/>
    </row>
    <row r="528" spans="22:23" x14ac:dyDescent="0.2">
      <c r="V528" s="26"/>
      <c r="W528" s="26"/>
    </row>
    <row r="529" spans="22:23" x14ac:dyDescent="0.2">
      <c r="V529" s="26"/>
      <c r="W529" s="26"/>
    </row>
    <row r="530" spans="22:23" x14ac:dyDescent="0.2">
      <c r="V530" s="26"/>
      <c r="W530" s="26"/>
    </row>
    <row r="531" spans="22:23" x14ac:dyDescent="0.2">
      <c r="V531" s="26"/>
      <c r="W531" s="26"/>
    </row>
    <row r="532" spans="22:23" x14ac:dyDescent="0.2">
      <c r="V532" s="26"/>
      <c r="W532" s="26"/>
    </row>
    <row r="533" spans="22:23" x14ac:dyDescent="0.2">
      <c r="V533" s="26"/>
      <c r="W533" s="26"/>
    </row>
    <row r="534" spans="22:23" x14ac:dyDescent="0.2">
      <c r="V534" s="26"/>
      <c r="W534" s="26"/>
    </row>
    <row r="535" spans="22:23" x14ac:dyDescent="0.2">
      <c r="V535" s="26"/>
      <c r="W535" s="26"/>
    </row>
    <row r="536" spans="22:23" x14ac:dyDescent="0.2">
      <c r="V536" s="26"/>
      <c r="W536" s="26"/>
    </row>
    <row r="537" spans="22:23" x14ac:dyDescent="0.2">
      <c r="V537" s="26"/>
      <c r="W537" s="26"/>
    </row>
    <row r="538" spans="22:23" x14ac:dyDescent="0.2">
      <c r="V538" s="26"/>
      <c r="W538" s="26"/>
    </row>
    <row r="539" spans="22:23" x14ac:dyDescent="0.2">
      <c r="V539" s="26"/>
      <c r="W539" s="26"/>
    </row>
    <row r="540" spans="22:23" x14ac:dyDescent="0.2">
      <c r="V540" s="26"/>
      <c r="W540" s="26"/>
    </row>
    <row r="541" spans="22:23" x14ac:dyDescent="0.2">
      <c r="V541" s="26"/>
      <c r="W541" s="26"/>
    </row>
    <row r="542" spans="22:23" x14ac:dyDescent="0.2">
      <c r="V542" s="26"/>
      <c r="W542" s="26"/>
    </row>
    <row r="543" spans="22:23" x14ac:dyDescent="0.2">
      <c r="V543" s="26"/>
      <c r="W543" s="26"/>
    </row>
    <row r="544" spans="22:23" x14ac:dyDescent="0.2">
      <c r="V544" s="26"/>
      <c r="W544" s="26"/>
    </row>
    <row r="545" spans="22:23" x14ac:dyDescent="0.2">
      <c r="V545" s="26"/>
      <c r="W545" s="26"/>
    </row>
    <row r="546" spans="22:23" x14ac:dyDescent="0.2">
      <c r="V546" s="26"/>
      <c r="W546" s="26"/>
    </row>
    <row r="547" spans="22:23" x14ac:dyDescent="0.2">
      <c r="V547" s="26"/>
      <c r="W547" s="26"/>
    </row>
    <row r="548" spans="22:23" x14ac:dyDescent="0.2">
      <c r="V548" s="26"/>
      <c r="W548" s="26"/>
    </row>
    <row r="549" spans="22:23" x14ac:dyDescent="0.2">
      <c r="V549" s="26"/>
      <c r="W549" s="26"/>
    </row>
    <row r="550" spans="22:23" x14ac:dyDescent="0.2">
      <c r="V550" s="26"/>
      <c r="W550" s="26"/>
    </row>
    <row r="551" spans="22:23" x14ac:dyDescent="0.2">
      <c r="V551" s="26"/>
      <c r="W551" s="26"/>
    </row>
    <row r="552" spans="22:23" x14ac:dyDescent="0.2">
      <c r="V552" s="26"/>
      <c r="W552" s="26"/>
    </row>
    <row r="553" spans="22:23" x14ac:dyDescent="0.2">
      <c r="V553" s="26"/>
      <c r="W553" s="26"/>
    </row>
    <row r="554" spans="22:23" x14ac:dyDescent="0.2">
      <c r="V554" s="26"/>
      <c r="W554" s="26"/>
    </row>
    <row r="555" spans="22:23" x14ac:dyDescent="0.2">
      <c r="V555" s="26"/>
      <c r="W555" s="26"/>
    </row>
    <row r="556" spans="22:23" x14ac:dyDescent="0.2">
      <c r="V556" s="26"/>
      <c r="W556" s="26"/>
    </row>
    <row r="557" spans="22:23" x14ac:dyDescent="0.2">
      <c r="V557" s="26"/>
      <c r="W557" s="26"/>
    </row>
    <row r="558" spans="22:23" x14ac:dyDescent="0.2">
      <c r="V558" s="26"/>
      <c r="W558" s="26"/>
    </row>
    <row r="559" spans="22:23" x14ac:dyDescent="0.2">
      <c r="V559" s="26"/>
      <c r="W559" s="26"/>
    </row>
    <row r="560" spans="22:23" x14ac:dyDescent="0.2">
      <c r="V560" s="26"/>
      <c r="W560" s="26"/>
    </row>
    <row r="561" spans="22:23" x14ac:dyDescent="0.2">
      <c r="V561" s="26"/>
      <c r="W561" s="26"/>
    </row>
    <row r="562" spans="22:23" x14ac:dyDescent="0.2">
      <c r="V562" s="26"/>
      <c r="W562" s="26"/>
    </row>
    <row r="563" spans="22:23" x14ac:dyDescent="0.2">
      <c r="V563" s="26"/>
      <c r="W563" s="26"/>
    </row>
    <row r="564" spans="22:23" x14ac:dyDescent="0.2">
      <c r="V564" s="26"/>
      <c r="W564" s="26"/>
    </row>
    <row r="565" spans="22:23" x14ac:dyDescent="0.2">
      <c r="V565" s="26"/>
      <c r="W565" s="26"/>
    </row>
    <row r="566" spans="22:23" x14ac:dyDescent="0.2">
      <c r="V566" s="26"/>
      <c r="W566" s="26"/>
    </row>
    <row r="567" spans="22:23" x14ac:dyDescent="0.2">
      <c r="V567" s="26"/>
      <c r="W567" s="26"/>
    </row>
    <row r="568" spans="22:23" x14ac:dyDescent="0.2">
      <c r="V568" s="26"/>
      <c r="W568" s="26"/>
    </row>
    <row r="569" spans="22:23" x14ac:dyDescent="0.2">
      <c r="V569" s="26"/>
      <c r="W569" s="26"/>
    </row>
    <row r="570" spans="22:23" x14ac:dyDescent="0.2">
      <c r="V570" s="26"/>
      <c r="W570" s="26"/>
    </row>
    <row r="571" spans="22:23" x14ac:dyDescent="0.2">
      <c r="V571" s="26"/>
      <c r="W571" s="26"/>
    </row>
    <row r="572" spans="22:23" x14ac:dyDescent="0.2">
      <c r="V572" s="26"/>
      <c r="W572" s="26"/>
    </row>
    <row r="573" spans="22:23" x14ac:dyDescent="0.2">
      <c r="V573" s="26"/>
      <c r="W573" s="26"/>
    </row>
    <row r="574" spans="22:23" x14ac:dyDescent="0.2">
      <c r="V574" s="26"/>
      <c r="W574" s="26"/>
    </row>
    <row r="575" spans="22:23" x14ac:dyDescent="0.2">
      <c r="V575" s="26"/>
      <c r="W575" s="26"/>
    </row>
    <row r="576" spans="22:23" x14ac:dyDescent="0.2">
      <c r="V576" s="26"/>
      <c r="W576" s="26"/>
    </row>
    <row r="577" spans="22:23" x14ac:dyDescent="0.2">
      <c r="V577" s="26"/>
      <c r="W577" s="26"/>
    </row>
    <row r="578" spans="22:23" x14ac:dyDescent="0.2">
      <c r="V578" s="26"/>
      <c r="W578" s="26"/>
    </row>
    <row r="579" spans="22:23" x14ac:dyDescent="0.2">
      <c r="V579" s="26"/>
      <c r="W579" s="26"/>
    </row>
    <row r="580" spans="22:23" x14ac:dyDescent="0.2">
      <c r="V580" s="26"/>
      <c r="W580" s="26"/>
    </row>
    <row r="581" spans="22:23" x14ac:dyDescent="0.2">
      <c r="V581" s="26"/>
      <c r="W581" s="26"/>
    </row>
    <row r="582" spans="22:23" x14ac:dyDescent="0.2">
      <c r="V582" s="26"/>
      <c r="W582" s="26"/>
    </row>
    <row r="583" spans="22:23" x14ac:dyDescent="0.2">
      <c r="V583" s="26"/>
      <c r="W583" s="26"/>
    </row>
    <row r="584" spans="22:23" x14ac:dyDescent="0.2">
      <c r="V584" s="26"/>
      <c r="W584" s="26"/>
    </row>
    <row r="585" spans="22:23" x14ac:dyDescent="0.2">
      <c r="V585" s="26"/>
      <c r="W585" s="26"/>
    </row>
    <row r="586" spans="22:23" x14ac:dyDescent="0.2">
      <c r="V586" s="26"/>
      <c r="W586" s="26"/>
    </row>
    <row r="587" spans="22:23" x14ac:dyDescent="0.2">
      <c r="V587" s="26"/>
      <c r="W587" s="26"/>
    </row>
    <row r="588" spans="22:23" x14ac:dyDescent="0.2">
      <c r="V588" s="26"/>
      <c r="W588" s="26"/>
    </row>
    <row r="589" spans="22:23" x14ac:dyDescent="0.2">
      <c r="V589" s="26"/>
      <c r="W589" s="26"/>
    </row>
    <row r="590" spans="22:23" x14ac:dyDescent="0.2">
      <c r="V590" s="26"/>
      <c r="W590" s="26"/>
    </row>
    <row r="591" spans="22:23" x14ac:dyDescent="0.2">
      <c r="V591" s="26"/>
      <c r="W591" s="26"/>
    </row>
    <row r="592" spans="22:23" x14ac:dyDescent="0.2">
      <c r="V592" s="26"/>
      <c r="W592" s="26"/>
    </row>
    <row r="593" spans="22:23" x14ac:dyDescent="0.2">
      <c r="V593" s="26"/>
      <c r="W593" s="26"/>
    </row>
    <row r="594" spans="22:23" x14ac:dyDescent="0.2">
      <c r="V594" s="26"/>
      <c r="W594" s="26"/>
    </row>
    <row r="595" spans="22:23" x14ac:dyDescent="0.2">
      <c r="V595" s="26"/>
      <c r="W595" s="26"/>
    </row>
    <row r="596" spans="22:23" x14ac:dyDescent="0.2">
      <c r="V596" s="26"/>
      <c r="W596" s="26"/>
    </row>
    <row r="597" spans="22:23" x14ac:dyDescent="0.2">
      <c r="V597" s="26"/>
      <c r="W597" s="26"/>
    </row>
    <row r="598" spans="22:23" x14ac:dyDescent="0.2">
      <c r="V598" s="26"/>
      <c r="W598" s="26"/>
    </row>
    <row r="599" spans="22:23" x14ac:dyDescent="0.2">
      <c r="V599" s="26"/>
      <c r="W599" s="26"/>
    </row>
    <row r="600" spans="22:23" x14ac:dyDescent="0.2">
      <c r="V600" s="26"/>
      <c r="W600" s="26"/>
    </row>
    <row r="601" spans="22:23" x14ac:dyDescent="0.2">
      <c r="V601" s="26"/>
      <c r="W601" s="26"/>
    </row>
    <row r="602" spans="22:23" x14ac:dyDescent="0.2">
      <c r="V602" s="26"/>
      <c r="W602" s="26"/>
    </row>
    <row r="603" spans="22:23" x14ac:dyDescent="0.2">
      <c r="V603" s="26"/>
      <c r="W603" s="26"/>
    </row>
    <row r="604" spans="22:23" x14ac:dyDescent="0.2">
      <c r="V604" s="26"/>
      <c r="W604" s="26"/>
    </row>
    <row r="605" spans="22:23" x14ac:dyDescent="0.2">
      <c r="V605" s="26"/>
      <c r="W605" s="26"/>
    </row>
    <row r="606" spans="22:23" x14ac:dyDescent="0.2">
      <c r="V606" s="26"/>
      <c r="W606" s="26"/>
    </row>
    <row r="607" spans="22:23" x14ac:dyDescent="0.2">
      <c r="V607" s="26"/>
      <c r="W607" s="26"/>
    </row>
    <row r="608" spans="22:23" x14ac:dyDescent="0.2">
      <c r="V608" s="26"/>
      <c r="W608" s="26"/>
    </row>
    <row r="609" spans="22:23" x14ac:dyDescent="0.2">
      <c r="V609" s="26"/>
      <c r="W609" s="26"/>
    </row>
    <row r="610" spans="22:23" x14ac:dyDescent="0.2">
      <c r="V610" s="26"/>
      <c r="W610" s="26"/>
    </row>
    <row r="611" spans="22:23" x14ac:dyDescent="0.2">
      <c r="V611" s="26"/>
      <c r="W611" s="26"/>
    </row>
    <row r="612" spans="22:23" x14ac:dyDescent="0.2">
      <c r="V612" s="26"/>
      <c r="W612" s="26"/>
    </row>
    <row r="613" spans="22:23" x14ac:dyDescent="0.2">
      <c r="V613" s="26"/>
      <c r="W613" s="26"/>
    </row>
    <row r="614" spans="22:23" x14ac:dyDescent="0.2">
      <c r="V614" s="26"/>
      <c r="W614" s="26"/>
    </row>
    <row r="615" spans="22:23" x14ac:dyDescent="0.2">
      <c r="V615" s="26"/>
      <c r="W615" s="26"/>
    </row>
    <row r="616" spans="22:23" x14ac:dyDescent="0.2">
      <c r="V616" s="26"/>
      <c r="W616" s="26"/>
    </row>
    <row r="617" spans="22:23" x14ac:dyDescent="0.2">
      <c r="V617" s="26"/>
      <c r="W617" s="26"/>
    </row>
    <row r="618" spans="22:23" x14ac:dyDescent="0.2">
      <c r="V618" s="26"/>
      <c r="W618" s="26"/>
    </row>
    <row r="619" spans="22:23" x14ac:dyDescent="0.2">
      <c r="V619" s="26"/>
      <c r="W619" s="26"/>
    </row>
    <row r="620" spans="22:23" x14ac:dyDescent="0.2">
      <c r="V620" s="26"/>
      <c r="W620" s="26"/>
    </row>
    <row r="621" spans="22:23" x14ac:dyDescent="0.2">
      <c r="V621" s="26"/>
      <c r="W621" s="26"/>
    </row>
    <row r="622" spans="22:23" x14ac:dyDescent="0.2">
      <c r="V622" s="26"/>
      <c r="W622" s="26"/>
    </row>
    <row r="623" spans="22:23" x14ac:dyDescent="0.2">
      <c r="V623" s="26"/>
      <c r="W623" s="26"/>
    </row>
    <row r="624" spans="22:23" x14ac:dyDescent="0.2">
      <c r="V624" s="26"/>
      <c r="W624" s="26"/>
    </row>
    <row r="625" spans="22:23" x14ac:dyDescent="0.2">
      <c r="V625" s="26"/>
      <c r="W625" s="26"/>
    </row>
    <row r="626" spans="22:23" x14ac:dyDescent="0.2">
      <c r="V626" s="26"/>
      <c r="W626" s="26"/>
    </row>
    <row r="627" spans="22:23" x14ac:dyDescent="0.2">
      <c r="V627" s="26"/>
      <c r="W627" s="26"/>
    </row>
    <row r="628" spans="22:23" x14ac:dyDescent="0.2">
      <c r="V628" s="26"/>
      <c r="W628" s="26"/>
    </row>
    <row r="629" spans="22:23" x14ac:dyDescent="0.2">
      <c r="V629" s="26"/>
      <c r="W629" s="26"/>
    </row>
    <row r="630" spans="22:23" x14ac:dyDescent="0.2">
      <c r="V630" s="26"/>
      <c r="W630" s="26"/>
    </row>
    <row r="631" spans="22:23" x14ac:dyDescent="0.2">
      <c r="V631" s="26"/>
      <c r="W631" s="26"/>
    </row>
    <row r="632" spans="22:23" x14ac:dyDescent="0.2">
      <c r="V632" s="26"/>
      <c r="W632" s="26"/>
    </row>
    <row r="633" spans="22:23" x14ac:dyDescent="0.2">
      <c r="V633" s="26"/>
      <c r="W633" s="26"/>
    </row>
    <row r="634" spans="22:23" x14ac:dyDescent="0.2">
      <c r="V634" s="26"/>
      <c r="W634" s="26"/>
    </row>
    <row r="635" spans="22:23" x14ac:dyDescent="0.2">
      <c r="V635" s="26"/>
      <c r="W635" s="26"/>
    </row>
    <row r="636" spans="22:23" x14ac:dyDescent="0.2">
      <c r="V636" s="26"/>
      <c r="W636" s="26"/>
    </row>
    <row r="637" spans="22:23" x14ac:dyDescent="0.2">
      <c r="V637" s="26"/>
      <c r="W637" s="26"/>
    </row>
    <row r="638" spans="22:23" x14ac:dyDescent="0.2">
      <c r="V638" s="26"/>
      <c r="W638" s="26"/>
    </row>
    <row r="639" spans="22:23" x14ac:dyDescent="0.2">
      <c r="V639" s="26"/>
      <c r="W639" s="26"/>
    </row>
    <row r="640" spans="22:23" x14ac:dyDescent="0.2">
      <c r="V640" s="26"/>
      <c r="W640" s="26"/>
    </row>
    <row r="641" spans="22:23" x14ac:dyDescent="0.2">
      <c r="V641" s="26"/>
      <c r="W641" s="26"/>
    </row>
    <row r="642" spans="22:23" x14ac:dyDescent="0.2">
      <c r="V642" s="26"/>
      <c r="W642" s="26"/>
    </row>
    <row r="643" spans="22:23" x14ac:dyDescent="0.2">
      <c r="V643" s="26"/>
      <c r="W643" s="26"/>
    </row>
    <row r="644" spans="22:23" x14ac:dyDescent="0.2">
      <c r="V644" s="26"/>
      <c r="W644" s="26"/>
    </row>
    <row r="645" spans="22:23" x14ac:dyDescent="0.2">
      <c r="V645" s="26"/>
      <c r="W645" s="26"/>
    </row>
    <row r="646" spans="22:23" x14ac:dyDescent="0.2">
      <c r="V646" s="26"/>
      <c r="W646" s="26"/>
    </row>
    <row r="647" spans="22:23" x14ac:dyDescent="0.2">
      <c r="V647" s="26"/>
      <c r="W647" s="26"/>
    </row>
    <row r="648" spans="22:23" x14ac:dyDescent="0.2">
      <c r="V648" s="26"/>
      <c r="W648" s="26"/>
    </row>
    <row r="649" spans="22:23" x14ac:dyDescent="0.2">
      <c r="V649" s="26"/>
      <c r="W649" s="26"/>
    </row>
    <row r="650" spans="22:23" x14ac:dyDescent="0.2">
      <c r="V650" s="26"/>
      <c r="W650" s="26"/>
    </row>
    <row r="651" spans="22:23" x14ac:dyDescent="0.2">
      <c r="V651" s="26"/>
      <c r="W651" s="26"/>
    </row>
    <row r="652" spans="22:23" x14ac:dyDescent="0.2">
      <c r="V652" s="26"/>
      <c r="W652" s="26"/>
    </row>
    <row r="653" spans="22:23" x14ac:dyDescent="0.2">
      <c r="V653" s="26"/>
      <c r="W653" s="26"/>
    </row>
    <row r="654" spans="22:23" x14ac:dyDescent="0.2">
      <c r="V654" s="26"/>
      <c r="W654" s="26"/>
    </row>
    <row r="655" spans="22:23" x14ac:dyDescent="0.2">
      <c r="V655" s="26"/>
      <c r="W655" s="26"/>
    </row>
    <row r="656" spans="22:23" x14ac:dyDescent="0.2">
      <c r="V656" s="26"/>
      <c r="W656" s="26"/>
    </row>
    <row r="657" spans="22:23" x14ac:dyDescent="0.2">
      <c r="V657" s="26"/>
      <c r="W657" s="26"/>
    </row>
    <row r="658" spans="22:23" x14ac:dyDescent="0.2">
      <c r="V658" s="26"/>
      <c r="W658" s="26"/>
    </row>
    <row r="659" spans="22:23" x14ac:dyDescent="0.2">
      <c r="V659" s="26"/>
      <c r="W659" s="26"/>
    </row>
    <row r="660" spans="22:23" x14ac:dyDescent="0.2">
      <c r="V660" s="26"/>
      <c r="W660" s="26"/>
    </row>
    <row r="661" spans="22:23" x14ac:dyDescent="0.2">
      <c r="V661" s="26"/>
      <c r="W661" s="26"/>
    </row>
    <row r="662" spans="22:23" x14ac:dyDescent="0.2">
      <c r="V662" s="26"/>
      <c r="W662" s="26"/>
    </row>
    <row r="663" spans="22:23" x14ac:dyDescent="0.2">
      <c r="V663" s="26"/>
      <c r="W663" s="26"/>
    </row>
    <row r="664" spans="22:23" x14ac:dyDescent="0.2">
      <c r="V664" s="26"/>
      <c r="W664" s="26"/>
    </row>
    <row r="665" spans="22:23" x14ac:dyDescent="0.2">
      <c r="V665" s="26"/>
      <c r="W665" s="26"/>
    </row>
    <row r="666" spans="22:23" x14ac:dyDescent="0.2">
      <c r="V666" s="26"/>
      <c r="W666" s="26"/>
    </row>
    <row r="667" spans="22:23" x14ac:dyDescent="0.2">
      <c r="V667" s="26"/>
      <c r="W667" s="26"/>
    </row>
    <row r="668" spans="22:23" x14ac:dyDescent="0.2">
      <c r="V668" s="26"/>
      <c r="W668" s="26"/>
    </row>
    <row r="669" spans="22:23" x14ac:dyDescent="0.2">
      <c r="V669" s="26"/>
      <c r="W669" s="26"/>
    </row>
    <row r="670" spans="22:23" x14ac:dyDescent="0.2">
      <c r="V670" s="26"/>
      <c r="W670" s="26"/>
    </row>
    <row r="671" spans="22:23" x14ac:dyDescent="0.2">
      <c r="V671" s="26"/>
      <c r="W671" s="26"/>
    </row>
    <row r="672" spans="22:23" x14ac:dyDescent="0.2">
      <c r="V672" s="26"/>
      <c r="W672" s="26"/>
    </row>
    <row r="673" spans="22:23" x14ac:dyDescent="0.2">
      <c r="V673" s="26"/>
      <c r="W673" s="26"/>
    </row>
    <row r="674" spans="22:23" x14ac:dyDescent="0.2">
      <c r="V674" s="26"/>
      <c r="W674" s="26"/>
    </row>
    <row r="675" spans="22:23" x14ac:dyDescent="0.2">
      <c r="V675" s="26"/>
      <c r="W675" s="26"/>
    </row>
    <row r="676" spans="22:23" x14ac:dyDescent="0.2">
      <c r="V676" s="26"/>
      <c r="W676" s="26"/>
    </row>
    <row r="677" spans="22:23" x14ac:dyDescent="0.2">
      <c r="V677" s="26"/>
      <c r="W677" s="26"/>
    </row>
    <row r="678" spans="22:23" x14ac:dyDescent="0.2">
      <c r="V678" s="26"/>
      <c r="W678" s="26"/>
    </row>
    <row r="679" spans="22:23" x14ac:dyDescent="0.2">
      <c r="V679" s="26"/>
      <c r="W679" s="26"/>
    </row>
    <row r="680" spans="22:23" x14ac:dyDescent="0.2">
      <c r="V680" s="26"/>
      <c r="W680" s="26"/>
    </row>
    <row r="681" spans="22:23" x14ac:dyDescent="0.2">
      <c r="V681" s="26"/>
      <c r="W681" s="26"/>
    </row>
    <row r="682" spans="22:23" x14ac:dyDescent="0.2">
      <c r="V682" s="26"/>
      <c r="W682" s="26"/>
    </row>
    <row r="683" spans="22:23" x14ac:dyDescent="0.2">
      <c r="V683" s="26"/>
      <c r="W683" s="26"/>
    </row>
    <row r="684" spans="22:23" x14ac:dyDescent="0.2">
      <c r="V684" s="26"/>
      <c r="W684" s="26"/>
    </row>
    <row r="685" spans="22:23" x14ac:dyDescent="0.2">
      <c r="V685" s="26"/>
      <c r="W685" s="26"/>
    </row>
    <row r="686" spans="22:23" x14ac:dyDescent="0.2">
      <c r="V686" s="26"/>
      <c r="W686" s="26"/>
    </row>
    <row r="687" spans="22:23" x14ac:dyDescent="0.2">
      <c r="V687" s="26"/>
      <c r="W687" s="26"/>
    </row>
    <row r="688" spans="22:23" x14ac:dyDescent="0.2">
      <c r="V688" s="26"/>
      <c r="W688" s="26"/>
    </row>
    <row r="689" spans="22:23" x14ac:dyDescent="0.2">
      <c r="V689" s="26"/>
      <c r="W689" s="26"/>
    </row>
    <row r="690" spans="22:23" x14ac:dyDescent="0.2">
      <c r="V690" s="26"/>
      <c r="W690" s="26"/>
    </row>
    <row r="691" spans="22:23" x14ac:dyDescent="0.2">
      <c r="V691" s="26"/>
      <c r="W691" s="26"/>
    </row>
    <row r="692" spans="22:23" x14ac:dyDescent="0.2">
      <c r="V692" s="26"/>
      <c r="W692" s="26"/>
    </row>
    <row r="693" spans="22:23" x14ac:dyDescent="0.2">
      <c r="V693" s="26"/>
      <c r="W693" s="26"/>
    </row>
    <row r="694" spans="22:23" x14ac:dyDescent="0.2">
      <c r="V694" s="26"/>
      <c r="W694" s="26"/>
    </row>
    <row r="695" spans="22:23" x14ac:dyDescent="0.2">
      <c r="V695" s="26"/>
      <c r="W695" s="26"/>
    </row>
    <row r="696" spans="22:23" x14ac:dyDescent="0.2">
      <c r="V696" s="26"/>
      <c r="W696" s="26"/>
    </row>
    <row r="697" spans="22:23" x14ac:dyDescent="0.2">
      <c r="V697" s="26"/>
      <c r="W697" s="26"/>
    </row>
    <row r="698" spans="22:23" x14ac:dyDescent="0.2">
      <c r="V698" s="26"/>
      <c r="W698" s="26"/>
    </row>
    <row r="699" spans="22:23" x14ac:dyDescent="0.2">
      <c r="V699" s="26"/>
      <c r="W699" s="26"/>
    </row>
    <row r="700" spans="22:23" x14ac:dyDescent="0.2">
      <c r="V700" s="26"/>
      <c r="W700" s="26"/>
    </row>
    <row r="701" spans="22:23" x14ac:dyDescent="0.2">
      <c r="V701" s="26"/>
      <c r="W701" s="26"/>
    </row>
    <row r="702" spans="22:23" x14ac:dyDescent="0.2">
      <c r="V702" s="26"/>
      <c r="W702" s="26"/>
    </row>
    <row r="703" spans="22:23" x14ac:dyDescent="0.2">
      <c r="V703" s="26"/>
      <c r="W703" s="26"/>
    </row>
    <row r="704" spans="22:23" x14ac:dyDescent="0.2">
      <c r="V704" s="26"/>
      <c r="W704" s="26"/>
    </row>
    <row r="705" spans="22:23" x14ac:dyDescent="0.2">
      <c r="V705" s="26"/>
      <c r="W705" s="26"/>
    </row>
    <row r="706" spans="22:23" x14ac:dyDescent="0.2">
      <c r="V706" s="26"/>
      <c r="W706" s="26"/>
    </row>
    <row r="707" spans="22:23" x14ac:dyDescent="0.2">
      <c r="V707" s="26"/>
      <c r="W707" s="26"/>
    </row>
    <row r="708" spans="22:23" x14ac:dyDescent="0.2">
      <c r="V708" s="26"/>
      <c r="W708" s="26"/>
    </row>
    <row r="709" spans="22:23" x14ac:dyDescent="0.2">
      <c r="V709" s="26"/>
      <c r="W709" s="26"/>
    </row>
    <row r="710" spans="22:23" x14ac:dyDescent="0.2">
      <c r="V710" s="26"/>
      <c r="W710" s="26"/>
    </row>
    <row r="711" spans="22:23" x14ac:dyDescent="0.2">
      <c r="V711" s="26"/>
      <c r="W711" s="26"/>
    </row>
    <row r="712" spans="22:23" x14ac:dyDescent="0.2">
      <c r="V712" s="26"/>
      <c r="W712" s="26"/>
    </row>
    <row r="713" spans="22:23" x14ac:dyDescent="0.2">
      <c r="V713" s="26"/>
      <c r="W713" s="26"/>
    </row>
    <row r="714" spans="22:23" x14ac:dyDescent="0.2">
      <c r="V714" s="26"/>
      <c r="W714" s="26"/>
    </row>
    <row r="715" spans="22:23" x14ac:dyDescent="0.2">
      <c r="V715" s="26"/>
      <c r="W715" s="26"/>
    </row>
    <row r="716" spans="22:23" x14ac:dyDescent="0.2">
      <c r="V716" s="26"/>
      <c r="W716" s="26"/>
    </row>
    <row r="717" spans="22:23" x14ac:dyDescent="0.2">
      <c r="V717" s="26"/>
      <c r="W717" s="26"/>
    </row>
    <row r="718" spans="22:23" x14ac:dyDescent="0.2">
      <c r="V718" s="26"/>
      <c r="W718" s="26"/>
    </row>
    <row r="719" spans="22:23" x14ac:dyDescent="0.2">
      <c r="V719" s="26"/>
      <c r="W719" s="26"/>
    </row>
    <row r="720" spans="22:23" x14ac:dyDescent="0.2">
      <c r="V720" s="26"/>
      <c r="W720" s="26"/>
    </row>
    <row r="721" spans="22:23" x14ac:dyDescent="0.2">
      <c r="V721" s="26"/>
      <c r="W721" s="26"/>
    </row>
    <row r="722" spans="22:23" x14ac:dyDescent="0.2">
      <c r="V722" s="26"/>
      <c r="W722" s="26"/>
    </row>
    <row r="723" spans="22:23" x14ac:dyDescent="0.2">
      <c r="V723" s="26"/>
      <c r="W723" s="26"/>
    </row>
    <row r="724" spans="22:23" x14ac:dyDescent="0.2">
      <c r="V724" s="26"/>
      <c r="W724" s="26"/>
    </row>
    <row r="725" spans="22:23" x14ac:dyDescent="0.2">
      <c r="V725" s="26"/>
      <c r="W725" s="26"/>
    </row>
    <row r="726" spans="22:23" x14ac:dyDescent="0.2">
      <c r="V726" s="26"/>
      <c r="W726" s="26"/>
    </row>
    <row r="727" spans="22:23" x14ac:dyDescent="0.2">
      <c r="V727" s="26"/>
      <c r="W727" s="26"/>
    </row>
    <row r="728" spans="22:23" x14ac:dyDescent="0.2">
      <c r="V728" s="26"/>
      <c r="W728" s="26"/>
    </row>
    <row r="729" spans="22:23" x14ac:dyDescent="0.2">
      <c r="V729" s="26"/>
      <c r="W729" s="26"/>
    </row>
    <row r="730" spans="22:23" x14ac:dyDescent="0.2">
      <c r="V730" s="26"/>
      <c r="W730" s="26"/>
    </row>
    <row r="731" spans="22:23" x14ac:dyDescent="0.2">
      <c r="V731" s="26"/>
      <c r="W731" s="26"/>
    </row>
    <row r="732" spans="22:23" x14ac:dyDescent="0.2">
      <c r="V732" s="26"/>
      <c r="W732" s="26"/>
    </row>
    <row r="733" spans="22:23" x14ac:dyDescent="0.2">
      <c r="V733" s="26"/>
      <c r="W733" s="26"/>
    </row>
    <row r="734" spans="22:23" x14ac:dyDescent="0.2">
      <c r="V734" s="26"/>
      <c r="W734" s="26"/>
    </row>
    <row r="735" spans="22:23" x14ac:dyDescent="0.2">
      <c r="V735" s="26"/>
      <c r="W735" s="26"/>
    </row>
    <row r="736" spans="22:23" x14ac:dyDescent="0.2">
      <c r="V736" s="26"/>
      <c r="W736" s="26"/>
    </row>
    <row r="737" spans="22:23" x14ac:dyDescent="0.2">
      <c r="V737" s="26"/>
      <c r="W737" s="26"/>
    </row>
    <row r="738" spans="22:23" x14ac:dyDescent="0.2">
      <c r="V738" s="26"/>
      <c r="W738" s="26"/>
    </row>
    <row r="739" spans="22:23" x14ac:dyDescent="0.2">
      <c r="V739" s="26"/>
      <c r="W739" s="26"/>
    </row>
    <row r="740" spans="22:23" x14ac:dyDescent="0.2">
      <c r="V740" s="26"/>
      <c r="W740" s="26"/>
    </row>
    <row r="741" spans="22:23" x14ac:dyDescent="0.2">
      <c r="V741" s="26"/>
      <c r="W741" s="26"/>
    </row>
    <row r="742" spans="22:23" x14ac:dyDescent="0.2">
      <c r="V742" s="26"/>
      <c r="W742" s="26"/>
    </row>
    <row r="743" spans="22:23" x14ac:dyDescent="0.2">
      <c r="V743" s="26"/>
      <c r="W743" s="26"/>
    </row>
    <row r="744" spans="22:23" x14ac:dyDescent="0.2">
      <c r="V744" s="26"/>
      <c r="W744" s="26"/>
    </row>
    <row r="745" spans="22:23" x14ac:dyDescent="0.2">
      <c r="V745" s="26"/>
      <c r="W745" s="26"/>
    </row>
    <row r="746" spans="22:23" x14ac:dyDescent="0.2">
      <c r="V746" s="26"/>
      <c r="W746" s="26"/>
    </row>
    <row r="747" spans="22:23" x14ac:dyDescent="0.2">
      <c r="V747" s="26"/>
      <c r="W747" s="26"/>
    </row>
    <row r="748" spans="22:23" x14ac:dyDescent="0.2">
      <c r="V748" s="26"/>
      <c r="W748" s="26"/>
    </row>
    <row r="749" spans="22:23" x14ac:dyDescent="0.2">
      <c r="V749" s="26"/>
      <c r="W749" s="26"/>
    </row>
    <row r="750" spans="22:23" x14ac:dyDescent="0.2">
      <c r="V750" s="26"/>
      <c r="W750" s="26"/>
    </row>
    <row r="751" spans="22:23" x14ac:dyDescent="0.2">
      <c r="V751" s="26"/>
      <c r="W751" s="26"/>
    </row>
    <row r="752" spans="22:23" x14ac:dyDescent="0.2">
      <c r="V752" s="26"/>
      <c r="W752" s="26"/>
    </row>
    <row r="753" spans="22:23" x14ac:dyDescent="0.2">
      <c r="V753" s="26"/>
      <c r="W753" s="26"/>
    </row>
    <row r="754" spans="22:23" x14ac:dyDescent="0.2">
      <c r="V754" s="26"/>
      <c r="W754" s="26"/>
    </row>
    <row r="755" spans="22:23" x14ac:dyDescent="0.2">
      <c r="V755" s="26"/>
      <c r="W755" s="26"/>
    </row>
    <row r="756" spans="22:23" x14ac:dyDescent="0.2">
      <c r="V756" s="26"/>
      <c r="W756" s="26"/>
    </row>
    <row r="757" spans="22:23" x14ac:dyDescent="0.2">
      <c r="V757" s="26"/>
      <c r="W757" s="26"/>
    </row>
    <row r="758" spans="22:23" x14ac:dyDescent="0.2">
      <c r="V758" s="26"/>
      <c r="W758" s="26"/>
    </row>
    <row r="759" spans="22:23" x14ac:dyDescent="0.2">
      <c r="V759" s="26"/>
      <c r="W759" s="26"/>
    </row>
    <row r="760" spans="22:23" x14ac:dyDescent="0.2">
      <c r="V760" s="26"/>
      <c r="W760" s="26"/>
    </row>
    <row r="761" spans="22:23" x14ac:dyDescent="0.2">
      <c r="V761" s="26"/>
      <c r="W761" s="26"/>
    </row>
    <row r="762" spans="22:23" x14ac:dyDescent="0.2">
      <c r="V762" s="26"/>
      <c r="W762" s="26"/>
    </row>
    <row r="763" spans="22:23" x14ac:dyDescent="0.2">
      <c r="V763" s="26"/>
      <c r="W763" s="26"/>
    </row>
    <row r="764" spans="22:23" x14ac:dyDescent="0.2">
      <c r="V764" s="26"/>
      <c r="W764" s="26"/>
    </row>
    <row r="765" spans="22:23" x14ac:dyDescent="0.2">
      <c r="V765" s="26"/>
      <c r="W765" s="26"/>
    </row>
    <row r="766" spans="22:23" x14ac:dyDescent="0.2">
      <c r="V766" s="26"/>
      <c r="W766" s="26"/>
    </row>
    <row r="767" spans="22:23" x14ac:dyDescent="0.2">
      <c r="V767" s="26"/>
      <c r="W767" s="26"/>
    </row>
    <row r="768" spans="22:23" x14ac:dyDescent="0.2">
      <c r="V768" s="26"/>
      <c r="W768" s="26"/>
    </row>
    <row r="769" spans="22:23" x14ac:dyDescent="0.2">
      <c r="V769" s="26"/>
      <c r="W769" s="26"/>
    </row>
    <row r="770" spans="22:23" x14ac:dyDescent="0.2">
      <c r="V770" s="26"/>
      <c r="W770" s="26"/>
    </row>
    <row r="771" spans="22:23" x14ac:dyDescent="0.2">
      <c r="V771" s="26"/>
      <c r="W771" s="26"/>
    </row>
    <row r="772" spans="22:23" x14ac:dyDescent="0.2">
      <c r="V772" s="26"/>
      <c r="W772" s="26"/>
    </row>
    <row r="773" spans="22:23" x14ac:dyDescent="0.2">
      <c r="V773" s="26"/>
      <c r="W773" s="26"/>
    </row>
    <row r="774" spans="22:23" x14ac:dyDescent="0.2">
      <c r="V774" s="26"/>
      <c r="W774" s="26"/>
    </row>
    <row r="775" spans="22:23" x14ac:dyDescent="0.2">
      <c r="V775" s="26"/>
      <c r="W775" s="26"/>
    </row>
    <row r="776" spans="22:23" x14ac:dyDescent="0.2">
      <c r="V776" s="26"/>
      <c r="W776" s="26"/>
    </row>
    <row r="777" spans="22:23" x14ac:dyDescent="0.2">
      <c r="V777" s="26"/>
      <c r="W777" s="26"/>
    </row>
    <row r="778" spans="22:23" x14ac:dyDescent="0.2">
      <c r="V778" s="26"/>
      <c r="W778" s="26"/>
    </row>
    <row r="779" spans="22:23" x14ac:dyDescent="0.2">
      <c r="V779" s="26"/>
      <c r="W779" s="26"/>
    </row>
    <row r="780" spans="22:23" x14ac:dyDescent="0.2">
      <c r="V780" s="26"/>
      <c r="W780" s="26"/>
    </row>
    <row r="781" spans="22:23" x14ac:dyDescent="0.2">
      <c r="V781" s="26"/>
      <c r="W781" s="26"/>
    </row>
    <row r="782" spans="22:23" x14ac:dyDescent="0.2">
      <c r="V782" s="26"/>
      <c r="W782" s="26"/>
    </row>
    <row r="783" spans="22:23" x14ac:dyDescent="0.2">
      <c r="V783" s="26"/>
      <c r="W783" s="26"/>
    </row>
    <row r="784" spans="22:23" x14ac:dyDescent="0.2">
      <c r="V784" s="26"/>
      <c r="W784" s="26"/>
    </row>
    <row r="785" spans="22:23" x14ac:dyDescent="0.2">
      <c r="V785" s="26"/>
      <c r="W785" s="26"/>
    </row>
    <row r="786" spans="22:23" x14ac:dyDescent="0.2">
      <c r="V786" s="26"/>
      <c r="W786" s="26"/>
    </row>
    <row r="787" spans="22:23" x14ac:dyDescent="0.2">
      <c r="V787" s="26"/>
      <c r="W787" s="26"/>
    </row>
    <row r="788" spans="22:23" x14ac:dyDescent="0.2">
      <c r="V788" s="26"/>
      <c r="W788" s="26"/>
    </row>
    <row r="789" spans="22:23" x14ac:dyDescent="0.2">
      <c r="V789" s="26"/>
      <c r="W789" s="26"/>
    </row>
    <row r="790" spans="22:23" x14ac:dyDescent="0.2">
      <c r="V790" s="26"/>
      <c r="W790" s="26"/>
    </row>
    <row r="791" spans="22:23" x14ac:dyDescent="0.2">
      <c r="V791" s="26"/>
      <c r="W791" s="26"/>
    </row>
    <row r="792" spans="22:23" x14ac:dyDescent="0.2">
      <c r="V792" s="26"/>
      <c r="W792" s="26"/>
    </row>
    <row r="793" spans="22:23" x14ac:dyDescent="0.2">
      <c r="V793" s="26"/>
      <c r="W793" s="26"/>
    </row>
    <row r="794" spans="22:23" x14ac:dyDescent="0.2">
      <c r="V794" s="26"/>
      <c r="W794" s="26"/>
    </row>
    <row r="795" spans="22:23" x14ac:dyDescent="0.2">
      <c r="V795" s="26"/>
      <c r="W795" s="26"/>
    </row>
    <row r="796" spans="22:23" x14ac:dyDescent="0.2">
      <c r="V796" s="26"/>
      <c r="W796" s="26"/>
    </row>
    <row r="797" spans="22:23" x14ac:dyDescent="0.2">
      <c r="V797" s="26"/>
      <c r="W797" s="26"/>
    </row>
    <row r="798" spans="22:23" x14ac:dyDescent="0.2">
      <c r="V798" s="26"/>
      <c r="W798" s="26"/>
    </row>
    <row r="799" spans="22:23" x14ac:dyDescent="0.2">
      <c r="V799" s="26"/>
      <c r="W799" s="26"/>
    </row>
    <row r="800" spans="22:23" x14ac:dyDescent="0.2">
      <c r="V800" s="26"/>
      <c r="W800" s="26"/>
    </row>
    <row r="801" spans="22:23" x14ac:dyDescent="0.2">
      <c r="V801" s="26"/>
      <c r="W801" s="26"/>
    </row>
    <row r="802" spans="22:23" x14ac:dyDescent="0.2">
      <c r="V802" s="26"/>
      <c r="W802" s="26"/>
    </row>
    <row r="803" spans="22:23" x14ac:dyDescent="0.2">
      <c r="V803" s="26"/>
      <c r="W803" s="26"/>
    </row>
    <row r="804" spans="22:23" x14ac:dyDescent="0.2">
      <c r="V804" s="26"/>
      <c r="W804" s="26"/>
    </row>
    <row r="805" spans="22:23" x14ac:dyDescent="0.2">
      <c r="V805" s="26"/>
      <c r="W805" s="26"/>
    </row>
    <row r="806" spans="22:23" x14ac:dyDescent="0.2">
      <c r="V806" s="26"/>
      <c r="W806" s="26"/>
    </row>
    <row r="807" spans="22:23" x14ac:dyDescent="0.2">
      <c r="V807" s="26"/>
      <c r="W807" s="26"/>
    </row>
    <row r="808" spans="22:23" x14ac:dyDescent="0.2">
      <c r="V808" s="26"/>
      <c r="W808" s="26"/>
    </row>
    <row r="809" spans="22:23" x14ac:dyDescent="0.2">
      <c r="V809" s="26"/>
      <c r="W809" s="26"/>
    </row>
    <row r="810" spans="22:23" x14ac:dyDescent="0.2">
      <c r="V810" s="26"/>
      <c r="W810" s="26"/>
    </row>
    <row r="811" spans="22:23" x14ac:dyDescent="0.2">
      <c r="V811" s="26"/>
      <c r="W811" s="26"/>
    </row>
    <row r="812" spans="22:23" x14ac:dyDescent="0.2">
      <c r="V812" s="26"/>
      <c r="W812" s="26"/>
    </row>
    <row r="813" spans="22:23" x14ac:dyDescent="0.2">
      <c r="V813" s="26"/>
      <c r="W813" s="26"/>
    </row>
    <row r="814" spans="22:23" x14ac:dyDescent="0.2">
      <c r="V814" s="26"/>
      <c r="W814" s="26"/>
    </row>
    <row r="815" spans="22:23" x14ac:dyDescent="0.2">
      <c r="V815" s="26"/>
      <c r="W815" s="26"/>
    </row>
    <row r="816" spans="22:23" x14ac:dyDescent="0.2">
      <c r="V816" s="26"/>
      <c r="W816" s="26"/>
    </row>
    <row r="817" spans="22:23" x14ac:dyDescent="0.2">
      <c r="V817" s="26"/>
      <c r="W817" s="26"/>
    </row>
    <row r="818" spans="22:23" x14ac:dyDescent="0.2">
      <c r="V818" s="26"/>
      <c r="W818" s="26"/>
    </row>
    <row r="819" spans="22:23" x14ac:dyDescent="0.2">
      <c r="V819" s="26"/>
      <c r="W819" s="26"/>
    </row>
    <row r="820" spans="22:23" x14ac:dyDescent="0.2">
      <c r="V820" s="26"/>
      <c r="W820" s="26"/>
    </row>
    <row r="821" spans="22:23" x14ac:dyDescent="0.2">
      <c r="V821" s="26"/>
      <c r="W821" s="26"/>
    </row>
    <row r="822" spans="22:23" x14ac:dyDescent="0.2">
      <c r="V822" s="26"/>
      <c r="W822" s="26"/>
    </row>
    <row r="823" spans="22:23" x14ac:dyDescent="0.2">
      <c r="V823" s="26"/>
      <c r="W823" s="26"/>
    </row>
    <row r="824" spans="22:23" x14ac:dyDescent="0.2">
      <c r="V824" s="26"/>
      <c r="W824" s="26"/>
    </row>
    <row r="825" spans="22:23" x14ac:dyDescent="0.2">
      <c r="V825" s="26"/>
      <c r="W825" s="26"/>
    </row>
    <row r="826" spans="22:23" x14ac:dyDescent="0.2">
      <c r="V826" s="26"/>
      <c r="W826" s="26"/>
    </row>
    <row r="827" spans="22:23" x14ac:dyDescent="0.2">
      <c r="V827" s="26"/>
      <c r="W827" s="26"/>
    </row>
    <row r="828" spans="22:23" x14ac:dyDescent="0.2">
      <c r="V828" s="26"/>
      <c r="W828" s="26"/>
    </row>
    <row r="829" spans="22:23" x14ac:dyDescent="0.2">
      <c r="V829" s="26"/>
      <c r="W829" s="26"/>
    </row>
    <row r="830" spans="22:23" x14ac:dyDescent="0.2">
      <c r="V830" s="26"/>
      <c r="W830" s="26"/>
    </row>
    <row r="831" spans="22:23" x14ac:dyDescent="0.2">
      <c r="V831" s="26"/>
      <c r="W831" s="26"/>
    </row>
    <row r="832" spans="22:23" x14ac:dyDescent="0.2">
      <c r="V832" s="26"/>
      <c r="W832" s="26"/>
    </row>
    <row r="833" spans="22:23" x14ac:dyDescent="0.2">
      <c r="V833" s="26"/>
      <c r="W833" s="26"/>
    </row>
    <row r="834" spans="22:23" x14ac:dyDescent="0.2">
      <c r="V834" s="26"/>
      <c r="W834" s="26"/>
    </row>
    <row r="835" spans="22:23" x14ac:dyDescent="0.2">
      <c r="V835" s="26"/>
      <c r="W835" s="26"/>
    </row>
    <row r="836" spans="22:23" x14ac:dyDescent="0.2">
      <c r="V836" s="26"/>
      <c r="W836" s="26"/>
    </row>
    <row r="837" spans="22:23" x14ac:dyDescent="0.2">
      <c r="V837" s="26"/>
      <c r="W837" s="26"/>
    </row>
    <row r="838" spans="22:23" x14ac:dyDescent="0.2">
      <c r="V838" s="26"/>
      <c r="W838" s="26"/>
    </row>
    <row r="839" spans="22:23" x14ac:dyDescent="0.2">
      <c r="V839" s="26"/>
      <c r="W839" s="26"/>
    </row>
    <row r="840" spans="22:23" x14ac:dyDescent="0.2">
      <c r="V840" s="26"/>
      <c r="W840" s="26"/>
    </row>
    <row r="841" spans="22:23" x14ac:dyDescent="0.2">
      <c r="V841" s="26"/>
      <c r="W841" s="26"/>
    </row>
    <row r="842" spans="22:23" x14ac:dyDescent="0.2">
      <c r="V842" s="26"/>
      <c r="W842" s="26"/>
    </row>
    <row r="843" spans="22:23" x14ac:dyDescent="0.2">
      <c r="V843" s="26"/>
      <c r="W843" s="26"/>
    </row>
    <row r="844" spans="22:23" x14ac:dyDescent="0.2">
      <c r="V844" s="26"/>
      <c r="W844" s="26"/>
    </row>
    <row r="845" spans="22:23" x14ac:dyDescent="0.2">
      <c r="V845" s="26"/>
      <c r="W845" s="26"/>
    </row>
    <row r="846" spans="22:23" x14ac:dyDescent="0.2">
      <c r="V846" s="26"/>
      <c r="W846" s="26"/>
    </row>
    <row r="847" spans="22:23" x14ac:dyDescent="0.2">
      <c r="V847" s="26"/>
      <c r="W847" s="26"/>
    </row>
    <row r="848" spans="22:23" x14ac:dyDescent="0.2">
      <c r="V848" s="26"/>
      <c r="W848" s="26"/>
    </row>
    <row r="849" spans="22:23" x14ac:dyDescent="0.2">
      <c r="V849" s="26"/>
      <c r="W849" s="26"/>
    </row>
    <row r="850" spans="22:23" x14ac:dyDescent="0.2">
      <c r="V850" s="26"/>
      <c r="W850" s="26"/>
    </row>
    <row r="851" spans="22:23" x14ac:dyDescent="0.2">
      <c r="V851" s="26"/>
      <c r="W851" s="26"/>
    </row>
    <row r="852" spans="22:23" x14ac:dyDescent="0.2">
      <c r="V852" s="26"/>
      <c r="W852" s="26"/>
    </row>
    <row r="853" spans="22:23" x14ac:dyDescent="0.2">
      <c r="V853" s="26"/>
      <c r="W853" s="26"/>
    </row>
    <row r="854" spans="22:23" x14ac:dyDescent="0.2">
      <c r="V854" s="26"/>
      <c r="W854" s="26"/>
    </row>
    <row r="855" spans="22:23" x14ac:dyDescent="0.2">
      <c r="V855" s="26"/>
      <c r="W855" s="26"/>
    </row>
    <row r="856" spans="22:23" x14ac:dyDescent="0.2">
      <c r="V856" s="26"/>
      <c r="W856" s="26"/>
    </row>
    <row r="857" spans="22:23" x14ac:dyDescent="0.2">
      <c r="V857" s="26"/>
      <c r="W857" s="26"/>
    </row>
    <row r="858" spans="22:23" x14ac:dyDescent="0.2">
      <c r="V858" s="26"/>
      <c r="W858" s="26"/>
    </row>
    <row r="859" spans="22:23" x14ac:dyDescent="0.2">
      <c r="V859" s="26"/>
      <c r="W859" s="26"/>
    </row>
    <row r="860" spans="22:23" x14ac:dyDescent="0.2">
      <c r="V860" s="26"/>
      <c r="W860" s="26"/>
    </row>
    <row r="861" spans="22:23" x14ac:dyDescent="0.2">
      <c r="V861" s="26"/>
      <c r="W861" s="26"/>
    </row>
    <row r="862" spans="22:23" x14ac:dyDescent="0.2">
      <c r="V862" s="26"/>
      <c r="W862" s="26"/>
    </row>
    <row r="863" spans="22:23" x14ac:dyDescent="0.2">
      <c r="V863" s="26"/>
      <c r="W863" s="26"/>
    </row>
    <row r="864" spans="22:23" x14ac:dyDescent="0.2">
      <c r="V864" s="26"/>
      <c r="W864" s="26"/>
    </row>
    <row r="865" spans="22:23" x14ac:dyDescent="0.2">
      <c r="V865" s="26"/>
      <c r="W865" s="26"/>
    </row>
    <row r="866" spans="22:23" x14ac:dyDescent="0.2">
      <c r="V866" s="26"/>
      <c r="W866" s="26"/>
    </row>
    <row r="867" spans="22:23" x14ac:dyDescent="0.2">
      <c r="V867" s="26"/>
      <c r="W867" s="26"/>
    </row>
    <row r="868" spans="22:23" x14ac:dyDescent="0.2">
      <c r="V868" s="26"/>
      <c r="W868" s="26"/>
    </row>
    <row r="869" spans="22:23" x14ac:dyDescent="0.2">
      <c r="V869" s="26"/>
      <c r="W869" s="26"/>
    </row>
    <row r="870" spans="22:23" x14ac:dyDescent="0.2">
      <c r="V870" s="26"/>
      <c r="W870" s="26"/>
    </row>
    <row r="871" spans="22:23" x14ac:dyDescent="0.2">
      <c r="V871" s="26"/>
      <c r="W871" s="26"/>
    </row>
    <row r="872" spans="22:23" x14ac:dyDescent="0.2">
      <c r="V872" s="26"/>
      <c r="W872" s="26"/>
    </row>
    <row r="873" spans="22:23" x14ac:dyDescent="0.2">
      <c r="V873" s="26"/>
      <c r="W873" s="26"/>
    </row>
    <row r="874" spans="22:23" x14ac:dyDescent="0.2">
      <c r="V874" s="26"/>
      <c r="W874" s="26"/>
    </row>
    <row r="875" spans="22:23" x14ac:dyDescent="0.2">
      <c r="V875" s="26"/>
      <c r="W875" s="26"/>
    </row>
    <row r="876" spans="22:23" x14ac:dyDescent="0.2">
      <c r="V876" s="26"/>
      <c r="W876" s="26"/>
    </row>
    <row r="877" spans="22:23" x14ac:dyDescent="0.2">
      <c r="V877" s="26"/>
      <c r="W877" s="26"/>
    </row>
    <row r="878" spans="22:23" x14ac:dyDescent="0.2">
      <c r="V878" s="26"/>
      <c r="W878" s="26"/>
    </row>
    <row r="879" spans="22:23" x14ac:dyDescent="0.2">
      <c r="V879" s="26"/>
      <c r="W879" s="26"/>
    </row>
    <row r="880" spans="22:23" x14ac:dyDescent="0.2">
      <c r="V880" s="26"/>
      <c r="W880" s="26"/>
    </row>
    <row r="881" spans="22:23" x14ac:dyDescent="0.2">
      <c r="V881" s="26"/>
      <c r="W881" s="26"/>
    </row>
    <row r="882" spans="22:23" x14ac:dyDescent="0.2">
      <c r="V882" s="26"/>
      <c r="W882" s="26"/>
    </row>
    <row r="883" spans="22:23" x14ac:dyDescent="0.2">
      <c r="V883" s="26"/>
      <c r="W883" s="26"/>
    </row>
    <row r="884" spans="22:23" x14ac:dyDescent="0.2">
      <c r="V884" s="26"/>
      <c r="W884" s="26"/>
    </row>
    <row r="885" spans="22:23" x14ac:dyDescent="0.2">
      <c r="V885" s="26"/>
      <c r="W885" s="26"/>
    </row>
    <row r="886" spans="22:23" x14ac:dyDescent="0.2">
      <c r="V886" s="26"/>
      <c r="W886" s="26"/>
    </row>
    <row r="887" spans="22:23" x14ac:dyDescent="0.2">
      <c r="V887" s="26"/>
      <c r="W887" s="26"/>
    </row>
    <row r="888" spans="22:23" x14ac:dyDescent="0.2">
      <c r="V888" s="26"/>
      <c r="W888" s="26"/>
    </row>
    <row r="889" spans="22:23" x14ac:dyDescent="0.2">
      <c r="V889" s="26"/>
      <c r="W889" s="26"/>
    </row>
    <row r="890" spans="22:23" x14ac:dyDescent="0.2">
      <c r="V890" s="26"/>
      <c r="W890" s="26"/>
    </row>
    <row r="891" spans="22:23" x14ac:dyDescent="0.2">
      <c r="V891" s="26"/>
      <c r="W891" s="26"/>
    </row>
    <row r="892" spans="22:23" x14ac:dyDescent="0.2">
      <c r="V892" s="26"/>
      <c r="W892" s="26"/>
    </row>
    <row r="893" spans="22:23" x14ac:dyDescent="0.2">
      <c r="V893" s="26"/>
      <c r="W893" s="26"/>
    </row>
    <row r="894" spans="22:23" x14ac:dyDescent="0.2">
      <c r="V894" s="26"/>
      <c r="W894" s="26"/>
    </row>
    <row r="895" spans="22:23" x14ac:dyDescent="0.2">
      <c r="V895" s="26"/>
      <c r="W895" s="26"/>
    </row>
    <row r="896" spans="22:23" x14ac:dyDescent="0.2">
      <c r="V896" s="26"/>
      <c r="W896" s="26"/>
    </row>
    <row r="897" spans="22:23" x14ac:dyDescent="0.2">
      <c r="V897" s="26"/>
      <c r="W897" s="26"/>
    </row>
    <row r="898" spans="22:23" x14ac:dyDescent="0.2">
      <c r="V898" s="26"/>
      <c r="W898" s="26"/>
    </row>
    <row r="899" spans="22:23" x14ac:dyDescent="0.2">
      <c r="V899" s="26"/>
      <c r="W899" s="26"/>
    </row>
    <row r="900" spans="22:23" x14ac:dyDescent="0.2">
      <c r="V900" s="26"/>
      <c r="W900" s="26"/>
    </row>
    <row r="901" spans="22:23" x14ac:dyDescent="0.2">
      <c r="V901" s="26"/>
      <c r="W901" s="26"/>
    </row>
    <row r="902" spans="22:23" x14ac:dyDescent="0.2">
      <c r="V902" s="26"/>
      <c r="W902" s="26"/>
    </row>
    <row r="903" spans="22:23" x14ac:dyDescent="0.2">
      <c r="V903" s="26"/>
      <c r="W903" s="26"/>
    </row>
    <row r="904" spans="22:23" x14ac:dyDescent="0.2">
      <c r="V904" s="26"/>
      <c r="W904" s="26"/>
    </row>
    <row r="905" spans="22:23" x14ac:dyDescent="0.2">
      <c r="V905" s="26"/>
      <c r="W905" s="26"/>
    </row>
    <row r="906" spans="22:23" x14ac:dyDescent="0.2">
      <c r="V906" s="26"/>
      <c r="W906" s="26"/>
    </row>
    <row r="907" spans="22:23" x14ac:dyDescent="0.2">
      <c r="V907" s="26"/>
      <c r="W907" s="26"/>
    </row>
    <row r="908" spans="22:23" x14ac:dyDescent="0.2">
      <c r="V908" s="26"/>
      <c r="W908" s="26"/>
    </row>
    <row r="909" spans="22:23" x14ac:dyDescent="0.2">
      <c r="V909" s="26"/>
      <c r="W909" s="26"/>
    </row>
    <row r="910" spans="22:23" x14ac:dyDescent="0.2">
      <c r="V910" s="26"/>
      <c r="W910" s="26"/>
    </row>
    <row r="911" spans="22:23" x14ac:dyDescent="0.2">
      <c r="V911" s="26"/>
      <c r="W911" s="26"/>
    </row>
    <row r="912" spans="22:23" x14ac:dyDescent="0.2">
      <c r="V912" s="26"/>
      <c r="W912" s="26"/>
    </row>
    <row r="913" spans="22:23" x14ac:dyDescent="0.2">
      <c r="V913" s="26"/>
      <c r="W913" s="26"/>
    </row>
    <row r="914" spans="22:23" x14ac:dyDescent="0.2">
      <c r="V914" s="26"/>
      <c r="W914" s="26"/>
    </row>
    <row r="915" spans="22:23" x14ac:dyDescent="0.2">
      <c r="V915" s="26"/>
      <c r="W915" s="26"/>
    </row>
    <row r="916" spans="22:23" x14ac:dyDescent="0.2">
      <c r="V916" s="26"/>
      <c r="W916" s="26"/>
    </row>
    <row r="917" spans="22:23" x14ac:dyDescent="0.2">
      <c r="V917" s="26"/>
      <c r="W917" s="26"/>
    </row>
    <row r="918" spans="22:23" x14ac:dyDescent="0.2">
      <c r="V918" s="26"/>
      <c r="W918" s="26"/>
    </row>
    <row r="919" spans="22:23" x14ac:dyDescent="0.2">
      <c r="V919" s="26"/>
      <c r="W919" s="26"/>
    </row>
    <row r="920" spans="22:23" x14ac:dyDescent="0.2">
      <c r="V920" s="26"/>
      <c r="W920" s="26"/>
    </row>
    <row r="921" spans="22:23" x14ac:dyDescent="0.2">
      <c r="V921" s="26"/>
      <c r="W921" s="26"/>
    </row>
    <row r="922" spans="22:23" x14ac:dyDescent="0.2">
      <c r="V922" s="26"/>
      <c r="W922" s="26"/>
    </row>
    <row r="923" spans="22:23" x14ac:dyDescent="0.2">
      <c r="V923" s="26"/>
      <c r="W923" s="26"/>
    </row>
    <row r="924" spans="22:23" x14ac:dyDescent="0.2">
      <c r="V924" s="26"/>
      <c r="W924" s="26"/>
    </row>
    <row r="925" spans="22:23" x14ac:dyDescent="0.2">
      <c r="V925" s="26"/>
      <c r="W925" s="26"/>
    </row>
    <row r="926" spans="22:23" x14ac:dyDescent="0.2">
      <c r="V926" s="26"/>
      <c r="W926" s="26"/>
    </row>
    <row r="927" spans="22:23" x14ac:dyDescent="0.2">
      <c r="V927" s="26"/>
      <c r="W927" s="26"/>
    </row>
    <row r="928" spans="22:23" x14ac:dyDescent="0.2">
      <c r="V928" s="26"/>
      <c r="W928" s="26"/>
    </row>
    <row r="929" spans="22:23" x14ac:dyDescent="0.2">
      <c r="V929" s="26"/>
      <c r="W929" s="26"/>
    </row>
    <row r="930" spans="22:23" x14ac:dyDescent="0.2">
      <c r="V930" s="26"/>
      <c r="W930" s="26"/>
    </row>
    <row r="931" spans="22:23" x14ac:dyDescent="0.2">
      <c r="V931" s="26"/>
      <c r="W931" s="26"/>
    </row>
    <row r="932" spans="22:23" x14ac:dyDescent="0.2">
      <c r="V932" s="26"/>
      <c r="W932" s="26"/>
    </row>
    <row r="933" spans="22:23" x14ac:dyDescent="0.2">
      <c r="V933" s="26"/>
      <c r="W933" s="26"/>
    </row>
    <row r="934" spans="22:23" x14ac:dyDescent="0.2">
      <c r="V934" s="26"/>
      <c r="W934" s="26"/>
    </row>
    <row r="935" spans="22:23" x14ac:dyDescent="0.2">
      <c r="V935" s="26"/>
      <c r="W935" s="26"/>
    </row>
    <row r="936" spans="22:23" x14ac:dyDescent="0.2">
      <c r="V936" s="26"/>
      <c r="W936" s="26"/>
    </row>
    <row r="937" spans="22:23" x14ac:dyDescent="0.2">
      <c r="V937" s="26"/>
      <c r="W937" s="26"/>
    </row>
    <row r="938" spans="22:23" x14ac:dyDescent="0.2">
      <c r="V938" s="26"/>
      <c r="W938" s="26"/>
    </row>
    <row r="939" spans="22:23" x14ac:dyDescent="0.2">
      <c r="V939" s="26"/>
      <c r="W939" s="26"/>
    </row>
    <row r="940" spans="22:23" x14ac:dyDescent="0.2">
      <c r="V940" s="26"/>
      <c r="W940" s="26"/>
    </row>
    <row r="941" spans="22:23" x14ac:dyDescent="0.2">
      <c r="V941" s="26"/>
      <c r="W941" s="26"/>
    </row>
    <row r="942" spans="22:23" x14ac:dyDescent="0.2">
      <c r="V942" s="26"/>
      <c r="W942" s="26"/>
    </row>
    <row r="943" spans="22:23" x14ac:dyDescent="0.2">
      <c r="V943" s="26"/>
      <c r="W943" s="26"/>
    </row>
    <row r="944" spans="22:23" x14ac:dyDescent="0.2">
      <c r="V944" s="26"/>
      <c r="W944" s="26"/>
    </row>
    <row r="945" spans="22:23" x14ac:dyDescent="0.2">
      <c r="V945" s="26"/>
      <c r="W945" s="26"/>
    </row>
    <row r="946" spans="22:23" x14ac:dyDescent="0.2">
      <c r="V946" s="26"/>
      <c r="W946" s="26"/>
    </row>
    <row r="947" spans="22:23" x14ac:dyDescent="0.2">
      <c r="V947" s="26"/>
      <c r="W947" s="26"/>
    </row>
    <row r="948" spans="22:23" x14ac:dyDescent="0.2">
      <c r="V948" s="26"/>
      <c r="W948" s="26"/>
    </row>
    <row r="949" spans="22:23" x14ac:dyDescent="0.2">
      <c r="V949" s="26"/>
      <c r="W949" s="26"/>
    </row>
    <row r="950" spans="22:23" x14ac:dyDescent="0.2">
      <c r="V950" s="26"/>
      <c r="W950" s="26"/>
    </row>
    <row r="951" spans="22:23" x14ac:dyDescent="0.2">
      <c r="V951" s="26"/>
      <c r="W951" s="26"/>
    </row>
    <row r="952" spans="22:23" x14ac:dyDescent="0.2">
      <c r="V952" s="26"/>
      <c r="W952" s="26"/>
    </row>
    <row r="953" spans="22:23" x14ac:dyDescent="0.2">
      <c r="V953" s="26"/>
      <c r="W953" s="26"/>
    </row>
    <row r="954" spans="22:23" x14ac:dyDescent="0.2">
      <c r="V954" s="26"/>
      <c r="W954" s="26"/>
    </row>
    <row r="955" spans="22:23" x14ac:dyDescent="0.2">
      <c r="V955" s="26"/>
      <c r="W955" s="26"/>
    </row>
    <row r="956" spans="22:23" x14ac:dyDescent="0.2">
      <c r="V956" s="26"/>
      <c r="W956" s="26"/>
    </row>
    <row r="957" spans="22:23" x14ac:dyDescent="0.2">
      <c r="V957" s="26"/>
      <c r="W957" s="26"/>
    </row>
    <row r="958" spans="22:23" x14ac:dyDescent="0.2">
      <c r="V958" s="26"/>
      <c r="W958" s="26"/>
    </row>
    <row r="959" spans="22:23" x14ac:dyDescent="0.2">
      <c r="V959" s="26"/>
      <c r="W959" s="26"/>
    </row>
    <row r="960" spans="22:23" x14ac:dyDescent="0.2">
      <c r="V960" s="26"/>
      <c r="W960" s="26"/>
    </row>
    <row r="961" spans="22:23" x14ac:dyDescent="0.2">
      <c r="V961" s="26"/>
      <c r="W961" s="26"/>
    </row>
    <row r="962" spans="22:23" x14ac:dyDescent="0.2">
      <c r="V962" s="26"/>
      <c r="W962" s="26"/>
    </row>
    <row r="963" spans="22:23" x14ac:dyDescent="0.2">
      <c r="V963" s="26"/>
      <c r="W963" s="26"/>
    </row>
    <row r="964" spans="22:23" x14ac:dyDescent="0.2">
      <c r="V964" s="26"/>
      <c r="W964" s="26"/>
    </row>
    <row r="965" spans="22:23" x14ac:dyDescent="0.2">
      <c r="V965" s="26"/>
      <c r="W965" s="26"/>
    </row>
    <row r="966" spans="22:23" x14ac:dyDescent="0.2">
      <c r="V966" s="26"/>
      <c r="W966" s="26"/>
    </row>
    <row r="967" spans="22:23" x14ac:dyDescent="0.2">
      <c r="V967" s="26"/>
      <c r="W967" s="26"/>
    </row>
    <row r="968" spans="22:23" x14ac:dyDescent="0.2">
      <c r="V968" s="26"/>
      <c r="W968" s="26"/>
    </row>
    <row r="969" spans="22:23" x14ac:dyDescent="0.2">
      <c r="V969" s="26"/>
      <c r="W969" s="26"/>
    </row>
    <row r="970" spans="22:23" x14ac:dyDescent="0.2">
      <c r="V970" s="26"/>
      <c r="W970" s="26"/>
    </row>
    <row r="971" spans="22:23" x14ac:dyDescent="0.2">
      <c r="V971" s="26"/>
      <c r="W971" s="26"/>
    </row>
    <row r="972" spans="22:23" x14ac:dyDescent="0.2">
      <c r="V972" s="26"/>
      <c r="W972" s="26"/>
    </row>
    <row r="973" spans="22:23" x14ac:dyDescent="0.2">
      <c r="V973" s="26"/>
      <c r="W973" s="26"/>
    </row>
    <row r="974" spans="22:23" x14ac:dyDescent="0.2">
      <c r="V974" s="26"/>
      <c r="W974" s="26"/>
    </row>
    <row r="975" spans="22:23" x14ac:dyDescent="0.2">
      <c r="V975" s="26"/>
      <c r="W975" s="26"/>
    </row>
    <row r="976" spans="22:23" x14ac:dyDescent="0.2">
      <c r="V976" s="26"/>
      <c r="W976" s="26"/>
    </row>
    <row r="977" spans="22:23" x14ac:dyDescent="0.2">
      <c r="V977" s="26"/>
      <c r="W977" s="26"/>
    </row>
    <row r="978" spans="22:23" x14ac:dyDescent="0.2">
      <c r="V978" s="26"/>
      <c r="W978" s="26"/>
    </row>
    <row r="979" spans="22:23" x14ac:dyDescent="0.2">
      <c r="V979" s="26"/>
      <c r="W979" s="26"/>
    </row>
    <row r="980" spans="22:23" x14ac:dyDescent="0.2">
      <c r="V980" s="26"/>
      <c r="W980" s="26"/>
    </row>
    <row r="981" spans="22:23" x14ac:dyDescent="0.2">
      <c r="V981" s="26"/>
      <c r="W981" s="26"/>
    </row>
    <row r="982" spans="22:23" x14ac:dyDescent="0.2">
      <c r="V982" s="26"/>
      <c r="W982" s="26"/>
    </row>
    <row r="983" spans="22:23" x14ac:dyDescent="0.2">
      <c r="V983" s="26"/>
      <c r="W983" s="26"/>
    </row>
    <row r="984" spans="22:23" x14ac:dyDescent="0.2">
      <c r="V984" s="26"/>
      <c r="W984" s="26"/>
    </row>
    <row r="985" spans="22:23" x14ac:dyDescent="0.2">
      <c r="V985" s="26"/>
      <c r="W985" s="26"/>
    </row>
    <row r="986" spans="22:23" x14ac:dyDescent="0.2">
      <c r="V986" s="26"/>
      <c r="W986" s="26"/>
    </row>
    <row r="987" spans="22:23" x14ac:dyDescent="0.2">
      <c r="V987" s="26"/>
      <c r="W987" s="26"/>
    </row>
    <row r="988" spans="22:23" x14ac:dyDescent="0.2">
      <c r="V988" s="26"/>
      <c r="W988" s="26"/>
    </row>
    <row r="989" spans="22:23" x14ac:dyDescent="0.2">
      <c r="V989" s="26"/>
      <c r="W989" s="26"/>
    </row>
    <row r="990" spans="22:23" x14ac:dyDescent="0.2">
      <c r="V990" s="26"/>
      <c r="W990" s="26"/>
    </row>
    <row r="991" spans="22:23" x14ac:dyDescent="0.2">
      <c r="V991" s="26"/>
      <c r="W991" s="26"/>
    </row>
    <row r="992" spans="22:23" x14ac:dyDescent="0.2">
      <c r="V992" s="26"/>
      <c r="W992" s="26"/>
    </row>
    <row r="993" spans="22:23" x14ac:dyDescent="0.2">
      <c r="V993" s="26"/>
      <c r="W993" s="26"/>
    </row>
    <row r="994" spans="22:23" x14ac:dyDescent="0.2">
      <c r="V994" s="26"/>
      <c r="W994" s="26"/>
    </row>
    <row r="995" spans="22:23" x14ac:dyDescent="0.2">
      <c r="V995" s="26"/>
      <c r="W995" s="26"/>
    </row>
    <row r="996" spans="22:23" x14ac:dyDescent="0.2">
      <c r="V996" s="26"/>
      <c r="W996" s="26"/>
    </row>
    <row r="997" spans="22:23" x14ac:dyDescent="0.2">
      <c r="V997" s="26"/>
      <c r="W997" s="26"/>
    </row>
    <row r="998" spans="22:23" x14ac:dyDescent="0.2">
      <c r="V998" s="26"/>
      <c r="W998" s="26"/>
    </row>
    <row r="999" spans="22:23" x14ac:dyDescent="0.2">
      <c r="V999" s="26"/>
      <c r="W999" s="26"/>
    </row>
    <row r="1000" spans="22:23" x14ac:dyDescent="0.2">
      <c r="V1000" s="26"/>
      <c r="W1000" s="26"/>
    </row>
    <row r="1001" spans="22:23" x14ac:dyDescent="0.2">
      <c r="V1001" s="26"/>
      <c r="W1001" s="2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K935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.75" customHeight="1" x14ac:dyDescent="0.2"/>
  <cols>
    <col min="1" max="1" width="6.42578125" customWidth="1"/>
    <col min="2" max="2" width="47.42578125" customWidth="1"/>
    <col min="3" max="3" width="4.42578125" customWidth="1"/>
    <col min="4" max="4" width="8.7109375" hidden="1" customWidth="1"/>
    <col min="5" max="5" width="30.7109375" hidden="1" customWidth="1"/>
    <col min="6" max="6" width="8.28515625" hidden="1" customWidth="1"/>
    <col min="7" max="7" width="29.42578125" hidden="1" customWidth="1"/>
    <col min="8" max="8" width="9.140625" hidden="1" customWidth="1"/>
    <col min="9" max="9" width="9.85546875" hidden="1" customWidth="1"/>
    <col min="10" max="10" width="7.140625" hidden="1" customWidth="1"/>
    <col min="11" max="11" width="10.42578125" hidden="1" customWidth="1"/>
    <col min="12" max="12" width="9.28515625" hidden="1" customWidth="1"/>
    <col min="13" max="13" width="11.7109375" customWidth="1"/>
    <col min="14" max="14" width="9.42578125" hidden="1" customWidth="1"/>
    <col min="15" max="15" width="9.28515625" hidden="1" customWidth="1"/>
    <col min="16" max="16" width="12.5703125" customWidth="1"/>
    <col min="17" max="17" width="9.42578125" hidden="1" customWidth="1"/>
    <col min="18" max="18" width="9.28515625" hidden="1" customWidth="1"/>
    <col min="19" max="19" width="11.7109375" customWidth="1"/>
    <col min="20" max="20" width="9.42578125" hidden="1" customWidth="1"/>
    <col min="21" max="21" width="8" hidden="1" customWidth="1"/>
    <col min="22" max="22" width="10.42578125" hidden="1" customWidth="1"/>
    <col min="23" max="23" width="13.5703125" customWidth="1"/>
    <col min="24" max="24" width="9.42578125" hidden="1" customWidth="1"/>
    <col min="25" max="26" width="10.42578125" hidden="1" customWidth="1"/>
    <col min="27" max="27" width="11.7109375" hidden="1" customWidth="1"/>
    <col min="28" max="28" width="13.28515625" hidden="1" customWidth="1"/>
    <col min="29" max="29" width="9.42578125" hidden="1" customWidth="1"/>
    <col min="30" max="31" width="10.42578125" hidden="1" customWidth="1"/>
    <col min="32" max="32" width="11.7109375" hidden="1" customWidth="1"/>
    <col min="33" max="33" width="13.28515625" hidden="1" customWidth="1"/>
    <col min="34" max="34" width="9.42578125" hidden="1" customWidth="1"/>
    <col min="35" max="36" width="10.42578125" hidden="1" customWidth="1"/>
    <col min="37" max="37" width="11.7109375" hidden="1" customWidth="1"/>
    <col min="38" max="38" width="13.28515625" hidden="1" customWidth="1"/>
    <col min="39" max="39" width="9.42578125" hidden="1" customWidth="1"/>
    <col min="40" max="41" width="10.42578125" hidden="1" customWidth="1"/>
    <col min="42" max="42" width="11.7109375" hidden="1" customWidth="1"/>
    <col min="43" max="43" width="13.28515625" hidden="1" customWidth="1"/>
    <col min="44" max="44" width="9.42578125" hidden="1" customWidth="1"/>
    <col min="45" max="46" width="10.42578125" hidden="1" customWidth="1"/>
    <col min="47" max="47" width="11.7109375" hidden="1" customWidth="1"/>
    <col min="48" max="48" width="13.28515625" hidden="1" customWidth="1"/>
    <col min="49" max="49" width="9.42578125" hidden="1" customWidth="1"/>
    <col min="50" max="51" width="10.42578125" hidden="1" customWidth="1"/>
    <col min="52" max="52" width="11.7109375" hidden="1" customWidth="1"/>
    <col min="53" max="53" width="13.28515625" hidden="1" customWidth="1"/>
    <col min="54" max="54" width="9.42578125" hidden="1" customWidth="1"/>
    <col min="55" max="56" width="10.42578125" hidden="1" customWidth="1"/>
    <col min="57" max="57" width="11.7109375" hidden="1" customWidth="1"/>
    <col min="58" max="58" width="13.28515625" hidden="1" customWidth="1"/>
    <col min="59" max="59" width="9.42578125" hidden="1" customWidth="1"/>
    <col min="60" max="61" width="10.42578125" hidden="1" customWidth="1"/>
    <col min="62" max="62" width="11.7109375" hidden="1" customWidth="1"/>
    <col min="63" max="63" width="13.28515625" hidden="1" customWidth="1"/>
  </cols>
  <sheetData>
    <row r="1" spans="1:63" x14ac:dyDescent="0.2">
      <c r="A1" s="1"/>
      <c r="B1" s="1"/>
      <c r="C1" s="1"/>
      <c r="D1" s="1"/>
      <c r="E1" s="1"/>
      <c r="F1" s="1"/>
      <c r="G1" s="1"/>
      <c r="H1" s="1"/>
      <c r="I1" s="1"/>
      <c r="J1" s="4"/>
      <c r="K1" s="4"/>
      <c r="L1" s="1"/>
      <c r="M1" s="27" t="s">
        <v>172</v>
      </c>
      <c r="N1" s="28"/>
      <c r="O1" s="27"/>
      <c r="P1" s="27" t="s">
        <v>173</v>
      </c>
      <c r="Q1" s="28"/>
      <c r="R1" s="27"/>
      <c r="S1" s="27" t="s">
        <v>174</v>
      </c>
      <c r="T1" s="5"/>
      <c r="U1" s="6">
        <f>W1/V1</f>
        <v>0.67767053595786275</v>
      </c>
      <c r="V1" s="11">
        <f t="shared" ref="V1:W1" si="0">SUM(V3:V25)</f>
        <v>791550.66000000015</v>
      </c>
      <c r="W1" s="11">
        <f t="shared" si="0"/>
        <v>536410.56000000006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 x14ac:dyDescent="0.2">
      <c r="A2" s="12" t="s">
        <v>0</v>
      </c>
      <c r="B2" s="12" t="s">
        <v>1</v>
      </c>
      <c r="C2" s="12" t="s">
        <v>2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9</v>
      </c>
      <c r="J2" s="4" t="s">
        <v>10</v>
      </c>
      <c r="K2" s="4" t="s">
        <v>11</v>
      </c>
      <c r="L2" s="12" t="s">
        <v>12</v>
      </c>
      <c r="M2" s="12" t="s">
        <v>13</v>
      </c>
      <c r="N2" s="5" t="s">
        <v>14</v>
      </c>
      <c r="O2" s="12" t="s">
        <v>15</v>
      </c>
      <c r="P2" s="12" t="s">
        <v>16</v>
      </c>
      <c r="Q2" s="5" t="s">
        <v>17</v>
      </c>
      <c r="R2" s="12" t="s">
        <v>18</v>
      </c>
      <c r="S2" s="12" t="s">
        <v>19</v>
      </c>
      <c r="T2" s="5" t="s">
        <v>20</v>
      </c>
      <c r="U2" s="12" t="s">
        <v>21</v>
      </c>
      <c r="V2" s="13" t="s">
        <v>22</v>
      </c>
      <c r="W2" s="13" t="s">
        <v>23</v>
      </c>
      <c r="X2" s="12" t="s">
        <v>24</v>
      </c>
      <c r="Y2" s="12" t="s">
        <v>25</v>
      </c>
      <c r="Z2" s="12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2" t="s">
        <v>34</v>
      </c>
      <c r="AI2" s="12" t="s">
        <v>35</v>
      </c>
      <c r="AJ2" s="12" t="s">
        <v>36</v>
      </c>
      <c r="AK2" s="12" t="s">
        <v>37</v>
      </c>
      <c r="AL2" s="12" t="s">
        <v>38</v>
      </c>
      <c r="AM2" s="12" t="s">
        <v>39</v>
      </c>
      <c r="AN2" s="12" t="s">
        <v>40</v>
      </c>
      <c r="AO2" s="12" t="s">
        <v>41</v>
      </c>
      <c r="AP2" s="12" t="s">
        <v>42</v>
      </c>
      <c r="AQ2" s="12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2" t="s">
        <v>51</v>
      </c>
      <c r="AZ2" s="12" t="s">
        <v>52</v>
      </c>
      <c r="BA2" s="12" t="s">
        <v>53</v>
      </c>
      <c r="BB2" s="12" t="s">
        <v>54</v>
      </c>
      <c r="BC2" s="12" t="s">
        <v>55</v>
      </c>
      <c r="BD2" s="12" t="s">
        <v>56</v>
      </c>
      <c r="BE2" s="12" t="s">
        <v>57</v>
      </c>
      <c r="BF2" s="12" t="s">
        <v>58</v>
      </c>
      <c r="BG2" s="12" t="s">
        <v>59</v>
      </c>
      <c r="BH2" s="12" t="s">
        <v>60</v>
      </c>
      <c r="BI2" s="12" t="s">
        <v>61</v>
      </c>
      <c r="BJ2" s="12" t="s">
        <v>62</v>
      </c>
      <c r="BK2" s="12" t="s">
        <v>63</v>
      </c>
    </row>
    <row r="3" spans="1:63" x14ac:dyDescent="0.2">
      <c r="A3" s="1">
        <v>47001</v>
      </c>
      <c r="B3" s="1" t="s">
        <v>65</v>
      </c>
      <c r="C3" s="1">
        <v>16</v>
      </c>
      <c r="D3" s="1">
        <v>677</v>
      </c>
      <c r="E3" s="1" t="s">
        <v>64</v>
      </c>
      <c r="F3" s="1">
        <v>61</v>
      </c>
      <c r="G3" s="1" t="s">
        <v>66</v>
      </c>
      <c r="H3" s="1">
        <v>56.590200000000003</v>
      </c>
      <c r="I3" s="1">
        <v>905.44320000000005</v>
      </c>
      <c r="J3" s="15"/>
      <c r="K3" s="15"/>
      <c r="L3" s="1">
        <v>26.06</v>
      </c>
      <c r="M3" s="1">
        <v>34.25</v>
      </c>
      <c r="N3" s="17"/>
      <c r="O3" s="1">
        <v>55.5</v>
      </c>
      <c r="P3" s="1">
        <v>51.5</v>
      </c>
      <c r="Q3" s="17"/>
      <c r="R3" s="1">
        <v>48.5</v>
      </c>
      <c r="S3" s="1">
        <v>29.69</v>
      </c>
      <c r="T3" s="17"/>
      <c r="U3" s="1">
        <v>0</v>
      </c>
      <c r="V3" s="18">
        <v>117764.21</v>
      </c>
      <c r="W3" s="2">
        <v>104522.1</v>
      </c>
      <c r="X3" s="1">
        <v>102</v>
      </c>
      <c r="Y3" s="1">
        <v>159</v>
      </c>
      <c r="Z3" s="1">
        <v>114</v>
      </c>
      <c r="AA3" s="1">
        <v>243</v>
      </c>
      <c r="AB3" s="1">
        <v>548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229</v>
      </c>
      <c r="AS3" s="1">
        <v>236</v>
      </c>
      <c r="AT3" s="1">
        <v>328</v>
      </c>
      <c r="AU3" s="1">
        <v>426</v>
      </c>
      <c r="AV3" s="1">
        <v>824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248</v>
      </c>
      <c r="BC3" s="1">
        <v>280</v>
      </c>
      <c r="BD3" s="1">
        <v>313</v>
      </c>
      <c r="BE3" s="1">
        <v>150</v>
      </c>
      <c r="BF3" s="1">
        <v>475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</row>
    <row r="4" spans="1:63" x14ac:dyDescent="0.2">
      <c r="A4" s="1">
        <v>47023</v>
      </c>
      <c r="B4" s="1" t="s">
        <v>76</v>
      </c>
      <c r="C4" s="1">
        <v>8</v>
      </c>
      <c r="D4" s="1">
        <v>677</v>
      </c>
      <c r="E4" s="1" t="s">
        <v>64</v>
      </c>
      <c r="F4" s="1">
        <v>61</v>
      </c>
      <c r="G4" s="1" t="s">
        <v>66</v>
      </c>
      <c r="H4" s="1">
        <v>105.55</v>
      </c>
      <c r="I4" s="1">
        <v>844.4</v>
      </c>
      <c r="J4" s="15"/>
      <c r="K4" s="15"/>
      <c r="L4" s="1">
        <v>31.06</v>
      </c>
      <c r="M4" s="1">
        <v>3.38</v>
      </c>
      <c r="N4" s="17"/>
      <c r="O4" s="1">
        <v>37.25</v>
      </c>
      <c r="P4" s="1">
        <v>11.12</v>
      </c>
      <c r="Q4" s="17"/>
      <c r="R4" s="1">
        <v>26.5</v>
      </c>
      <c r="S4" s="1">
        <v>18</v>
      </c>
      <c r="T4" s="17"/>
      <c r="U4" s="1">
        <v>0</v>
      </c>
      <c r="V4" s="18">
        <v>80059.679999999993</v>
      </c>
      <c r="W4" s="2">
        <v>27443</v>
      </c>
      <c r="X4" s="1">
        <v>66</v>
      </c>
      <c r="Y4" s="1">
        <v>65</v>
      </c>
      <c r="Z4" s="1">
        <v>107</v>
      </c>
      <c r="AA4" s="1">
        <v>86</v>
      </c>
      <c r="AB4" s="1">
        <v>27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131</v>
      </c>
      <c r="AS4" s="1">
        <v>65</v>
      </c>
      <c r="AT4" s="1">
        <v>77</v>
      </c>
      <c r="AU4" s="1">
        <v>115</v>
      </c>
      <c r="AV4" s="1">
        <v>89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60</v>
      </c>
      <c r="BC4" s="1">
        <v>59</v>
      </c>
      <c r="BD4" s="1">
        <v>76</v>
      </c>
      <c r="BE4" s="1">
        <v>93</v>
      </c>
      <c r="BF4" s="1">
        <v>144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</row>
    <row r="5" spans="1:63" x14ac:dyDescent="0.2">
      <c r="A5" s="1">
        <v>47010</v>
      </c>
      <c r="B5" s="1" t="s">
        <v>71</v>
      </c>
      <c r="C5" s="1">
        <v>24</v>
      </c>
      <c r="D5" s="1">
        <v>677</v>
      </c>
      <c r="E5" s="1" t="s">
        <v>64</v>
      </c>
      <c r="F5" s="1">
        <v>61</v>
      </c>
      <c r="G5" s="1" t="s">
        <v>66</v>
      </c>
      <c r="H5" s="1">
        <v>48.56</v>
      </c>
      <c r="I5" s="1">
        <v>1165.44</v>
      </c>
      <c r="J5" s="15"/>
      <c r="K5" s="15"/>
      <c r="L5" s="1">
        <v>14.65</v>
      </c>
      <c r="M5" s="1">
        <v>10.33</v>
      </c>
      <c r="N5" s="17"/>
      <c r="O5" s="1">
        <v>27.42</v>
      </c>
      <c r="P5" s="1">
        <v>16.829999999999998</v>
      </c>
      <c r="Q5" s="17"/>
      <c r="R5" s="1">
        <v>23.79</v>
      </c>
      <c r="S5" s="1">
        <v>20.46</v>
      </c>
      <c r="T5" s="17"/>
      <c r="U5" s="1">
        <v>0</v>
      </c>
      <c r="V5" s="18">
        <v>76749.08</v>
      </c>
      <c r="W5" s="2">
        <v>55504.08</v>
      </c>
      <c r="X5" s="1">
        <v>76</v>
      </c>
      <c r="Y5" s="1">
        <v>96</v>
      </c>
      <c r="Z5" s="1">
        <v>129</v>
      </c>
      <c r="AA5" s="1">
        <v>197</v>
      </c>
      <c r="AB5" s="1">
        <v>248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122</v>
      </c>
      <c r="AS5" s="1">
        <v>237</v>
      </c>
      <c r="AT5" s="1">
        <v>267</v>
      </c>
      <c r="AU5" s="1">
        <v>301</v>
      </c>
      <c r="AV5" s="1">
        <v>404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112</v>
      </c>
      <c r="BC5" s="1">
        <v>202</v>
      </c>
      <c r="BD5" s="1">
        <v>212</v>
      </c>
      <c r="BE5" s="1">
        <v>292</v>
      </c>
      <c r="BF5" s="1">
        <v>491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</row>
    <row r="6" spans="1:63" x14ac:dyDescent="0.2">
      <c r="A6" s="1">
        <v>47012</v>
      </c>
      <c r="B6" s="1" t="s">
        <v>74</v>
      </c>
      <c r="C6" s="1">
        <v>18</v>
      </c>
      <c r="D6" s="1">
        <v>677</v>
      </c>
      <c r="E6" s="1" t="s">
        <v>64</v>
      </c>
      <c r="F6" s="1">
        <v>61</v>
      </c>
      <c r="G6" s="1" t="s">
        <v>66</v>
      </c>
      <c r="H6" s="1">
        <v>58.837899999999998</v>
      </c>
      <c r="I6" s="1">
        <v>1059.0822000000001</v>
      </c>
      <c r="J6" s="15"/>
      <c r="K6" s="15"/>
      <c r="L6" s="1">
        <v>17.920000000000002</v>
      </c>
      <c r="M6" s="1">
        <v>16.940000000000001</v>
      </c>
      <c r="N6" s="17"/>
      <c r="O6" s="1">
        <v>26.72</v>
      </c>
      <c r="P6" s="1">
        <v>29.44</v>
      </c>
      <c r="Q6" s="17"/>
      <c r="R6" s="1">
        <v>25.5</v>
      </c>
      <c r="S6" s="1">
        <v>15.33</v>
      </c>
      <c r="T6" s="17"/>
      <c r="U6" s="1">
        <v>0</v>
      </c>
      <c r="V6" s="18">
        <v>74282.850000000006</v>
      </c>
      <c r="W6" s="2">
        <v>65368.91</v>
      </c>
      <c r="X6" s="1">
        <v>124</v>
      </c>
      <c r="Y6" s="1">
        <v>46</v>
      </c>
      <c r="Z6" s="1">
        <v>57</v>
      </c>
      <c r="AA6" s="1">
        <v>237</v>
      </c>
      <c r="AB6" s="1">
        <v>305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193</v>
      </c>
      <c r="AS6" s="1">
        <v>178</v>
      </c>
      <c r="AT6" s="1">
        <v>118</v>
      </c>
      <c r="AU6" s="1">
        <v>162</v>
      </c>
      <c r="AV6" s="1">
        <v>530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218</v>
      </c>
      <c r="BC6" s="1">
        <v>82</v>
      </c>
      <c r="BD6" s="1">
        <v>135</v>
      </c>
      <c r="BE6" s="1">
        <v>130</v>
      </c>
      <c r="BF6" s="1">
        <v>276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</row>
    <row r="7" spans="1:63" x14ac:dyDescent="0.2">
      <c r="A7" s="1">
        <v>47005</v>
      </c>
      <c r="B7" s="1" t="s">
        <v>68</v>
      </c>
      <c r="C7" s="1">
        <v>24</v>
      </c>
      <c r="D7" s="1">
        <v>677</v>
      </c>
      <c r="E7" s="1" t="s">
        <v>64</v>
      </c>
      <c r="F7" s="1">
        <v>61</v>
      </c>
      <c r="G7" s="1" t="s">
        <v>66</v>
      </c>
      <c r="H7" s="1">
        <v>22.315999999999999</v>
      </c>
      <c r="I7" s="1">
        <v>535.58399999999995</v>
      </c>
      <c r="J7" s="15"/>
      <c r="K7" s="15"/>
      <c r="L7" s="1">
        <v>36.92</v>
      </c>
      <c r="M7" s="1">
        <v>9.58</v>
      </c>
      <c r="N7" s="17"/>
      <c r="O7" s="1">
        <v>46.02</v>
      </c>
      <c r="P7" s="1">
        <v>51.79</v>
      </c>
      <c r="Q7" s="17"/>
      <c r="R7" s="1">
        <v>52.08</v>
      </c>
      <c r="S7" s="1">
        <v>9.2899999999999991</v>
      </c>
      <c r="T7" s="17"/>
      <c r="U7" s="1">
        <v>0</v>
      </c>
      <c r="V7" s="18">
        <v>72315</v>
      </c>
      <c r="W7" s="2">
        <v>37847.94</v>
      </c>
      <c r="X7" s="1">
        <v>370</v>
      </c>
      <c r="Y7" s="1">
        <v>70</v>
      </c>
      <c r="Z7" s="1">
        <v>319</v>
      </c>
      <c r="AA7" s="1">
        <v>324</v>
      </c>
      <c r="AB7" s="1">
        <v>230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342</v>
      </c>
      <c r="AS7" s="1">
        <v>401</v>
      </c>
      <c r="AT7" s="1">
        <v>332</v>
      </c>
      <c r="AU7" s="1">
        <v>460</v>
      </c>
      <c r="AV7" s="1">
        <v>1243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445</v>
      </c>
      <c r="BC7" s="1">
        <v>227</v>
      </c>
      <c r="BD7" s="1">
        <v>432</v>
      </c>
      <c r="BE7" s="1">
        <v>519</v>
      </c>
      <c r="BF7" s="1">
        <v>223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</row>
    <row r="8" spans="1:63" x14ac:dyDescent="0.2">
      <c r="A8" s="1">
        <v>47046</v>
      </c>
      <c r="B8" s="1" t="s">
        <v>78</v>
      </c>
      <c r="C8" s="1">
        <v>24</v>
      </c>
      <c r="D8" s="1">
        <v>677</v>
      </c>
      <c r="E8" s="1" t="s">
        <v>64</v>
      </c>
      <c r="F8" s="1">
        <v>61</v>
      </c>
      <c r="G8" s="1" t="s">
        <v>66</v>
      </c>
      <c r="H8" s="1">
        <v>39.11</v>
      </c>
      <c r="I8" s="1">
        <v>938.64</v>
      </c>
      <c r="J8" s="15"/>
      <c r="K8" s="15"/>
      <c r="L8" s="1">
        <v>9.7100000000000009</v>
      </c>
      <c r="M8" s="1">
        <v>8.9600000000000009</v>
      </c>
      <c r="N8" s="17"/>
      <c r="O8" s="1">
        <v>23.42</v>
      </c>
      <c r="P8" s="1">
        <v>25.5</v>
      </c>
      <c r="Q8" s="17"/>
      <c r="R8" s="1">
        <v>23.1</v>
      </c>
      <c r="S8" s="1">
        <v>4.92</v>
      </c>
      <c r="T8" s="17"/>
      <c r="U8" s="1">
        <v>0</v>
      </c>
      <c r="V8" s="18">
        <v>52778.94</v>
      </c>
      <c r="W8" s="2">
        <v>36958.949999999997</v>
      </c>
      <c r="X8" s="1">
        <v>43</v>
      </c>
      <c r="Y8" s="1">
        <v>54</v>
      </c>
      <c r="Z8" s="1">
        <v>104</v>
      </c>
      <c r="AA8" s="1">
        <v>118</v>
      </c>
      <c r="AB8" s="1">
        <v>215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152</v>
      </c>
      <c r="AS8" s="1">
        <v>80</v>
      </c>
      <c r="AT8" s="1">
        <v>263</v>
      </c>
      <c r="AU8" s="1">
        <v>214</v>
      </c>
      <c r="AV8" s="1">
        <v>612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197</v>
      </c>
      <c r="BC8" s="1">
        <v>111</v>
      </c>
      <c r="BD8" s="1">
        <v>191</v>
      </c>
      <c r="BE8" s="1">
        <v>222</v>
      </c>
      <c r="BF8" s="1">
        <v>118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</row>
    <row r="9" spans="1:63" x14ac:dyDescent="0.2">
      <c r="A9" s="1">
        <v>47008</v>
      </c>
      <c r="B9" s="1" t="s">
        <v>93</v>
      </c>
      <c r="C9" s="1">
        <v>24</v>
      </c>
      <c r="D9" s="1">
        <v>677</v>
      </c>
      <c r="E9" s="1" t="s">
        <v>64</v>
      </c>
      <c r="F9" s="1">
        <v>61</v>
      </c>
      <c r="G9" s="1" t="s">
        <v>66</v>
      </c>
      <c r="H9" s="1">
        <v>35.74</v>
      </c>
      <c r="I9" s="1">
        <v>857.76</v>
      </c>
      <c r="J9" s="15"/>
      <c r="K9" s="15"/>
      <c r="L9" s="1">
        <v>8.5</v>
      </c>
      <c r="M9" s="1">
        <v>-1.5</v>
      </c>
      <c r="N9" s="17"/>
      <c r="O9" s="1">
        <v>19.98</v>
      </c>
      <c r="P9" s="1">
        <v>8.25</v>
      </c>
      <c r="Q9" s="17"/>
      <c r="R9" s="1">
        <v>31.1</v>
      </c>
      <c r="S9" s="1">
        <v>1.5</v>
      </c>
      <c r="T9" s="17"/>
      <c r="U9" s="1">
        <v>0</v>
      </c>
      <c r="V9" s="18">
        <v>51108.2</v>
      </c>
      <c r="W9" s="2">
        <v>7076.52</v>
      </c>
      <c r="X9" s="1">
        <v>58</v>
      </c>
      <c r="Y9" s="1">
        <v>86</v>
      </c>
      <c r="Z9" s="1">
        <v>43</v>
      </c>
      <c r="AA9" s="1">
        <v>120</v>
      </c>
      <c r="AB9" s="1">
        <v>-36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150</v>
      </c>
      <c r="AS9" s="1">
        <v>70</v>
      </c>
      <c r="AT9" s="1">
        <v>193</v>
      </c>
      <c r="AU9" s="1">
        <v>203</v>
      </c>
      <c r="AV9" s="1">
        <v>198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375</v>
      </c>
      <c r="BC9" s="1">
        <v>91</v>
      </c>
      <c r="BD9" s="1">
        <v>182</v>
      </c>
      <c r="BE9" s="1">
        <v>288</v>
      </c>
      <c r="BF9" s="1">
        <v>36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</row>
    <row r="10" spans="1:63" x14ac:dyDescent="0.2">
      <c r="A10" s="1">
        <v>47000</v>
      </c>
      <c r="B10" s="1" t="s">
        <v>85</v>
      </c>
      <c r="C10" s="1">
        <v>16</v>
      </c>
      <c r="D10" s="1">
        <v>677</v>
      </c>
      <c r="E10" s="1" t="s">
        <v>64</v>
      </c>
      <c r="F10" s="1">
        <v>61</v>
      </c>
      <c r="G10" s="1" t="s">
        <v>66</v>
      </c>
      <c r="H10" s="1">
        <v>56.59</v>
      </c>
      <c r="I10" s="1">
        <v>905.44</v>
      </c>
      <c r="J10" s="15"/>
      <c r="K10" s="15"/>
      <c r="L10" s="1">
        <v>12.59</v>
      </c>
      <c r="M10" s="1">
        <v>2.12</v>
      </c>
      <c r="N10" s="17"/>
      <c r="O10" s="1">
        <v>17.62</v>
      </c>
      <c r="P10" s="1">
        <v>29.69</v>
      </c>
      <c r="Q10" s="17"/>
      <c r="R10" s="1">
        <v>15.78</v>
      </c>
      <c r="S10" s="1">
        <v>8.1199999999999992</v>
      </c>
      <c r="T10" s="17"/>
      <c r="U10" s="1">
        <v>0</v>
      </c>
      <c r="V10" s="18">
        <v>41650.239999999998</v>
      </c>
      <c r="W10" s="2">
        <v>36161.01</v>
      </c>
      <c r="X10" s="1">
        <v>16</v>
      </c>
      <c r="Y10" s="1">
        <v>24</v>
      </c>
      <c r="Z10" s="1">
        <v>95</v>
      </c>
      <c r="AA10" s="1">
        <v>157</v>
      </c>
      <c r="AB10" s="1">
        <v>34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97</v>
      </c>
      <c r="AS10" s="1">
        <v>61</v>
      </c>
      <c r="AT10" s="1">
        <v>117</v>
      </c>
      <c r="AU10" s="1">
        <v>75</v>
      </c>
      <c r="AV10" s="1">
        <v>475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90</v>
      </c>
      <c r="BC10" s="1">
        <v>50</v>
      </c>
      <c r="BD10" s="1">
        <v>96</v>
      </c>
      <c r="BE10" s="1">
        <v>83</v>
      </c>
      <c r="BF10" s="1">
        <v>130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</row>
    <row r="11" spans="1:63" x14ac:dyDescent="0.2">
      <c r="A11" s="1">
        <v>47039</v>
      </c>
      <c r="B11" s="1" t="s">
        <v>79</v>
      </c>
      <c r="C11" s="1">
        <v>24</v>
      </c>
      <c r="D11" s="1">
        <v>677</v>
      </c>
      <c r="E11" s="1" t="s">
        <v>64</v>
      </c>
      <c r="F11" s="1">
        <v>61</v>
      </c>
      <c r="G11" s="1" t="s">
        <v>66</v>
      </c>
      <c r="H11" s="1">
        <v>52.259</v>
      </c>
      <c r="I11" s="1">
        <v>1254.2159999999999</v>
      </c>
      <c r="J11" s="15"/>
      <c r="K11" s="15"/>
      <c r="L11" s="1">
        <v>5.69</v>
      </c>
      <c r="M11" s="1">
        <v>0.42</v>
      </c>
      <c r="N11" s="17"/>
      <c r="O11" s="1">
        <v>13.38</v>
      </c>
      <c r="P11" s="1">
        <v>9.9600000000000009</v>
      </c>
      <c r="Q11" s="17"/>
      <c r="R11" s="1">
        <v>12.33</v>
      </c>
      <c r="S11" s="1">
        <v>0.21</v>
      </c>
      <c r="T11" s="17"/>
      <c r="U11" s="1">
        <v>0</v>
      </c>
      <c r="V11" s="18">
        <v>39377.160000000003</v>
      </c>
      <c r="W11" s="2">
        <v>13273.79</v>
      </c>
      <c r="X11" s="1">
        <v>80</v>
      </c>
      <c r="Y11" s="1">
        <v>28</v>
      </c>
      <c r="Z11" s="1">
        <v>28</v>
      </c>
      <c r="AA11" s="1">
        <v>29</v>
      </c>
      <c r="AB11" s="1">
        <v>10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141</v>
      </c>
      <c r="AS11" s="1">
        <v>92</v>
      </c>
      <c r="AT11" s="1">
        <v>94</v>
      </c>
      <c r="AU11" s="1">
        <v>80</v>
      </c>
      <c r="AV11" s="1">
        <v>239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125</v>
      </c>
      <c r="BC11" s="1">
        <v>90</v>
      </c>
      <c r="BD11" s="1">
        <v>83</v>
      </c>
      <c r="BE11" s="1">
        <v>86</v>
      </c>
      <c r="BF11" s="1">
        <v>5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</row>
    <row r="12" spans="1:63" x14ac:dyDescent="0.2">
      <c r="A12" s="1">
        <v>10703</v>
      </c>
      <c r="B12" s="1" t="s">
        <v>82</v>
      </c>
      <c r="C12" s="1">
        <v>12</v>
      </c>
      <c r="D12" s="1">
        <v>677</v>
      </c>
      <c r="E12" s="1" t="s">
        <v>64</v>
      </c>
      <c r="F12" s="1">
        <v>542</v>
      </c>
      <c r="G12" s="1" t="s">
        <v>84</v>
      </c>
      <c r="H12" s="1">
        <v>133.74420000000001</v>
      </c>
      <c r="I12" s="1">
        <v>1604.9304</v>
      </c>
      <c r="J12" s="15"/>
      <c r="K12" s="15"/>
      <c r="L12" s="1">
        <v>3.5</v>
      </c>
      <c r="M12" s="1">
        <v>2</v>
      </c>
      <c r="N12" s="17"/>
      <c r="O12" s="1">
        <v>7.08</v>
      </c>
      <c r="P12" s="1">
        <v>8.17</v>
      </c>
      <c r="Q12" s="17"/>
      <c r="R12" s="1">
        <v>8.1199999999999992</v>
      </c>
      <c r="S12" s="1">
        <v>0.42</v>
      </c>
      <c r="T12" s="17"/>
      <c r="U12" s="1">
        <v>0</v>
      </c>
      <c r="V12" s="18">
        <v>30025.57</v>
      </c>
      <c r="W12" s="2">
        <v>16985.509999999998</v>
      </c>
      <c r="X12" s="1">
        <v>16</v>
      </c>
      <c r="Y12" s="1">
        <v>15</v>
      </c>
      <c r="Z12" s="1">
        <v>0</v>
      </c>
      <c r="AA12" s="1">
        <v>37</v>
      </c>
      <c r="AB12" s="1">
        <v>24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31</v>
      </c>
      <c r="AS12" s="1">
        <v>27</v>
      </c>
      <c r="AT12" s="1">
        <v>20</v>
      </c>
      <c r="AU12" s="1">
        <v>41</v>
      </c>
      <c r="AV12" s="1">
        <v>98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53</v>
      </c>
      <c r="BC12" s="1">
        <v>24</v>
      </c>
      <c r="BD12" s="1">
        <v>0</v>
      </c>
      <c r="BE12" s="1">
        <v>65</v>
      </c>
      <c r="BF12" s="1">
        <v>5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</row>
    <row r="13" spans="1:63" x14ac:dyDescent="0.2">
      <c r="A13" s="1">
        <v>47024</v>
      </c>
      <c r="B13" s="1" t="s">
        <v>88</v>
      </c>
      <c r="C13" s="1">
        <v>12</v>
      </c>
      <c r="D13" s="1">
        <v>677</v>
      </c>
      <c r="E13" s="1" t="s">
        <v>64</v>
      </c>
      <c r="F13" s="1">
        <v>61</v>
      </c>
      <c r="G13" s="1" t="s">
        <v>66</v>
      </c>
      <c r="H13" s="1">
        <v>135.38999999999999</v>
      </c>
      <c r="I13" s="1">
        <v>1624.68</v>
      </c>
      <c r="J13" s="15"/>
      <c r="K13" s="15"/>
      <c r="L13" s="1">
        <v>8.08</v>
      </c>
      <c r="M13" s="1">
        <v>2.42</v>
      </c>
      <c r="N13" s="17"/>
      <c r="O13" s="1">
        <v>3.08</v>
      </c>
      <c r="P13" s="1">
        <v>0.67</v>
      </c>
      <c r="Q13" s="17"/>
      <c r="R13" s="1">
        <v>6.29</v>
      </c>
      <c r="S13" s="1">
        <v>4.08</v>
      </c>
      <c r="T13" s="17"/>
      <c r="U13" s="1">
        <v>0</v>
      </c>
      <c r="V13" s="18">
        <v>28364.2</v>
      </c>
      <c r="W13" s="2">
        <v>11643.54</v>
      </c>
      <c r="X13" s="1">
        <v>26</v>
      </c>
      <c r="Y13" s="1">
        <v>32</v>
      </c>
      <c r="Z13" s="1">
        <v>32</v>
      </c>
      <c r="AA13" s="1">
        <v>46</v>
      </c>
      <c r="AB13" s="1">
        <v>29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20</v>
      </c>
      <c r="AS13" s="1">
        <v>11</v>
      </c>
      <c r="AT13" s="1">
        <v>7</v>
      </c>
      <c r="AU13" s="1">
        <v>9</v>
      </c>
      <c r="AV13" s="1">
        <v>8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43</v>
      </c>
      <c r="BC13" s="1">
        <v>37</v>
      </c>
      <c r="BD13" s="1">
        <v>5</v>
      </c>
      <c r="BE13" s="1">
        <v>18</v>
      </c>
      <c r="BF13" s="1">
        <v>49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</row>
    <row r="14" spans="1:63" x14ac:dyDescent="0.2">
      <c r="A14" s="1">
        <v>47038</v>
      </c>
      <c r="B14" s="1" t="s">
        <v>90</v>
      </c>
      <c r="C14" s="1">
        <v>28</v>
      </c>
      <c r="D14" s="1">
        <v>677</v>
      </c>
      <c r="E14" s="1" t="s">
        <v>64</v>
      </c>
      <c r="F14" s="1">
        <v>61</v>
      </c>
      <c r="G14" s="1" t="s">
        <v>66</v>
      </c>
      <c r="H14" s="1">
        <v>26.59</v>
      </c>
      <c r="I14" s="1">
        <v>744.52</v>
      </c>
      <c r="J14" s="15"/>
      <c r="K14" s="15"/>
      <c r="L14" s="1">
        <v>11.23</v>
      </c>
      <c r="M14" s="1">
        <v>1.93</v>
      </c>
      <c r="N14" s="17"/>
      <c r="O14" s="1">
        <v>12.52</v>
      </c>
      <c r="P14" s="1">
        <v>18.68</v>
      </c>
      <c r="Q14" s="17"/>
      <c r="R14" s="1">
        <v>11.8</v>
      </c>
      <c r="S14" s="1">
        <v>7.39</v>
      </c>
      <c r="T14" s="17"/>
      <c r="U14" s="1">
        <v>0</v>
      </c>
      <c r="V14" s="18">
        <v>26470.34</v>
      </c>
      <c r="W14" s="2">
        <v>20846.560000000001</v>
      </c>
      <c r="X14" s="1">
        <v>80</v>
      </c>
      <c r="Y14" s="1">
        <v>36</v>
      </c>
      <c r="Z14" s="1">
        <v>112</v>
      </c>
      <c r="AA14" s="1">
        <v>209</v>
      </c>
      <c r="AB14" s="1">
        <v>54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74</v>
      </c>
      <c r="AS14" s="1">
        <v>117</v>
      </c>
      <c r="AT14" s="1">
        <v>124</v>
      </c>
      <c r="AU14" s="1">
        <v>188</v>
      </c>
      <c r="AV14" s="1">
        <v>523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126</v>
      </c>
      <c r="BC14" s="1">
        <v>45</v>
      </c>
      <c r="BD14" s="1">
        <v>118</v>
      </c>
      <c r="BE14" s="1">
        <v>128</v>
      </c>
      <c r="BF14" s="1">
        <v>207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</row>
    <row r="15" spans="1:63" x14ac:dyDescent="0.2">
      <c r="A15" s="1">
        <v>47004</v>
      </c>
      <c r="B15" s="1" t="s">
        <v>86</v>
      </c>
      <c r="C15" s="1">
        <v>24</v>
      </c>
      <c r="D15" s="1">
        <v>677</v>
      </c>
      <c r="E15" s="1" t="s">
        <v>64</v>
      </c>
      <c r="F15" s="1">
        <v>61</v>
      </c>
      <c r="G15" s="1" t="s">
        <v>66</v>
      </c>
      <c r="H15" s="1">
        <v>22.315999999999999</v>
      </c>
      <c r="I15" s="1">
        <v>535.58399999999995</v>
      </c>
      <c r="J15" s="15"/>
      <c r="K15" s="15"/>
      <c r="L15" s="1">
        <v>14.81</v>
      </c>
      <c r="M15" s="1">
        <v>2.75</v>
      </c>
      <c r="N15" s="17"/>
      <c r="O15" s="1">
        <v>9.9600000000000009</v>
      </c>
      <c r="P15" s="1">
        <v>21.25</v>
      </c>
      <c r="Q15" s="17"/>
      <c r="R15" s="1">
        <v>14.85</v>
      </c>
      <c r="S15" s="1">
        <v>25.25</v>
      </c>
      <c r="T15" s="17"/>
      <c r="U15" s="1">
        <v>0</v>
      </c>
      <c r="V15" s="18">
        <v>21222.52</v>
      </c>
      <c r="W15" s="2">
        <v>26377.51</v>
      </c>
      <c r="X15" s="1">
        <v>154</v>
      </c>
      <c r="Y15" s="1">
        <v>85</v>
      </c>
      <c r="Z15" s="1">
        <v>60</v>
      </c>
      <c r="AA15" s="1">
        <v>198</v>
      </c>
      <c r="AB15" s="1">
        <v>66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58</v>
      </c>
      <c r="AS15" s="1">
        <v>75</v>
      </c>
      <c r="AT15" s="1">
        <v>92</v>
      </c>
      <c r="AU15" s="1">
        <v>103</v>
      </c>
      <c r="AV15" s="1">
        <v>510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49</v>
      </c>
      <c r="BC15" s="1">
        <v>56</v>
      </c>
      <c r="BD15" s="1">
        <v>236</v>
      </c>
      <c r="BE15" s="1">
        <v>87</v>
      </c>
      <c r="BF15" s="1">
        <v>606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</row>
    <row r="16" spans="1:63" x14ac:dyDescent="0.2">
      <c r="A16" s="1">
        <v>47003</v>
      </c>
      <c r="B16" s="1" t="s">
        <v>91</v>
      </c>
      <c r="C16" s="1">
        <v>24</v>
      </c>
      <c r="D16" s="1">
        <v>677</v>
      </c>
      <c r="E16" s="1" t="s">
        <v>64</v>
      </c>
      <c r="F16" s="1">
        <v>61</v>
      </c>
      <c r="G16" s="1" t="s">
        <v>66</v>
      </c>
      <c r="H16" s="1">
        <v>22.315999999999999</v>
      </c>
      <c r="I16" s="1">
        <v>535.58399999999995</v>
      </c>
      <c r="J16" s="15"/>
      <c r="K16" s="15"/>
      <c r="L16" s="1">
        <v>16.149999999999999</v>
      </c>
      <c r="M16" s="1">
        <v>4.08</v>
      </c>
      <c r="N16" s="17"/>
      <c r="O16" s="1">
        <v>8.2899999999999991</v>
      </c>
      <c r="P16" s="1">
        <v>23.29</v>
      </c>
      <c r="Q16" s="17"/>
      <c r="R16" s="1">
        <v>9.83</v>
      </c>
      <c r="S16" s="1">
        <v>5.04</v>
      </c>
      <c r="T16" s="17"/>
      <c r="U16" s="1">
        <v>0</v>
      </c>
      <c r="V16" s="18">
        <v>18354.91</v>
      </c>
      <c r="W16" s="2">
        <v>17361.849999999999</v>
      </c>
      <c r="X16" s="1">
        <v>122</v>
      </c>
      <c r="Y16" s="1">
        <v>35</v>
      </c>
      <c r="Z16" s="1">
        <v>206</v>
      </c>
      <c r="AA16" s="1">
        <v>84</v>
      </c>
      <c r="AB16" s="1">
        <v>98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64</v>
      </c>
      <c r="AS16" s="1">
        <v>59</v>
      </c>
      <c r="AT16" s="1">
        <v>79</v>
      </c>
      <c r="AU16" s="1">
        <v>53</v>
      </c>
      <c r="AV16" s="1">
        <v>559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34</v>
      </c>
      <c r="BC16" s="1">
        <v>54</v>
      </c>
      <c r="BD16" s="1">
        <v>138</v>
      </c>
      <c r="BE16" s="1">
        <v>74</v>
      </c>
      <c r="BF16" s="1">
        <v>121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</row>
    <row r="17" spans="1:63" x14ac:dyDescent="0.2">
      <c r="A17" s="1">
        <v>47029</v>
      </c>
      <c r="B17" s="1" t="s">
        <v>94</v>
      </c>
      <c r="C17" s="1">
        <v>24</v>
      </c>
      <c r="D17" s="1">
        <v>677</v>
      </c>
      <c r="E17" s="1" t="s">
        <v>64</v>
      </c>
      <c r="F17" s="1">
        <v>61</v>
      </c>
      <c r="G17" s="1" t="s">
        <v>66</v>
      </c>
      <c r="H17" s="1">
        <v>41.26</v>
      </c>
      <c r="I17" s="1">
        <v>990.24</v>
      </c>
      <c r="J17" s="15"/>
      <c r="K17" s="15"/>
      <c r="L17" s="1">
        <v>4.8499999999999996</v>
      </c>
      <c r="M17" s="1">
        <v>2.96</v>
      </c>
      <c r="N17" s="17"/>
      <c r="O17" s="1">
        <v>8.5</v>
      </c>
      <c r="P17" s="1">
        <v>1.75</v>
      </c>
      <c r="Q17" s="17"/>
      <c r="R17" s="1">
        <v>4.75</v>
      </c>
      <c r="S17" s="1">
        <v>0.5</v>
      </c>
      <c r="T17" s="17"/>
      <c r="U17" s="1">
        <v>0</v>
      </c>
      <c r="V17" s="18">
        <v>17927.47</v>
      </c>
      <c r="W17" s="2">
        <v>5157.5</v>
      </c>
      <c r="X17" s="1">
        <v>23</v>
      </c>
      <c r="Y17" s="1">
        <v>56</v>
      </c>
      <c r="Z17" s="1">
        <v>20</v>
      </c>
      <c r="AA17" s="1">
        <v>91</v>
      </c>
      <c r="AB17" s="1">
        <v>71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103</v>
      </c>
      <c r="AS17" s="1">
        <v>72</v>
      </c>
      <c r="AT17" s="1">
        <v>51</v>
      </c>
      <c r="AU17" s="1">
        <v>28</v>
      </c>
      <c r="AV17" s="1">
        <v>42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20</v>
      </c>
      <c r="BC17" s="1">
        <v>28</v>
      </c>
      <c r="BD17" s="1">
        <v>58</v>
      </c>
      <c r="BE17" s="1">
        <v>44</v>
      </c>
      <c r="BF17" s="1">
        <v>12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</row>
    <row r="18" spans="1:63" x14ac:dyDescent="0.2">
      <c r="A18" s="1">
        <v>47002</v>
      </c>
      <c r="B18" s="1" t="s">
        <v>89</v>
      </c>
      <c r="C18" s="1">
        <v>24</v>
      </c>
      <c r="D18" s="1">
        <v>677</v>
      </c>
      <c r="E18" s="1" t="s">
        <v>64</v>
      </c>
      <c r="F18" s="1">
        <v>61</v>
      </c>
      <c r="G18" s="1" t="s">
        <v>66</v>
      </c>
      <c r="H18" s="1">
        <v>22.315999999999999</v>
      </c>
      <c r="I18" s="1">
        <v>535.58399999999995</v>
      </c>
      <c r="J18" s="15"/>
      <c r="K18" s="15"/>
      <c r="L18" s="1">
        <v>9.77</v>
      </c>
      <c r="M18" s="1">
        <v>4.04</v>
      </c>
      <c r="N18" s="17"/>
      <c r="O18" s="1">
        <v>7.96</v>
      </c>
      <c r="P18" s="1">
        <v>17.46</v>
      </c>
      <c r="Q18" s="17"/>
      <c r="R18" s="1">
        <v>8</v>
      </c>
      <c r="S18" s="1">
        <v>1.46</v>
      </c>
      <c r="T18" s="17"/>
      <c r="U18" s="1">
        <v>0</v>
      </c>
      <c r="V18" s="18">
        <v>13780.13</v>
      </c>
      <c r="W18" s="2">
        <v>12296.12</v>
      </c>
      <c r="X18" s="1">
        <v>162</v>
      </c>
      <c r="Y18" s="1">
        <v>5</v>
      </c>
      <c r="Z18" s="1">
        <v>40</v>
      </c>
      <c r="AA18" s="1">
        <v>60</v>
      </c>
      <c r="AB18" s="1">
        <v>97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70</v>
      </c>
      <c r="AS18" s="1">
        <v>47</v>
      </c>
      <c r="AT18" s="1">
        <v>57</v>
      </c>
      <c r="AU18" s="1">
        <v>81</v>
      </c>
      <c r="AV18" s="1">
        <v>419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18</v>
      </c>
      <c r="BC18" s="1">
        <v>74</v>
      </c>
      <c r="BD18" s="1">
        <v>118</v>
      </c>
      <c r="BE18" s="1">
        <v>38</v>
      </c>
      <c r="BF18" s="1">
        <v>35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</row>
    <row r="19" spans="1:63" x14ac:dyDescent="0.2">
      <c r="A19" s="1">
        <v>47017</v>
      </c>
      <c r="B19" s="1" t="s">
        <v>175</v>
      </c>
      <c r="C19" s="1">
        <v>24</v>
      </c>
      <c r="D19" s="1">
        <v>677</v>
      </c>
      <c r="E19" s="1" t="s">
        <v>64</v>
      </c>
      <c r="F19" s="1">
        <v>61</v>
      </c>
      <c r="G19" s="1" t="s">
        <v>66</v>
      </c>
      <c r="H19" s="1">
        <v>52.741</v>
      </c>
      <c r="I19" s="1">
        <v>1265.7840000000001</v>
      </c>
      <c r="J19" s="15"/>
      <c r="K19" s="15"/>
      <c r="L19" s="1">
        <v>4.25</v>
      </c>
      <c r="M19" s="1">
        <v>0.75</v>
      </c>
      <c r="N19" s="17"/>
      <c r="O19" s="1">
        <v>2.73</v>
      </c>
      <c r="P19" s="1">
        <v>0.12</v>
      </c>
      <c r="Q19" s="17"/>
      <c r="R19" s="1">
        <v>1.38</v>
      </c>
      <c r="S19" s="1">
        <v>3.62</v>
      </c>
      <c r="T19" s="17"/>
      <c r="U19" s="1">
        <v>0</v>
      </c>
      <c r="V19" s="18">
        <v>10574.57</v>
      </c>
      <c r="W19" s="2">
        <v>5696.03</v>
      </c>
      <c r="X19" s="1">
        <v>102</v>
      </c>
      <c r="Y19" s="1">
        <v>0</v>
      </c>
      <c r="Z19" s="1">
        <v>0</v>
      </c>
      <c r="AA19" s="1">
        <v>0</v>
      </c>
      <c r="AB19" s="1">
        <v>18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62</v>
      </c>
      <c r="AS19" s="1">
        <v>7</v>
      </c>
      <c r="AT19" s="1">
        <v>0</v>
      </c>
      <c r="AU19" s="1">
        <v>0</v>
      </c>
      <c r="AV19" s="1">
        <v>3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33</v>
      </c>
      <c r="BC19" s="1">
        <v>0</v>
      </c>
      <c r="BD19" s="1">
        <v>0</v>
      </c>
      <c r="BE19" s="1">
        <v>0</v>
      </c>
      <c r="BF19" s="1">
        <v>87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</row>
    <row r="20" spans="1:63" x14ac:dyDescent="0.2">
      <c r="A20" s="1">
        <v>47027</v>
      </c>
      <c r="B20" s="1" t="s">
        <v>95</v>
      </c>
      <c r="C20" s="1">
        <v>16</v>
      </c>
      <c r="D20" s="1">
        <v>677</v>
      </c>
      <c r="E20" s="1" t="s">
        <v>64</v>
      </c>
      <c r="F20" s="1">
        <v>999</v>
      </c>
      <c r="G20" s="1" t="s">
        <v>67</v>
      </c>
      <c r="H20" s="1">
        <v>56.59</v>
      </c>
      <c r="I20" s="1">
        <v>905.44</v>
      </c>
      <c r="J20" s="15"/>
      <c r="K20" s="15"/>
      <c r="L20" s="1">
        <v>1.59</v>
      </c>
      <c r="M20" s="1">
        <v>4.0599999999999996</v>
      </c>
      <c r="N20" s="17"/>
      <c r="O20" s="1">
        <v>4.25</v>
      </c>
      <c r="P20" s="1">
        <v>15.06</v>
      </c>
      <c r="Q20" s="17"/>
      <c r="R20" s="1">
        <v>2</v>
      </c>
      <c r="S20" s="1">
        <v>4.1900000000000004</v>
      </c>
      <c r="T20" s="17"/>
      <c r="U20" s="1">
        <v>0</v>
      </c>
      <c r="V20" s="22">
        <v>7102.04</v>
      </c>
      <c r="W20" s="2">
        <v>21108.07</v>
      </c>
      <c r="X20" s="1">
        <v>16</v>
      </c>
      <c r="Y20" s="1">
        <v>19</v>
      </c>
      <c r="Z20" s="1">
        <v>0</v>
      </c>
      <c r="AA20" s="1">
        <v>0</v>
      </c>
      <c r="AB20" s="1">
        <v>65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41</v>
      </c>
      <c r="AS20" s="1">
        <v>54</v>
      </c>
      <c r="AT20" s="1">
        <v>0</v>
      </c>
      <c r="AU20" s="1">
        <v>0</v>
      </c>
      <c r="AV20" s="1">
        <v>241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14</v>
      </c>
      <c r="BC20" s="1">
        <v>36</v>
      </c>
      <c r="BD20" s="1">
        <v>0</v>
      </c>
      <c r="BE20" s="1">
        <v>0</v>
      </c>
      <c r="BF20" s="1">
        <v>67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</row>
    <row r="21" spans="1:63" x14ac:dyDescent="0.2">
      <c r="A21" s="1">
        <v>47014</v>
      </c>
      <c r="B21" s="1" t="s">
        <v>97</v>
      </c>
      <c r="C21" s="1">
        <v>24</v>
      </c>
      <c r="D21" s="1">
        <v>677</v>
      </c>
      <c r="E21" s="1" t="s">
        <v>64</v>
      </c>
      <c r="F21" s="1">
        <v>61</v>
      </c>
      <c r="G21" s="1" t="s">
        <v>66</v>
      </c>
      <c r="H21" s="1">
        <v>43.319099999999999</v>
      </c>
      <c r="I21" s="1">
        <v>1039.6584</v>
      </c>
      <c r="J21" s="15"/>
      <c r="K21" s="15"/>
      <c r="L21" s="1">
        <v>0.38</v>
      </c>
      <c r="M21" s="1">
        <v>0.08</v>
      </c>
      <c r="N21" s="17"/>
      <c r="O21" s="1">
        <v>1.75</v>
      </c>
      <c r="P21" s="1">
        <v>0</v>
      </c>
      <c r="Q21" s="17"/>
      <c r="R21" s="1">
        <v>1.96</v>
      </c>
      <c r="S21" s="1">
        <v>0.42</v>
      </c>
      <c r="T21" s="17"/>
      <c r="U21" s="1">
        <v>0</v>
      </c>
      <c r="V21" s="20">
        <v>4245.2700000000004</v>
      </c>
      <c r="W21" s="2">
        <v>519.83000000000004</v>
      </c>
      <c r="X21" s="1">
        <v>1</v>
      </c>
      <c r="Y21" s="1">
        <v>16</v>
      </c>
      <c r="Z21" s="1">
        <v>0</v>
      </c>
      <c r="AA21" s="1">
        <v>0</v>
      </c>
      <c r="AB21" s="1">
        <v>2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10</v>
      </c>
      <c r="AS21" s="1">
        <v>9</v>
      </c>
      <c r="AT21" s="1">
        <v>21</v>
      </c>
      <c r="AU21" s="1">
        <v>13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8</v>
      </c>
      <c r="BC21" s="1">
        <v>1</v>
      </c>
      <c r="BD21" s="1">
        <v>23</v>
      </c>
      <c r="BE21" s="1">
        <v>31</v>
      </c>
      <c r="BF21" s="1">
        <v>10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</row>
    <row r="22" spans="1:63" x14ac:dyDescent="0.2">
      <c r="A22" s="1">
        <v>47019</v>
      </c>
      <c r="B22" s="1" t="s">
        <v>123</v>
      </c>
      <c r="C22" s="1">
        <v>8</v>
      </c>
      <c r="D22" s="1">
        <v>677</v>
      </c>
      <c r="E22" s="1" t="s">
        <v>64</v>
      </c>
      <c r="F22" s="1">
        <v>61</v>
      </c>
      <c r="G22" s="1" t="s">
        <v>66</v>
      </c>
      <c r="H22" s="1">
        <v>152.41</v>
      </c>
      <c r="I22" s="1">
        <v>1219.28</v>
      </c>
      <c r="J22" s="15"/>
      <c r="K22" s="15"/>
      <c r="L22" s="1">
        <v>1.06</v>
      </c>
      <c r="M22" s="1">
        <v>3.12</v>
      </c>
      <c r="N22" s="17"/>
      <c r="O22" s="1">
        <v>1.56</v>
      </c>
      <c r="P22" s="1">
        <v>2.62</v>
      </c>
      <c r="Q22" s="17"/>
      <c r="R22" s="1">
        <v>0.62</v>
      </c>
      <c r="S22" s="1">
        <v>0.62</v>
      </c>
      <c r="T22" s="17"/>
      <c r="U22" s="1">
        <v>0</v>
      </c>
      <c r="V22" s="20">
        <v>3962.66</v>
      </c>
      <c r="W22" s="2">
        <v>7772.91</v>
      </c>
      <c r="X22" s="1">
        <v>0</v>
      </c>
      <c r="Y22" s="1">
        <v>0</v>
      </c>
      <c r="Z22" s="1">
        <v>2</v>
      </c>
      <c r="AA22" s="1">
        <v>13</v>
      </c>
      <c r="AB22" s="1">
        <v>25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1</v>
      </c>
      <c r="AT22" s="1">
        <v>8</v>
      </c>
      <c r="AU22" s="1">
        <v>8</v>
      </c>
      <c r="AV22" s="1">
        <v>21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1</v>
      </c>
      <c r="BE22" s="1">
        <v>8</v>
      </c>
      <c r="BF22" s="1">
        <v>5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</row>
    <row r="23" spans="1:63" x14ac:dyDescent="0.2">
      <c r="A23" s="1">
        <v>47026</v>
      </c>
      <c r="B23" s="1" t="s">
        <v>120</v>
      </c>
      <c r="C23" s="1">
        <v>12</v>
      </c>
      <c r="D23" s="1">
        <v>677</v>
      </c>
      <c r="E23" s="1" t="s">
        <v>64</v>
      </c>
      <c r="F23" s="1">
        <v>999</v>
      </c>
      <c r="G23" s="1" t="s">
        <v>67</v>
      </c>
      <c r="H23" s="1">
        <v>48.56</v>
      </c>
      <c r="I23" s="1">
        <v>582.72</v>
      </c>
      <c r="J23" s="15"/>
      <c r="K23" s="15"/>
      <c r="L23" s="1">
        <v>0</v>
      </c>
      <c r="M23" s="1">
        <v>0</v>
      </c>
      <c r="N23" s="17"/>
      <c r="O23" s="1">
        <v>3.33</v>
      </c>
      <c r="P23" s="1">
        <v>7.42</v>
      </c>
      <c r="Q23" s="17"/>
      <c r="R23" s="1">
        <v>0</v>
      </c>
      <c r="S23" s="1">
        <v>0</v>
      </c>
      <c r="T23" s="17"/>
      <c r="U23" s="1">
        <v>0</v>
      </c>
      <c r="V23" s="20">
        <v>1942.4</v>
      </c>
      <c r="W23" s="2">
        <v>4321.84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37</v>
      </c>
      <c r="AS23" s="1">
        <v>6</v>
      </c>
      <c r="AT23" s="1">
        <v>0</v>
      </c>
      <c r="AU23" s="1">
        <v>0</v>
      </c>
      <c r="AV23" s="1">
        <v>89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</row>
    <row r="24" spans="1:63" x14ac:dyDescent="0.2">
      <c r="A24" s="1">
        <v>47210</v>
      </c>
      <c r="B24" s="1" t="s">
        <v>127</v>
      </c>
      <c r="C24" s="1">
        <v>12</v>
      </c>
      <c r="D24" s="1">
        <v>677</v>
      </c>
      <c r="E24" s="1" t="s">
        <v>64</v>
      </c>
      <c r="F24" s="1">
        <v>61</v>
      </c>
      <c r="G24" s="1" t="s">
        <v>66</v>
      </c>
      <c r="H24" s="1">
        <v>48.1554</v>
      </c>
      <c r="I24" s="1">
        <v>577.86479999999995</v>
      </c>
      <c r="J24" s="15"/>
      <c r="K24" s="15"/>
      <c r="L24" s="1">
        <v>0.17</v>
      </c>
      <c r="M24" s="1">
        <v>0</v>
      </c>
      <c r="N24" s="17"/>
      <c r="O24" s="1">
        <v>2.33</v>
      </c>
      <c r="P24" s="1">
        <v>3.75</v>
      </c>
      <c r="Q24" s="17"/>
      <c r="R24" s="1">
        <v>0</v>
      </c>
      <c r="S24" s="1">
        <v>0</v>
      </c>
      <c r="T24" s="17"/>
      <c r="U24" s="1">
        <v>0</v>
      </c>
      <c r="V24" s="20">
        <v>1444.66</v>
      </c>
      <c r="W24" s="2">
        <v>2166.9899999999998</v>
      </c>
      <c r="X24" s="1">
        <v>0</v>
      </c>
      <c r="Y24" s="1">
        <v>0</v>
      </c>
      <c r="Z24" s="1">
        <v>1</v>
      </c>
      <c r="AA24" s="1">
        <v>2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15</v>
      </c>
      <c r="AS24" s="1">
        <v>0</v>
      </c>
      <c r="AT24" s="1">
        <v>13</v>
      </c>
      <c r="AU24" s="1">
        <v>0</v>
      </c>
      <c r="AV24" s="1">
        <v>45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</row>
    <row r="25" spans="1:63" x14ac:dyDescent="0.2">
      <c r="A25" s="1">
        <v>47025</v>
      </c>
      <c r="B25" s="1" t="s">
        <v>162</v>
      </c>
      <c r="C25" s="1">
        <v>24</v>
      </c>
      <c r="D25" s="1">
        <v>677</v>
      </c>
      <c r="E25" s="1" t="s">
        <v>64</v>
      </c>
      <c r="F25" s="1">
        <v>677</v>
      </c>
      <c r="G25" s="1" t="s">
        <v>84</v>
      </c>
      <c r="H25" s="1">
        <v>48.56</v>
      </c>
      <c r="I25" s="1">
        <v>1165.44</v>
      </c>
      <c r="J25" s="15"/>
      <c r="K25" s="15"/>
      <c r="L25" s="1">
        <v>0</v>
      </c>
      <c r="M25" s="1">
        <v>0</v>
      </c>
      <c r="N25" s="17"/>
      <c r="O25" s="1">
        <v>0.04</v>
      </c>
      <c r="P25" s="1">
        <v>0</v>
      </c>
      <c r="Q25" s="17"/>
      <c r="R25" s="1">
        <v>0</v>
      </c>
      <c r="S25" s="1">
        <v>0</v>
      </c>
      <c r="T25" s="17"/>
      <c r="U25" s="1">
        <v>0</v>
      </c>
      <c r="V25" s="20">
        <v>48.56</v>
      </c>
      <c r="W25" s="2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1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</row>
    <row r="26" spans="1:63" x14ac:dyDescent="0.2">
      <c r="V26" s="26"/>
      <c r="W26" s="26"/>
    </row>
    <row r="27" spans="1:63" x14ac:dyDescent="0.2">
      <c r="V27" s="26"/>
      <c r="W27" s="26"/>
    </row>
    <row r="28" spans="1:63" x14ac:dyDescent="0.2">
      <c r="V28" s="26"/>
      <c r="W28" s="26"/>
    </row>
    <row r="29" spans="1:63" x14ac:dyDescent="0.2">
      <c r="V29" s="26"/>
      <c r="W29" s="26"/>
    </row>
    <row r="30" spans="1:63" x14ac:dyDescent="0.2">
      <c r="V30" s="26"/>
      <c r="W30" s="26"/>
    </row>
    <row r="31" spans="1:63" x14ac:dyDescent="0.2">
      <c r="V31" s="26"/>
      <c r="W31" s="26"/>
    </row>
    <row r="32" spans="1:63" x14ac:dyDescent="0.2">
      <c r="V32" s="26"/>
      <c r="W32" s="26"/>
    </row>
    <row r="33" spans="22:23" x14ac:dyDescent="0.2">
      <c r="V33" s="26"/>
      <c r="W33" s="26"/>
    </row>
    <row r="34" spans="22:23" x14ac:dyDescent="0.2">
      <c r="V34" s="26"/>
      <c r="W34" s="26"/>
    </row>
    <row r="35" spans="22:23" x14ac:dyDescent="0.2">
      <c r="V35" s="26"/>
      <c r="W35" s="26"/>
    </row>
    <row r="36" spans="22:23" x14ac:dyDescent="0.2">
      <c r="V36" s="26"/>
      <c r="W36" s="26"/>
    </row>
    <row r="37" spans="22:23" x14ac:dyDescent="0.2">
      <c r="V37" s="26"/>
      <c r="W37" s="26"/>
    </row>
    <row r="38" spans="22:23" x14ac:dyDescent="0.2">
      <c r="V38" s="26"/>
      <c r="W38" s="26"/>
    </row>
    <row r="39" spans="22:23" x14ac:dyDescent="0.2">
      <c r="V39" s="26"/>
      <c r="W39" s="26"/>
    </row>
    <row r="40" spans="22:23" x14ac:dyDescent="0.2">
      <c r="V40" s="26"/>
      <c r="W40" s="26"/>
    </row>
    <row r="41" spans="22:23" x14ac:dyDescent="0.2">
      <c r="V41" s="26"/>
      <c r="W41" s="26"/>
    </row>
    <row r="42" spans="22:23" x14ac:dyDescent="0.2">
      <c r="V42" s="26"/>
      <c r="W42" s="26"/>
    </row>
    <row r="43" spans="22:23" x14ac:dyDescent="0.2">
      <c r="V43" s="26"/>
      <c r="W43" s="26"/>
    </row>
    <row r="44" spans="22:23" x14ac:dyDescent="0.2">
      <c r="V44" s="26"/>
      <c r="W44" s="26"/>
    </row>
    <row r="45" spans="22:23" x14ac:dyDescent="0.2">
      <c r="V45" s="26"/>
      <c r="W45" s="26"/>
    </row>
    <row r="46" spans="22:23" x14ac:dyDescent="0.2">
      <c r="V46" s="26"/>
      <c r="W46" s="26"/>
    </row>
    <row r="47" spans="22:23" x14ac:dyDescent="0.2">
      <c r="V47" s="26"/>
      <c r="W47" s="26"/>
    </row>
    <row r="48" spans="22:23" x14ac:dyDescent="0.2">
      <c r="V48" s="26"/>
      <c r="W48" s="26"/>
    </row>
    <row r="49" spans="22:23" x14ac:dyDescent="0.2">
      <c r="V49" s="26"/>
      <c r="W49" s="26"/>
    </row>
    <row r="50" spans="22:23" x14ac:dyDescent="0.2">
      <c r="V50" s="26"/>
      <c r="W50" s="26"/>
    </row>
    <row r="51" spans="22:23" x14ac:dyDescent="0.2">
      <c r="V51" s="26"/>
      <c r="W51" s="26"/>
    </row>
    <row r="52" spans="22:23" x14ac:dyDescent="0.2">
      <c r="V52" s="26"/>
      <c r="W52" s="26"/>
    </row>
    <row r="53" spans="22:23" x14ac:dyDescent="0.2">
      <c r="V53" s="26"/>
      <c r="W53" s="26"/>
    </row>
    <row r="54" spans="22:23" x14ac:dyDescent="0.2">
      <c r="V54" s="26"/>
      <c r="W54" s="26"/>
    </row>
    <row r="55" spans="22:23" x14ac:dyDescent="0.2">
      <c r="V55" s="26"/>
      <c r="W55" s="26"/>
    </row>
    <row r="56" spans="22:23" x14ac:dyDescent="0.2">
      <c r="V56" s="26"/>
      <c r="W56" s="26"/>
    </row>
    <row r="57" spans="22:23" x14ac:dyDescent="0.2">
      <c r="V57" s="26"/>
      <c r="W57" s="26"/>
    </row>
    <row r="58" spans="22:23" x14ac:dyDescent="0.2">
      <c r="V58" s="26"/>
      <c r="W58" s="26"/>
    </row>
    <row r="59" spans="22:23" x14ac:dyDescent="0.2">
      <c r="V59" s="26"/>
      <c r="W59" s="26"/>
    </row>
    <row r="60" spans="22:23" x14ac:dyDescent="0.2">
      <c r="V60" s="26"/>
      <c r="W60" s="26"/>
    </row>
    <row r="61" spans="22:23" x14ac:dyDescent="0.2">
      <c r="V61" s="26"/>
      <c r="W61" s="26"/>
    </row>
    <row r="62" spans="22:23" x14ac:dyDescent="0.2">
      <c r="V62" s="26"/>
      <c r="W62" s="26"/>
    </row>
    <row r="63" spans="22:23" x14ac:dyDescent="0.2">
      <c r="V63" s="26"/>
      <c r="W63" s="26"/>
    </row>
    <row r="64" spans="22:23" x14ac:dyDescent="0.2">
      <c r="V64" s="26"/>
      <c r="W64" s="26"/>
    </row>
    <row r="65" spans="22:23" x14ac:dyDescent="0.2">
      <c r="V65" s="26"/>
      <c r="W65" s="26"/>
    </row>
    <row r="66" spans="22:23" x14ac:dyDescent="0.2">
      <c r="V66" s="26"/>
      <c r="W66" s="26"/>
    </row>
    <row r="67" spans="22:23" x14ac:dyDescent="0.2">
      <c r="V67" s="26"/>
      <c r="W67" s="26"/>
    </row>
    <row r="68" spans="22:23" x14ac:dyDescent="0.2">
      <c r="V68" s="26"/>
      <c r="W68" s="26"/>
    </row>
    <row r="69" spans="22:23" x14ac:dyDescent="0.2">
      <c r="V69" s="26"/>
      <c r="W69" s="26"/>
    </row>
    <row r="70" spans="22:23" x14ac:dyDescent="0.2">
      <c r="V70" s="26"/>
      <c r="W70" s="26"/>
    </row>
    <row r="71" spans="22:23" x14ac:dyDescent="0.2">
      <c r="V71" s="26"/>
      <c r="W71" s="26"/>
    </row>
    <row r="72" spans="22:23" x14ac:dyDescent="0.2">
      <c r="V72" s="26"/>
      <c r="W72" s="26"/>
    </row>
    <row r="73" spans="22:23" x14ac:dyDescent="0.2">
      <c r="V73" s="26"/>
      <c r="W73" s="26"/>
    </row>
    <row r="74" spans="22:23" x14ac:dyDescent="0.2">
      <c r="V74" s="26"/>
      <c r="W74" s="26"/>
    </row>
    <row r="75" spans="22:23" x14ac:dyDescent="0.2">
      <c r="V75" s="26"/>
      <c r="W75" s="26"/>
    </row>
    <row r="76" spans="22:23" x14ac:dyDescent="0.2">
      <c r="V76" s="26"/>
      <c r="W76" s="26"/>
    </row>
    <row r="77" spans="22:23" x14ac:dyDescent="0.2">
      <c r="V77" s="26"/>
      <c r="W77" s="26"/>
    </row>
    <row r="78" spans="22:23" x14ac:dyDescent="0.2">
      <c r="V78" s="26"/>
      <c r="W78" s="26"/>
    </row>
    <row r="79" spans="22:23" x14ac:dyDescent="0.2">
      <c r="V79" s="26"/>
      <c r="W79" s="26"/>
    </row>
    <row r="80" spans="22:23" x14ac:dyDescent="0.2">
      <c r="V80" s="26"/>
      <c r="W80" s="26"/>
    </row>
    <row r="81" spans="22:23" x14ac:dyDescent="0.2">
      <c r="V81" s="26"/>
      <c r="W81" s="26"/>
    </row>
    <row r="82" spans="22:23" x14ac:dyDescent="0.2">
      <c r="V82" s="26"/>
      <c r="W82" s="26"/>
    </row>
    <row r="83" spans="22:23" x14ac:dyDescent="0.2">
      <c r="V83" s="26"/>
      <c r="W83" s="26"/>
    </row>
    <row r="84" spans="22:23" x14ac:dyDescent="0.2">
      <c r="V84" s="26"/>
      <c r="W84" s="26"/>
    </row>
    <row r="85" spans="22:23" x14ac:dyDescent="0.2">
      <c r="V85" s="26"/>
      <c r="W85" s="26"/>
    </row>
    <row r="86" spans="22:23" x14ac:dyDescent="0.2">
      <c r="V86" s="26"/>
      <c r="W86" s="26"/>
    </row>
    <row r="87" spans="22:23" x14ac:dyDescent="0.2">
      <c r="V87" s="26"/>
      <c r="W87" s="26"/>
    </row>
    <row r="88" spans="22:23" x14ac:dyDescent="0.2">
      <c r="V88" s="26"/>
      <c r="W88" s="26"/>
    </row>
    <row r="89" spans="22:23" x14ac:dyDescent="0.2">
      <c r="V89" s="26"/>
      <c r="W89" s="26"/>
    </row>
    <row r="90" spans="22:23" x14ac:dyDescent="0.2">
      <c r="V90" s="26"/>
      <c r="W90" s="26"/>
    </row>
    <row r="91" spans="22:23" x14ac:dyDescent="0.2">
      <c r="V91" s="26"/>
      <c r="W91" s="26"/>
    </row>
    <row r="92" spans="22:23" x14ac:dyDescent="0.2">
      <c r="V92" s="26"/>
      <c r="W92" s="26"/>
    </row>
    <row r="93" spans="22:23" x14ac:dyDescent="0.2">
      <c r="V93" s="26"/>
      <c r="W93" s="26"/>
    </row>
    <row r="94" spans="22:23" x14ac:dyDescent="0.2">
      <c r="V94" s="26"/>
      <c r="W94" s="26"/>
    </row>
    <row r="95" spans="22:23" x14ac:dyDescent="0.2">
      <c r="V95" s="26"/>
      <c r="W95" s="26"/>
    </row>
    <row r="96" spans="22:23" x14ac:dyDescent="0.2">
      <c r="V96" s="26"/>
      <c r="W96" s="26"/>
    </row>
    <row r="97" spans="22:23" x14ac:dyDescent="0.2">
      <c r="V97" s="26"/>
      <c r="W97" s="26"/>
    </row>
    <row r="98" spans="22:23" x14ac:dyDescent="0.2">
      <c r="V98" s="26"/>
      <c r="W98" s="26"/>
    </row>
    <row r="99" spans="22:23" x14ac:dyDescent="0.2">
      <c r="V99" s="26"/>
      <c r="W99" s="26"/>
    </row>
    <row r="100" spans="22:23" x14ac:dyDescent="0.2">
      <c r="V100" s="26"/>
      <c r="W100" s="26"/>
    </row>
    <row r="101" spans="22:23" x14ac:dyDescent="0.2">
      <c r="V101" s="26"/>
      <c r="W101" s="26"/>
    </row>
    <row r="102" spans="22:23" x14ac:dyDescent="0.2">
      <c r="V102" s="26"/>
      <c r="W102" s="26"/>
    </row>
    <row r="103" spans="22:23" x14ac:dyDescent="0.2">
      <c r="V103" s="26"/>
      <c r="W103" s="26"/>
    </row>
    <row r="104" spans="22:23" x14ac:dyDescent="0.2">
      <c r="V104" s="26"/>
      <c r="W104" s="26"/>
    </row>
    <row r="105" spans="22:23" x14ac:dyDescent="0.2">
      <c r="V105" s="26"/>
      <c r="W105" s="26"/>
    </row>
    <row r="106" spans="22:23" x14ac:dyDescent="0.2">
      <c r="V106" s="26"/>
      <c r="W106" s="26"/>
    </row>
    <row r="107" spans="22:23" x14ac:dyDescent="0.2">
      <c r="V107" s="26"/>
      <c r="W107" s="26"/>
    </row>
    <row r="108" spans="22:23" x14ac:dyDescent="0.2">
      <c r="V108" s="26"/>
      <c r="W108" s="26"/>
    </row>
    <row r="109" spans="22:23" x14ac:dyDescent="0.2">
      <c r="V109" s="26"/>
      <c r="W109" s="26"/>
    </row>
    <row r="110" spans="22:23" x14ac:dyDescent="0.2">
      <c r="V110" s="26"/>
      <c r="W110" s="26"/>
    </row>
    <row r="111" spans="22:23" x14ac:dyDescent="0.2">
      <c r="V111" s="26"/>
      <c r="W111" s="26"/>
    </row>
    <row r="112" spans="22:23" x14ac:dyDescent="0.2">
      <c r="V112" s="26"/>
      <c r="W112" s="26"/>
    </row>
    <row r="113" spans="22:23" x14ac:dyDescent="0.2">
      <c r="V113" s="26"/>
      <c r="W113" s="26"/>
    </row>
    <row r="114" spans="22:23" x14ac:dyDescent="0.2">
      <c r="V114" s="26"/>
      <c r="W114" s="26"/>
    </row>
    <row r="115" spans="22:23" x14ac:dyDescent="0.2">
      <c r="V115" s="26"/>
      <c r="W115" s="26"/>
    </row>
    <row r="116" spans="22:23" x14ac:dyDescent="0.2">
      <c r="V116" s="26"/>
      <c r="W116" s="26"/>
    </row>
    <row r="117" spans="22:23" x14ac:dyDescent="0.2">
      <c r="V117" s="26"/>
      <c r="W117" s="26"/>
    </row>
    <row r="118" spans="22:23" x14ac:dyDescent="0.2">
      <c r="V118" s="26"/>
      <c r="W118" s="26"/>
    </row>
    <row r="119" spans="22:23" x14ac:dyDescent="0.2">
      <c r="V119" s="26"/>
      <c r="W119" s="26"/>
    </row>
    <row r="120" spans="22:23" x14ac:dyDescent="0.2">
      <c r="V120" s="26"/>
      <c r="W120" s="26"/>
    </row>
    <row r="121" spans="22:23" x14ac:dyDescent="0.2">
      <c r="V121" s="26"/>
      <c r="W121" s="26"/>
    </row>
    <row r="122" spans="22:23" x14ac:dyDescent="0.2">
      <c r="V122" s="26"/>
      <c r="W122" s="26"/>
    </row>
    <row r="123" spans="22:23" x14ac:dyDescent="0.2">
      <c r="V123" s="26"/>
      <c r="W123" s="26"/>
    </row>
    <row r="124" spans="22:23" x14ac:dyDescent="0.2">
      <c r="V124" s="26"/>
      <c r="W124" s="26"/>
    </row>
    <row r="125" spans="22:23" x14ac:dyDescent="0.2">
      <c r="V125" s="26"/>
      <c r="W125" s="26"/>
    </row>
    <row r="126" spans="22:23" x14ac:dyDescent="0.2">
      <c r="V126" s="26"/>
      <c r="W126" s="26"/>
    </row>
    <row r="127" spans="22:23" x14ac:dyDescent="0.2">
      <c r="V127" s="26"/>
      <c r="W127" s="26"/>
    </row>
    <row r="128" spans="22:23" x14ac:dyDescent="0.2">
      <c r="V128" s="26"/>
      <c r="W128" s="26"/>
    </row>
    <row r="129" spans="22:23" x14ac:dyDescent="0.2">
      <c r="V129" s="26"/>
      <c r="W129" s="26"/>
    </row>
    <row r="130" spans="22:23" x14ac:dyDescent="0.2">
      <c r="V130" s="26"/>
      <c r="W130" s="26"/>
    </row>
    <row r="131" spans="22:23" x14ac:dyDescent="0.2">
      <c r="V131" s="26"/>
      <c r="W131" s="26"/>
    </row>
    <row r="132" spans="22:23" x14ac:dyDescent="0.2">
      <c r="V132" s="26"/>
      <c r="W132" s="26"/>
    </row>
    <row r="133" spans="22:23" x14ac:dyDescent="0.2">
      <c r="V133" s="26"/>
      <c r="W133" s="26"/>
    </row>
    <row r="134" spans="22:23" x14ac:dyDescent="0.2">
      <c r="V134" s="26"/>
      <c r="W134" s="26"/>
    </row>
    <row r="135" spans="22:23" x14ac:dyDescent="0.2">
      <c r="V135" s="26"/>
      <c r="W135" s="26"/>
    </row>
    <row r="136" spans="22:23" x14ac:dyDescent="0.2">
      <c r="V136" s="26"/>
      <c r="W136" s="26"/>
    </row>
    <row r="137" spans="22:23" x14ac:dyDescent="0.2">
      <c r="V137" s="26"/>
      <c r="W137" s="26"/>
    </row>
    <row r="138" spans="22:23" x14ac:dyDescent="0.2">
      <c r="V138" s="26"/>
      <c r="W138" s="26"/>
    </row>
    <row r="139" spans="22:23" x14ac:dyDescent="0.2">
      <c r="V139" s="26"/>
      <c r="W139" s="26"/>
    </row>
    <row r="140" spans="22:23" x14ac:dyDescent="0.2">
      <c r="V140" s="26"/>
      <c r="W140" s="26"/>
    </row>
    <row r="141" spans="22:23" x14ac:dyDescent="0.2">
      <c r="V141" s="26"/>
      <c r="W141" s="26"/>
    </row>
    <row r="142" spans="22:23" x14ac:dyDescent="0.2">
      <c r="V142" s="26"/>
      <c r="W142" s="26"/>
    </row>
    <row r="143" spans="22:23" x14ac:dyDescent="0.2">
      <c r="V143" s="26"/>
      <c r="W143" s="26"/>
    </row>
    <row r="144" spans="22:23" x14ac:dyDescent="0.2">
      <c r="V144" s="26"/>
      <c r="W144" s="26"/>
    </row>
    <row r="145" spans="22:23" x14ac:dyDescent="0.2">
      <c r="V145" s="26"/>
      <c r="W145" s="26"/>
    </row>
    <row r="146" spans="22:23" x14ac:dyDescent="0.2">
      <c r="V146" s="26"/>
      <c r="W146" s="26"/>
    </row>
    <row r="147" spans="22:23" x14ac:dyDescent="0.2">
      <c r="V147" s="26"/>
      <c r="W147" s="26"/>
    </row>
    <row r="148" spans="22:23" x14ac:dyDescent="0.2">
      <c r="V148" s="26"/>
      <c r="W148" s="26"/>
    </row>
    <row r="149" spans="22:23" x14ac:dyDescent="0.2">
      <c r="V149" s="26"/>
      <c r="W149" s="26"/>
    </row>
    <row r="150" spans="22:23" x14ac:dyDescent="0.2">
      <c r="V150" s="26"/>
      <c r="W150" s="26"/>
    </row>
    <row r="151" spans="22:23" x14ac:dyDescent="0.2">
      <c r="V151" s="26"/>
      <c r="W151" s="26"/>
    </row>
    <row r="152" spans="22:23" x14ac:dyDescent="0.2">
      <c r="V152" s="26"/>
      <c r="W152" s="26"/>
    </row>
    <row r="153" spans="22:23" x14ac:dyDescent="0.2">
      <c r="V153" s="26"/>
      <c r="W153" s="26"/>
    </row>
    <row r="154" spans="22:23" x14ac:dyDescent="0.2">
      <c r="V154" s="26"/>
      <c r="W154" s="26"/>
    </row>
    <row r="155" spans="22:23" x14ac:dyDescent="0.2">
      <c r="V155" s="26"/>
      <c r="W155" s="26"/>
    </row>
    <row r="156" spans="22:23" x14ac:dyDescent="0.2">
      <c r="V156" s="26"/>
      <c r="W156" s="26"/>
    </row>
    <row r="157" spans="22:23" x14ac:dyDescent="0.2">
      <c r="V157" s="26"/>
      <c r="W157" s="26"/>
    </row>
    <row r="158" spans="22:23" x14ac:dyDescent="0.2">
      <c r="V158" s="26"/>
      <c r="W158" s="26"/>
    </row>
    <row r="159" spans="22:23" x14ac:dyDescent="0.2">
      <c r="V159" s="26"/>
      <c r="W159" s="26"/>
    </row>
    <row r="160" spans="22:23" x14ac:dyDescent="0.2">
      <c r="V160" s="26"/>
      <c r="W160" s="26"/>
    </row>
    <row r="161" spans="22:23" x14ac:dyDescent="0.2">
      <c r="V161" s="26"/>
      <c r="W161" s="26"/>
    </row>
    <row r="162" spans="22:23" x14ac:dyDescent="0.2">
      <c r="V162" s="26"/>
      <c r="W162" s="26"/>
    </row>
    <row r="163" spans="22:23" x14ac:dyDescent="0.2">
      <c r="V163" s="26"/>
      <c r="W163" s="26"/>
    </row>
    <row r="164" spans="22:23" x14ac:dyDescent="0.2">
      <c r="V164" s="26"/>
      <c r="W164" s="26"/>
    </row>
    <row r="165" spans="22:23" x14ac:dyDescent="0.2">
      <c r="V165" s="26"/>
      <c r="W165" s="26"/>
    </row>
    <row r="166" spans="22:23" x14ac:dyDescent="0.2">
      <c r="V166" s="26"/>
      <c r="W166" s="26"/>
    </row>
    <row r="167" spans="22:23" x14ac:dyDescent="0.2">
      <c r="V167" s="26"/>
      <c r="W167" s="26"/>
    </row>
    <row r="168" spans="22:23" x14ac:dyDescent="0.2">
      <c r="V168" s="26"/>
      <c r="W168" s="26"/>
    </row>
    <row r="169" spans="22:23" x14ac:dyDescent="0.2">
      <c r="V169" s="26"/>
      <c r="W169" s="26"/>
    </row>
    <row r="170" spans="22:23" x14ac:dyDescent="0.2">
      <c r="V170" s="26"/>
      <c r="W170" s="26"/>
    </row>
    <row r="171" spans="22:23" x14ac:dyDescent="0.2">
      <c r="V171" s="26"/>
      <c r="W171" s="26"/>
    </row>
    <row r="172" spans="22:23" x14ac:dyDescent="0.2">
      <c r="V172" s="26"/>
      <c r="W172" s="26"/>
    </row>
    <row r="173" spans="22:23" x14ac:dyDescent="0.2">
      <c r="V173" s="26"/>
      <c r="W173" s="26"/>
    </row>
    <row r="174" spans="22:23" x14ac:dyDescent="0.2">
      <c r="V174" s="26"/>
      <c r="W174" s="26"/>
    </row>
    <row r="175" spans="22:23" x14ac:dyDescent="0.2">
      <c r="V175" s="26"/>
      <c r="W175" s="26"/>
    </row>
    <row r="176" spans="22:23" x14ac:dyDescent="0.2">
      <c r="V176" s="26"/>
      <c r="W176" s="26"/>
    </row>
    <row r="177" spans="22:23" x14ac:dyDescent="0.2">
      <c r="V177" s="26"/>
      <c r="W177" s="26"/>
    </row>
    <row r="178" spans="22:23" x14ac:dyDescent="0.2">
      <c r="V178" s="26"/>
      <c r="W178" s="26"/>
    </row>
    <row r="179" spans="22:23" x14ac:dyDescent="0.2">
      <c r="V179" s="26"/>
      <c r="W179" s="26"/>
    </row>
    <row r="180" spans="22:23" x14ac:dyDescent="0.2">
      <c r="V180" s="26"/>
      <c r="W180" s="26"/>
    </row>
    <row r="181" spans="22:23" x14ac:dyDescent="0.2">
      <c r="V181" s="26"/>
      <c r="W181" s="26"/>
    </row>
    <row r="182" spans="22:23" x14ac:dyDescent="0.2">
      <c r="V182" s="26"/>
      <c r="W182" s="26"/>
    </row>
    <row r="183" spans="22:23" x14ac:dyDescent="0.2">
      <c r="V183" s="26"/>
      <c r="W183" s="26"/>
    </row>
    <row r="184" spans="22:23" x14ac:dyDescent="0.2">
      <c r="V184" s="26"/>
      <c r="W184" s="26"/>
    </row>
    <row r="185" spans="22:23" x14ac:dyDescent="0.2">
      <c r="V185" s="26"/>
      <c r="W185" s="26"/>
    </row>
    <row r="186" spans="22:23" x14ac:dyDescent="0.2">
      <c r="V186" s="26"/>
      <c r="W186" s="26"/>
    </row>
    <row r="187" spans="22:23" x14ac:dyDescent="0.2">
      <c r="V187" s="26"/>
      <c r="W187" s="26"/>
    </row>
    <row r="188" spans="22:23" x14ac:dyDescent="0.2">
      <c r="V188" s="26"/>
      <c r="W188" s="26"/>
    </row>
    <row r="189" spans="22:23" x14ac:dyDescent="0.2">
      <c r="V189" s="26"/>
      <c r="W189" s="26"/>
    </row>
    <row r="190" spans="22:23" x14ac:dyDescent="0.2">
      <c r="V190" s="26"/>
      <c r="W190" s="26"/>
    </row>
    <row r="191" spans="22:23" x14ac:dyDescent="0.2">
      <c r="V191" s="26"/>
      <c r="W191" s="26"/>
    </row>
    <row r="192" spans="22:23" x14ac:dyDescent="0.2">
      <c r="V192" s="26"/>
      <c r="W192" s="26"/>
    </row>
    <row r="193" spans="22:23" x14ac:dyDescent="0.2">
      <c r="V193" s="26"/>
      <c r="W193" s="26"/>
    </row>
    <row r="194" spans="22:23" x14ac:dyDescent="0.2">
      <c r="V194" s="26"/>
      <c r="W194" s="26"/>
    </row>
    <row r="195" spans="22:23" x14ac:dyDescent="0.2">
      <c r="V195" s="26"/>
      <c r="W195" s="26"/>
    </row>
    <row r="196" spans="22:23" x14ac:dyDescent="0.2">
      <c r="V196" s="26"/>
      <c r="W196" s="26"/>
    </row>
    <row r="197" spans="22:23" x14ac:dyDescent="0.2">
      <c r="V197" s="26"/>
      <c r="W197" s="26"/>
    </row>
    <row r="198" spans="22:23" x14ac:dyDescent="0.2">
      <c r="V198" s="26"/>
      <c r="W198" s="26"/>
    </row>
    <row r="199" spans="22:23" x14ac:dyDescent="0.2">
      <c r="V199" s="26"/>
      <c r="W199" s="26"/>
    </row>
    <row r="200" spans="22:23" x14ac:dyDescent="0.2">
      <c r="V200" s="26"/>
      <c r="W200" s="26"/>
    </row>
    <row r="201" spans="22:23" x14ac:dyDescent="0.2">
      <c r="V201" s="26"/>
      <c r="W201" s="26"/>
    </row>
    <row r="202" spans="22:23" x14ac:dyDescent="0.2">
      <c r="V202" s="26"/>
      <c r="W202" s="26"/>
    </row>
    <row r="203" spans="22:23" x14ac:dyDescent="0.2">
      <c r="V203" s="26"/>
      <c r="W203" s="26"/>
    </row>
    <row r="204" spans="22:23" x14ac:dyDescent="0.2">
      <c r="V204" s="26"/>
      <c r="W204" s="26"/>
    </row>
    <row r="205" spans="22:23" x14ac:dyDescent="0.2">
      <c r="V205" s="26"/>
      <c r="W205" s="26"/>
    </row>
    <row r="206" spans="22:23" x14ac:dyDescent="0.2">
      <c r="V206" s="26"/>
      <c r="W206" s="26"/>
    </row>
    <row r="207" spans="22:23" x14ac:dyDescent="0.2">
      <c r="V207" s="26"/>
      <c r="W207" s="26"/>
    </row>
    <row r="208" spans="22:23" x14ac:dyDescent="0.2">
      <c r="V208" s="26"/>
      <c r="W208" s="26"/>
    </row>
    <row r="209" spans="22:23" x14ac:dyDescent="0.2">
      <c r="V209" s="26"/>
      <c r="W209" s="26"/>
    </row>
    <row r="210" spans="22:23" x14ac:dyDescent="0.2">
      <c r="V210" s="26"/>
      <c r="W210" s="26"/>
    </row>
    <row r="211" spans="22:23" x14ac:dyDescent="0.2">
      <c r="V211" s="26"/>
      <c r="W211" s="26"/>
    </row>
    <row r="212" spans="22:23" x14ac:dyDescent="0.2">
      <c r="V212" s="26"/>
      <c r="W212" s="26"/>
    </row>
    <row r="213" spans="22:23" x14ac:dyDescent="0.2">
      <c r="V213" s="26"/>
      <c r="W213" s="26"/>
    </row>
    <row r="214" spans="22:23" x14ac:dyDescent="0.2">
      <c r="V214" s="26"/>
      <c r="W214" s="26"/>
    </row>
    <row r="215" spans="22:23" x14ac:dyDescent="0.2">
      <c r="V215" s="26"/>
      <c r="W215" s="26"/>
    </row>
    <row r="216" spans="22:23" x14ac:dyDescent="0.2">
      <c r="V216" s="26"/>
      <c r="W216" s="26"/>
    </row>
    <row r="217" spans="22:23" x14ac:dyDescent="0.2">
      <c r="V217" s="26"/>
      <c r="W217" s="26"/>
    </row>
    <row r="218" spans="22:23" x14ac:dyDescent="0.2">
      <c r="V218" s="26"/>
      <c r="W218" s="26"/>
    </row>
    <row r="219" spans="22:23" x14ac:dyDescent="0.2">
      <c r="V219" s="26"/>
      <c r="W219" s="26"/>
    </row>
    <row r="220" spans="22:23" x14ac:dyDescent="0.2">
      <c r="V220" s="26"/>
      <c r="W220" s="26"/>
    </row>
    <row r="221" spans="22:23" x14ac:dyDescent="0.2">
      <c r="V221" s="26"/>
      <c r="W221" s="26"/>
    </row>
    <row r="222" spans="22:23" x14ac:dyDescent="0.2">
      <c r="V222" s="26"/>
      <c r="W222" s="26"/>
    </row>
    <row r="223" spans="22:23" x14ac:dyDescent="0.2">
      <c r="V223" s="26"/>
      <c r="W223" s="26"/>
    </row>
    <row r="224" spans="22:23" x14ac:dyDescent="0.2">
      <c r="V224" s="26"/>
      <c r="W224" s="26"/>
    </row>
    <row r="225" spans="22:23" x14ac:dyDescent="0.2">
      <c r="V225" s="26"/>
      <c r="W225" s="26"/>
    </row>
    <row r="226" spans="22:23" x14ac:dyDescent="0.2">
      <c r="V226" s="26"/>
      <c r="W226" s="26"/>
    </row>
    <row r="227" spans="22:23" x14ac:dyDescent="0.2">
      <c r="V227" s="26"/>
      <c r="W227" s="26"/>
    </row>
    <row r="228" spans="22:23" x14ac:dyDescent="0.2">
      <c r="V228" s="26"/>
      <c r="W228" s="26"/>
    </row>
    <row r="229" spans="22:23" x14ac:dyDescent="0.2">
      <c r="V229" s="26"/>
      <c r="W229" s="26"/>
    </row>
    <row r="230" spans="22:23" x14ac:dyDescent="0.2">
      <c r="V230" s="26"/>
      <c r="W230" s="26"/>
    </row>
    <row r="231" spans="22:23" x14ac:dyDescent="0.2">
      <c r="V231" s="26"/>
      <c r="W231" s="26"/>
    </row>
    <row r="232" spans="22:23" x14ac:dyDescent="0.2">
      <c r="V232" s="26"/>
      <c r="W232" s="26"/>
    </row>
    <row r="233" spans="22:23" x14ac:dyDescent="0.2">
      <c r="V233" s="26"/>
      <c r="W233" s="26"/>
    </row>
    <row r="234" spans="22:23" x14ac:dyDescent="0.2">
      <c r="V234" s="26"/>
      <c r="W234" s="26"/>
    </row>
    <row r="235" spans="22:23" x14ac:dyDescent="0.2">
      <c r="V235" s="26"/>
      <c r="W235" s="26"/>
    </row>
    <row r="236" spans="22:23" x14ac:dyDescent="0.2">
      <c r="V236" s="26"/>
      <c r="W236" s="26"/>
    </row>
    <row r="237" spans="22:23" x14ac:dyDescent="0.2">
      <c r="V237" s="26"/>
      <c r="W237" s="26"/>
    </row>
    <row r="238" spans="22:23" x14ac:dyDescent="0.2">
      <c r="V238" s="26"/>
      <c r="W238" s="26"/>
    </row>
    <row r="239" spans="22:23" x14ac:dyDescent="0.2">
      <c r="V239" s="26"/>
      <c r="W239" s="26"/>
    </row>
    <row r="240" spans="22:23" x14ac:dyDescent="0.2">
      <c r="V240" s="26"/>
      <c r="W240" s="26"/>
    </row>
    <row r="241" spans="22:23" x14ac:dyDescent="0.2">
      <c r="V241" s="26"/>
      <c r="W241" s="26"/>
    </row>
    <row r="242" spans="22:23" x14ac:dyDescent="0.2">
      <c r="V242" s="26"/>
      <c r="W242" s="26"/>
    </row>
    <row r="243" spans="22:23" x14ac:dyDescent="0.2">
      <c r="V243" s="26"/>
      <c r="W243" s="26"/>
    </row>
    <row r="244" spans="22:23" x14ac:dyDescent="0.2">
      <c r="V244" s="26"/>
      <c r="W244" s="26"/>
    </row>
    <row r="245" spans="22:23" x14ac:dyDescent="0.2">
      <c r="V245" s="26"/>
      <c r="W245" s="26"/>
    </row>
    <row r="246" spans="22:23" x14ac:dyDescent="0.2">
      <c r="V246" s="26"/>
      <c r="W246" s="26"/>
    </row>
    <row r="247" spans="22:23" x14ac:dyDescent="0.2">
      <c r="V247" s="26"/>
      <c r="W247" s="26"/>
    </row>
    <row r="248" spans="22:23" x14ac:dyDescent="0.2">
      <c r="V248" s="26"/>
      <c r="W248" s="26"/>
    </row>
    <row r="249" spans="22:23" x14ac:dyDescent="0.2">
      <c r="V249" s="26"/>
      <c r="W249" s="26"/>
    </row>
    <row r="250" spans="22:23" x14ac:dyDescent="0.2">
      <c r="V250" s="26"/>
      <c r="W250" s="26"/>
    </row>
    <row r="251" spans="22:23" x14ac:dyDescent="0.2">
      <c r="V251" s="26"/>
      <c r="W251" s="26"/>
    </row>
    <row r="252" spans="22:23" x14ac:dyDescent="0.2">
      <c r="V252" s="26"/>
      <c r="W252" s="26"/>
    </row>
    <row r="253" spans="22:23" x14ac:dyDescent="0.2">
      <c r="V253" s="26"/>
      <c r="W253" s="26"/>
    </row>
    <row r="254" spans="22:23" x14ac:dyDescent="0.2">
      <c r="V254" s="26"/>
      <c r="W254" s="26"/>
    </row>
    <row r="255" spans="22:23" x14ac:dyDescent="0.2">
      <c r="V255" s="26"/>
      <c r="W255" s="26"/>
    </row>
    <row r="256" spans="22:23" x14ac:dyDescent="0.2">
      <c r="V256" s="26"/>
      <c r="W256" s="26"/>
    </row>
    <row r="257" spans="22:23" x14ac:dyDescent="0.2">
      <c r="V257" s="26"/>
      <c r="W257" s="26"/>
    </row>
    <row r="258" spans="22:23" x14ac:dyDescent="0.2">
      <c r="V258" s="26"/>
      <c r="W258" s="26"/>
    </row>
    <row r="259" spans="22:23" x14ac:dyDescent="0.2">
      <c r="V259" s="26"/>
      <c r="W259" s="26"/>
    </row>
    <row r="260" spans="22:23" x14ac:dyDescent="0.2">
      <c r="V260" s="26"/>
      <c r="W260" s="26"/>
    </row>
    <row r="261" spans="22:23" x14ac:dyDescent="0.2">
      <c r="V261" s="26"/>
      <c r="W261" s="26"/>
    </row>
    <row r="262" spans="22:23" x14ac:dyDescent="0.2">
      <c r="V262" s="26"/>
      <c r="W262" s="26"/>
    </row>
    <row r="263" spans="22:23" x14ac:dyDescent="0.2">
      <c r="V263" s="26"/>
      <c r="W263" s="26"/>
    </row>
    <row r="264" spans="22:23" x14ac:dyDescent="0.2">
      <c r="V264" s="26"/>
      <c r="W264" s="26"/>
    </row>
    <row r="265" spans="22:23" x14ac:dyDescent="0.2">
      <c r="V265" s="26"/>
      <c r="W265" s="26"/>
    </row>
    <row r="266" spans="22:23" x14ac:dyDescent="0.2">
      <c r="V266" s="26"/>
      <c r="W266" s="26"/>
    </row>
    <row r="267" spans="22:23" x14ac:dyDescent="0.2">
      <c r="V267" s="26"/>
      <c r="W267" s="26"/>
    </row>
    <row r="268" spans="22:23" x14ac:dyDescent="0.2">
      <c r="V268" s="26"/>
      <c r="W268" s="26"/>
    </row>
    <row r="269" spans="22:23" x14ac:dyDescent="0.2">
      <c r="V269" s="26"/>
      <c r="W269" s="26"/>
    </row>
    <row r="270" spans="22:23" x14ac:dyDescent="0.2">
      <c r="V270" s="26"/>
      <c r="W270" s="26"/>
    </row>
    <row r="271" spans="22:23" x14ac:dyDescent="0.2">
      <c r="V271" s="26"/>
      <c r="W271" s="26"/>
    </row>
    <row r="272" spans="22:23" x14ac:dyDescent="0.2">
      <c r="V272" s="26"/>
      <c r="W272" s="26"/>
    </row>
    <row r="273" spans="22:23" x14ac:dyDescent="0.2">
      <c r="V273" s="26"/>
      <c r="W273" s="26"/>
    </row>
    <row r="274" spans="22:23" x14ac:dyDescent="0.2">
      <c r="V274" s="26"/>
      <c r="W274" s="26"/>
    </row>
    <row r="275" spans="22:23" x14ac:dyDescent="0.2">
      <c r="V275" s="26"/>
      <c r="W275" s="26"/>
    </row>
    <row r="276" spans="22:23" x14ac:dyDescent="0.2">
      <c r="V276" s="26"/>
      <c r="W276" s="26"/>
    </row>
    <row r="277" spans="22:23" x14ac:dyDescent="0.2">
      <c r="V277" s="26"/>
      <c r="W277" s="26"/>
    </row>
    <row r="278" spans="22:23" x14ac:dyDescent="0.2">
      <c r="V278" s="26"/>
      <c r="W278" s="26"/>
    </row>
    <row r="279" spans="22:23" x14ac:dyDescent="0.2">
      <c r="V279" s="26"/>
      <c r="W279" s="26"/>
    </row>
    <row r="280" spans="22:23" x14ac:dyDescent="0.2">
      <c r="V280" s="26"/>
      <c r="W280" s="26"/>
    </row>
    <row r="281" spans="22:23" x14ac:dyDescent="0.2">
      <c r="V281" s="26"/>
      <c r="W281" s="26"/>
    </row>
    <row r="282" spans="22:23" x14ac:dyDescent="0.2">
      <c r="V282" s="26"/>
      <c r="W282" s="26"/>
    </row>
    <row r="283" spans="22:23" x14ac:dyDescent="0.2">
      <c r="V283" s="26"/>
      <c r="W283" s="26"/>
    </row>
    <row r="284" spans="22:23" x14ac:dyDescent="0.2">
      <c r="V284" s="26"/>
      <c r="W284" s="26"/>
    </row>
    <row r="285" spans="22:23" x14ac:dyDescent="0.2">
      <c r="V285" s="26"/>
      <c r="W285" s="26"/>
    </row>
    <row r="286" spans="22:23" x14ac:dyDescent="0.2">
      <c r="V286" s="26"/>
      <c r="W286" s="26"/>
    </row>
    <row r="287" spans="22:23" x14ac:dyDescent="0.2">
      <c r="V287" s="26"/>
      <c r="W287" s="26"/>
    </row>
    <row r="288" spans="22:23" x14ac:dyDescent="0.2">
      <c r="V288" s="26"/>
      <c r="W288" s="26"/>
    </row>
    <row r="289" spans="22:23" x14ac:dyDescent="0.2">
      <c r="V289" s="26"/>
      <c r="W289" s="26"/>
    </row>
    <row r="290" spans="22:23" x14ac:dyDescent="0.2">
      <c r="V290" s="26"/>
      <c r="W290" s="26"/>
    </row>
    <row r="291" spans="22:23" x14ac:dyDescent="0.2">
      <c r="V291" s="26"/>
      <c r="W291" s="26"/>
    </row>
    <row r="292" spans="22:23" x14ac:dyDescent="0.2">
      <c r="V292" s="26"/>
      <c r="W292" s="26"/>
    </row>
    <row r="293" spans="22:23" x14ac:dyDescent="0.2">
      <c r="V293" s="26"/>
      <c r="W293" s="26"/>
    </row>
    <row r="294" spans="22:23" x14ac:dyDescent="0.2">
      <c r="V294" s="26"/>
      <c r="W294" s="26"/>
    </row>
    <row r="295" spans="22:23" x14ac:dyDescent="0.2">
      <c r="V295" s="26"/>
      <c r="W295" s="26"/>
    </row>
    <row r="296" spans="22:23" x14ac:dyDescent="0.2">
      <c r="V296" s="26"/>
      <c r="W296" s="26"/>
    </row>
    <row r="297" spans="22:23" x14ac:dyDescent="0.2">
      <c r="V297" s="26"/>
      <c r="W297" s="26"/>
    </row>
    <row r="298" spans="22:23" x14ac:dyDescent="0.2">
      <c r="V298" s="26"/>
      <c r="W298" s="26"/>
    </row>
    <row r="299" spans="22:23" x14ac:dyDescent="0.2">
      <c r="V299" s="26"/>
      <c r="W299" s="26"/>
    </row>
    <row r="300" spans="22:23" x14ac:dyDescent="0.2">
      <c r="V300" s="26"/>
      <c r="W300" s="26"/>
    </row>
    <row r="301" spans="22:23" x14ac:dyDescent="0.2">
      <c r="V301" s="26"/>
      <c r="W301" s="26"/>
    </row>
    <row r="302" spans="22:23" x14ac:dyDescent="0.2">
      <c r="V302" s="26"/>
      <c r="W302" s="26"/>
    </row>
    <row r="303" spans="22:23" x14ac:dyDescent="0.2">
      <c r="V303" s="26"/>
      <c r="W303" s="26"/>
    </row>
    <row r="304" spans="22:23" x14ac:dyDescent="0.2">
      <c r="V304" s="26"/>
      <c r="W304" s="26"/>
    </row>
    <row r="305" spans="22:23" x14ac:dyDescent="0.2">
      <c r="V305" s="26"/>
      <c r="W305" s="26"/>
    </row>
    <row r="306" spans="22:23" x14ac:dyDescent="0.2">
      <c r="V306" s="26"/>
      <c r="W306" s="26"/>
    </row>
    <row r="307" spans="22:23" x14ac:dyDescent="0.2">
      <c r="V307" s="26"/>
      <c r="W307" s="26"/>
    </row>
    <row r="308" spans="22:23" x14ac:dyDescent="0.2">
      <c r="V308" s="26"/>
      <c r="W308" s="26"/>
    </row>
    <row r="309" spans="22:23" x14ac:dyDescent="0.2">
      <c r="V309" s="26"/>
      <c r="W309" s="26"/>
    </row>
    <row r="310" spans="22:23" x14ac:dyDescent="0.2">
      <c r="V310" s="26"/>
      <c r="W310" s="26"/>
    </row>
    <row r="311" spans="22:23" x14ac:dyDescent="0.2">
      <c r="V311" s="26"/>
      <c r="W311" s="26"/>
    </row>
    <row r="312" spans="22:23" x14ac:dyDescent="0.2">
      <c r="V312" s="26"/>
      <c r="W312" s="26"/>
    </row>
    <row r="313" spans="22:23" x14ac:dyDescent="0.2">
      <c r="V313" s="26"/>
      <c r="W313" s="26"/>
    </row>
    <row r="314" spans="22:23" x14ac:dyDescent="0.2">
      <c r="V314" s="26"/>
      <c r="W314" s="26"/>
    </row>
    <row r="315" spans="22:23" x14ac:dyDescent="0.2">
      <c r="V315" s="26"/>
      <c r="W315" s="26"/>
    </row>
    <row r="316" spans="22:23" x14ac:dyDescent="0.2">
      <c r="V316" s="26"/>
      <c r="W316" s="26"/>
    </row>
    <row r="317" spans="22:23" x14ac:dyDescent="0.2">
      <c r="V317" s="26"/>
      <c r="W317" s="26"/>
    </row>
    <row r="318" spans="22:23" x14ac:dyDescent="0.2">
      <c r="V318" s="26"/>
      <c r="W318" s="26"/>
    </row>
    <row r="319" spans="22:23" x14ac:dyDescent="0.2">
      <c r="V319" s="26"/>
      <c r="W319" s="26"/>
    </row>
    <row r="320" spans="22:23" x14ac:dyDescent="0.2">
      <c r="V320" s="26"/>
      <c r="W320" s="26"/>
    </row>
    <row r="321" spans="22:23" x14ac:dyDescent="0.2">
      <c r="V321" s="26"/>
      <c r="W321" s="26"/>
    </row>
    <row r="322" spans="22:23" x14ac:dyDescent="0.2">
      <c r="V322" s="26"/>
      <c r="W322" s="26"/>
    </row>
    <row r="323" spans="22:23" x14ac:dyDescent="0.2">
      <c r="V323" s="26"/>
      <c r="W323" s="26"/>
    </row>
    <row r="324" spans="22:23" x14ac:dyDescent="0.2">
      <c r="V324" s="26"/>
      <c r="W324" s="26"/>
    </row>
    <row r="325" spans="22:23" x14ac:dyDescent="0.2">
      <c r="V325" s="26"/>
      <c r="W325" s="26"/>
    </row>
    <row r="326" spans="22:23" x14ac:dyDescent="0.2">
      <c r="V326" s="26"/>
      <c r="W326" s="26"/>
    </row>
    <row r="327" spans="22:23" x14ac:dyDescent="0.2">
      <c r="V327" s="26"/>
      <c r="W327" s="26"/>
    </row>
    <row r="328" spans="22:23" x14ac:dyDescent="0.2">
      <c r="V328" s="26"/>
      <c r="W328" s="26"/>
    </row>
    <row r="329" spans="22:23" x14ac:dyDescent="0.2">
      <c r="V329" s="26"/>
      <c r="W329" s="26"/>
    </row>
    <row r="330" spans="22:23" x14ac:dyDescent="0.2">
      <c r="V330" s="26"/>
      <c r="W330" s="26"/>
    </row>
    <row r="331" spans="22:23" x14ac:dyDescent="0.2">
      <c r="V331" s="26"/>
      <c r="W331" s="26"/>
    </row>
    <row r="332" spans="22:23" x14ac:dyDescent="0.2">
      <c r="V332" s="26"/>
      <c r="W332" s="26"/>
    </row>
    <row r="333" spans="22:23" x14ac:dyDescent="0.2">
      <c r="V333" s="26"/>
      <c r="W333" s="26"/>
    </row>
    <row r="334" spans="22:23" x14ac:dyDescent="0.2">
      <c r="V334" s="26"/>
      <c r="W334" s="26"/>
    </row>
    <row r="335" spans="22:23" x14ac:dyDescent="0.2">
      <c r="V335" s="26"/>
      <c r="W335" s="26"/>
    </row>
    <row r="336" spans="22:23" x14ac:dyDescent="0.2">
      <c r="V336" s="26"/>
      <c r="W336" s="26"/>
    </row>
    <row r="337" spans="22:23" x14ac:dyDescent="0.2">
      <c r="V337" s="26"/>
      <c r="W337" s="26"/>
    </row>
    <row r="338" spans="22:23" x14ac:dyDescent="0.2">
      <c r="V338" s="26"/>
      <c r="W338" s="26"/>
    </row>
    <row r="339" spans="22:23" x14ac:dyDescent="0.2">
      <c r="V339" s="26"/>
      <c r="W339" s="26"/>
    </row>
    <row r="340" spans="22:23" x14ac:dyDescent="0.2">
      <c r="V340" s="26"/>
      <c r="W340" s="26"/>
    </row>
    <row r="341" spans="22:23" x14ac:dyDescent="0.2">
      <c r="V341" s="26"/>
      <c r="W341" s="26"/>
    </row>
    <row r="342" spans="22:23" x14ac:dyDescent="0.2">
      <c r="V342" s="26"/>
      <c r="W342" s="26"/>
    </row>
    <row r="343" spans="22:23" x14ac:dyDescent="0.2">
      <c r="V343" s="26"/>
      <c r="W343" s="26"/>
    </row>
    <row r="344" spans="22:23" x14ac:dyDescent="0.2">
      <c r="V344" s="26"/>
      <c r="W344" s="26"/>
    </row>
    <row r="345" spans="22:23" x14ac:dyDescent="0.2">
      <c r="V345" s="26"/>
      <c r="W345" s="26"/>
    </row>
    <row r="346" spans="22:23" x14ac:dyDescent="0.2">
      <c r="V346" s="26"/>
      <c r="W346" s="26"/>
    </row>
    <row r="347" spans="22:23" x14ac:dyDescent="0.2">
      <c r="V347" s="26"/>
      <c r="W347" s="26"/>
    </row>
    <row r="348" spans="22:23" x14ac:dyDescent="0.2">
      <c r="V348" s="26"/>
      <c r="W348" s="26"/>
    </row>
    <row r="349" spans="22:23" x14ac:dyDescent="0.2">
      <c r="V349" s="26"/>
      <c r="W349" s="26"/>
    </row>
    <row r="350" spans="22:23" x14ac:dyDescent="0.2">
      <c r="V350" s="26"/>
      <c r="W350" s="26"/>
    </row>
    <row r="351" spans="22:23" x14ac:dyDescent="0.2">
      <c r="V351" s="26"/>
      <c r="W351" s="26"/>
    </row>
    <row r="352" spans="22:23" x14ac:dyDescent="0.2">
      <c r="V352" s="26"/>
      <c r="W352" s="26"/>
    </row>
    <row r="353" spans="22:23" x14ac:dyDescent="0.2">
      <c r="V353" s="26"/>
      <c r="W353" s="26"/>
    </row>
    <row r="354" spans="22:23" x14ac:dyDescent="0.2">
      <c r="V354" s="26"/>
      <c r="W354" s="26"/>
    </row>
    <row r="355" spans="22:23" x14ac:dyDescent="0.2">
      <c r="V355" s="26"/>
      <c r="W355" s="26"/>
    </row>
    <row r="356" spans="22:23" x14ac:dyDescent="0.2">
      <c r="V356" s="26"/>
      <c r="W356" s="26"/>
    </row>
    <row r="357" spans="22:23" x14ac:dyDescent="0.2">
      <c r="V357" s="26"/>
      <c r="W357" s="26"/>
    </row>
    <row r="358" spans="22:23" x14ac:dyDescent="0.2">
      <c r="V358" s="26"/>
      <c r="W358" s="26"/>
    </row>
    <row r="359" spans="22:23" x14ac:dyDescent="0.2">
      <c r="V359" s="26"/>
      <c r="W359" s="26"/>
    </row>
    <row r="360" spans="22:23" x14ac:dyDescent="0.2">
      <c r="V360" s="26"/>
      <c r="W360" s="26"/>
    </row>
    <row r="361" spans="22:23" x14ac:dyDescent="0.2">
      <c r="V361" s="26"/>
      <c r="W361" s="26"/>
    </row>
    <row r="362" spans="22:23" x14ac:dyDescent="0.2">
      <c r="V362" s="26"/>
      <c r="W362" s="26"/>
    </row>
    <row r="363" spans="22:23" x14ac:dyDescent="0.2">
      <c r="V363" s="26"/>
      <c r="W363" s="26"/>
    </row>
    <row r="364" spans="22:23" x14ac:dyDescent="0.2">
      <c r="V364" s="26"/>
      <c r="W364" s="26"/>
    </row>
    <row r="365" spans="22:23" x14ac:dyDescent="0.2">
      <c r="V365" s="26"/>
      <c r="W365" s="26"/>
    </row>
    <row r="366" spans="22:23" x14ac:dyDescent="0.2">
      <c r="V366" s="26"/>
      <c r="W366" s="26"/>
    </row>
    <row r="367" spans="22:23" x14ac:dyDescent="0.2">
      <c r="V367" s="26"/>
      <c r="W367" s="26"/>
    </row>
    <row r="368" spans="22:23" x14ac:dyDescent="0.2">
      <c r="V368" s="26"/>
      <c r="W368" s="26"/>
    </row>
    <row r="369" spans="22:23" x14ac:dyDescent="0.2">
      <c r="V369" s="26"/>
      <c r="W369" s="26"/>
    </row>
    <row r="370" spans="22:23" x14ac:dyDescent="0.2">
      <c r="V370" s="26"/>
      <c r="W370" s="26"/>
    </row>
    <row r="371" spans="22:23" x14ac:dyDescent="0.2">
      <c r="V371" s="26"/>
      <c r="W371" s="26"/>
    </row>
    <row r="372" spans="22:23" x14ac:dyDescent="0.2">
      <c r="V372" s="26"/>
      <c r="W372" s="26"/>
    </row>
    <row r="373" spans="22:23" x14ac:dyDescent="0.2">
      <c r="V373" s="26"/>
      <c r="W373" s="26"/>
    </row>
    <row r="374" spans="22:23" x14ac:dyDescent="0.2">
      <c r="V374" s="26"/>
      <c r="W374" s="26"/>
    </row>
    <row r="375" spans="22:23" x14ac:dyDescent="0.2">
      <c r="V375" s="26"/>
      <c r="W375" s="26"/>
    </row>
    <row r="376" spans="22:23" x14ac:dyDescent="0.2">
      <c r="V376" s="26"/>
      <c r="W376" s="26"/>
    </row>
    <row r="377" spans="22:23" x14ac:dyDescent="0.2">
      <c r="V377" s="26"/>
      <c r="W377" s="26"/>
    </row>
    <row r="378" spans="22:23" x14ac:dyDescent="0.2">
      <c r="V378" s="26"/>
      <c r="W378" s="26"/>
    </row>
    <row r="379" spans="22:23" x14ac:dyDescent="0.2">
      <c r="V379" s="26"/>
      <c r="W379" s="26"/>
    </row>
    <row r="380" spans="22:23" x14ac:dyDescent="0.2">
      <c r="V380" s="26"/>
      <c r="W380" s="26"/>
    </row>
    <row r="381" spans="22:23" x14ac:dyDescent="0.2">
      <c r="V381" s="26"/>
      <c r="W381" s="26"/>
    </row>
    <row r="382" spans="22:23" x14ac:dyDescent="0.2">
      <c r="V382" s="26"/>
      <c r="W382" s="26"/>
    </row>
    <row r="383" spans="22:23" x14ac:dyDescent="0.2">
      <c r="V383" s="26"/>
      <c r="W383" s="26"/>
    </row>
    <row r="384" spans="22:23" x14ac:dyDescent="0.2">
      <c r="V384" s="26"/>
      <c r="W384" s="26"/>
    </row>
    <row r="385" spans="22:23" x14ac:dyDescent="0.2">
      <c r="V385" s="26"/>
      <c r="W385" s="26"/>
    </row>
    <row r="386" spans="22:23" x14ac:dyDescent="0.2">
      <c r="V386" s="26"/>
      <c r="W386" s="26"/>
    </row>
    <row r="387" spans="22:23" x14ac:dyDescent="0.2">
      <c r="V387" s="26"/>
      <c r="W387" s="26"/>
    </row>
    <row r="388" spans="22:23" x14ac:dyDescent="0.2">
      <c r="V388" s="26"/>
      <c r="W388" s="26"/>
    </row>
    <row r="389" spans="22:23" x14ac:dyDescent="0.2">
      <c r="V389" s="26"/>
      <c r="W389" s="26"/>
    </row>
    <row r="390" spans="22:23" x14ac:dyDescent="0.2">
      <c r="V390" s="26"/>
      <c r="W390" s="26"/>
    </row>
    <row r="391" spans="22:23" x14ac:dyDescent="0.2">
      <c r="V391" s="26"/>
      <c r="W391" s="26"/>
    </row>
    <row r="392" spans="22:23" x14ac:dyDescent="0.2">
      <c r="V392" s="26"/>
      <c r="W392" s="26"/>
    </row>
    <row r="393" spans="22:23" x14ac:dyDescent="0.2">
      <c r="V393" s="26"/>
      <c r="W393" s="26"/>
    </row>
    <row r="394" spans="22:23" x14ac:dyDescent="0.2">
      <c r="V394" s="26"/>
      <c r="W394" s="26"/>
    </row>
    <row r="395" spans="22:23" x14ac:dyDescent="0.2">
      <c r="V395" s="26"/>
      <c r="W395" s="26"/>
    </row>
    <row r="396" spans="22:23" x14ac:dyDescent="0.2">
      <c r="V396" s="26"/>
      <c r="W396" s="26"/>
    </row>
    <row r="397" spans="22:23" x14ac:dyDescent="0.2">
      <c r="V397" s="26"/>
      <c r="W397" s="26"/>
    </row>
    <row r="398" spans="22:23" x14ac:dyDescent="0.2">
      <c r="V398" s="26"/>
      <c r="W398" s="26"/>
    </row>
    <row r="399" spans="22:23" x14ac:dyDescent="0.2">
      <c r="V399" s="26"/>
      <c r="W399" s="26"/>
    </row>
    <row r="400" spans="22:23" x14ac:dyDescent="0.2">
      <c r="V400" s="26"/>
      <c r="W400" s="26"/>
    </row>
    <row r="401" spans="22:23" x14ac:dyDescent="0.2">
      <c r="V401" s="26"/>
      <c r="W401" s="26"/>
    </row>
    <row r="402" spans="22:23" x14ac:dyDescent="0.2">
      <c r="V402" s="26"/>
      <c r="W402" s="26"/>
    </row>
    <row r="403" spans="22:23" x14ac:dyDescent="0.2">
      <c r="V403" s="26"/>
      <c r="W403" s="26"/>
    </row>
    <row r="404" spans="22:23" x14ac:dyDescent="0.2">
      <c r="V404" s="26"/>
      <c r="W404" s="26"/>
    </row>
    <row r="405" spans="22:23" x14ac:dyDescent="0.2">
      <c r="V405" s="26"/>
      <c r="W405" s="26"/>
    </row>
    <row r="406" spans="22:23" x14ac:dyDescent="0.2">
      <c r="V406" s="26"/>
      <c r="W406" s="26"/>
    </row>
    <row r="407" spans="22:23" x14ac:dyDescent="0.2">
      <c r="V407" s="26"/>
      <c r="W407" s="26"/>
    </row>
    <row r="408" spans="22:23" x14ac:dyDescent="0.2">
      <c r="V408" s="26"/>
      <c r="W408" s="26"/>
    </row>
    <row r="409" spans="22:23" x14ac:dyDescent="0.2">
      <c r="V409" s="26"/>
      <c r="W409" s="26"/>
    </row>
    <row r="410" spans="22:23" x14ac:dyDescent="0.2">
      <c r="V410" s="26"/>
      <c r="W410" s="26"/>
    </row>
    <row r="411" spans="22:23" x14ac:dyDescent="0.2">
      <c r="V411" s="26"/>
      <c r="W411" s="26"/>
    </row>
    <row r="412" spans="22:23" x14ac:dyDescent="0.2">
      <c r="V412" s="26"/>
      <c r="W412" s="26"/>
    </row>
    <row r="413" spans="22:23" x14ac:dyDescent="0.2">
      <c r="V413" s="26"/>
      <c r="W413" s="26"/>
    </row>
    <row r="414" spans="22:23" x14ac:dyDescent="0.2">
      <c r="V414" s="26"/>
      <c r="W414" s="26"/>
    </row>
    <row r="415" spans="22:23" x14ac:dyDescent="0.2">
      <c r="V415" s="26"/>
      <c r="W415" s="26"/>
    </row>
    <row r="416" spans="22:23" x14ac:dyDescent="0.2">
      <c r="V416" s="26"/>
      <c r="W416" s="26"/>
    </row>
    <row r="417" spans="22:23" x14ac:dyDescent="0.2">
      <c r="V417" s="26"/>
      <c r="W417" s="26"/>
    </row>
    <row r="418" spans="22:23" x14ac:dyDescent="0.2">
      <c r="V418" s="26"/>
      <c r="W418" s="26"/>
    </row>
    <row r="419" spans="22:23" x14ac:dyDescent="0.2">
      <c r="V419" s="26"/>
      <c r="W419" s="26"/>
    </row>
    <row r="420" spans="22:23" x14ac:dyDescent="0.2">
      <c r="V420" s="26"/>
      <c r="W420" s="26"/>
    </row>
    <row r="421" spans="22:23" x14ac:dyDescent="0.2">
      <c r="V421" s="26"/>
      <c r="W421" s="26"/>
    </row>
    <row r="422" spans="22:23" x14ac:dyDescent="0.2">
      <c r="V422" s="26"/>
      <c r="W422" s="26"/>
    </row>
    <row r="423" spans="22:23" x14ac:dyDescent="0.2">
      <c r="V423" s="26"/>
      <c r="W423" s="26"/>
    </row>
    <row r="424" spans="22:23" x14ac:dyDescent="0.2">
      <c r="V424" s="26"/>
      <c r="W424" s="26"/>
    </row>
    <row r="425" spans="22:23" x14ac:dyDescent="0.2">
      <c r="V425" s="26"/>
      <c r="W425" s="26"/>
    </row>
    <row r="426" spans="22:23" x14ac:dyDescent="0.2">
      <c r="V426" s="26"/>
      <c r="W426" s="26"/>
    </row>
    <row r="427" spans="22:23" x14ac:dyDescent="0.2">
      <c r="V427" s="26"/>
      <c r="W427" s="26"/>
    </row>
    <row r="428" spans="22:23" x14ac:dyDescent="0.2">
      <c r="V428" s="26"/>
      <c r="W428" s="26"/>
    </row>
    <row r="429" spans="22:23" x14ac:dyDescent="0.2">
      <c r="V429" s="26"/>
      <c r="W429" s="26"/>
    </row>
    <row r="430" spans="22:23" x14ac:dyDescent="0.2">
      <c r="V430" s="26"/>
      <c r="W430" s="26"/>
    </row>
    <row r="431" spans="22:23" x14ac:dyDescent="0.2">
      <c r="V431" s="26"/>
      <c r="W431" s="26"/>
    </row>
    <row r="432" spans="22:23" x14ac:dyDescent="0.2">
      <c r="V432" s="26"/>
      <c r="W432" s="26"/>
    </row>
    <row r="433" spans="22:23" x14ac:dyDescent="0.2">
      <c r="V433" s="26"/>
      <c r="W433" s="26"/>
    </row>
    <row r="434" spans="22:23" x14ac:dyDescent="0.2">
      <c r="V434" s="26"/>
      <c r="W434" s="26"/>
    </row>
    <row r="435" spans="22:23" x14ac:dyDescent="0.2">
      <c r="V435" s="26"/>
      <c r="W435" s="26"/>
    </row>
    <row r="436" spans="22:23" x14ac:dyDescent="0.2">
      <c r="V436" s="26"/>
      <c r="W436" s="26"/>
    </row>
    <row r="437" spans="22:23" x14ac:dyDescent="0.2">
      <c r="V437" s="26"/>
      <c r="W437" s="26"/>
    </row>
    <row r="438" spans="22:23" x14ac:dyDescent="0.2">
      <c r="V438" s="26"/>
      <c r="W438" s="26"/>
    </row>
    <row r="439" spans="22:23" x14ac:dyDescent="0.2">
      <c r="V439" s="26"/>
      <c r="W439" s="26"/>
    </row>
    <row r="440" spans="22:23" x14ac:dyDescent="0.2">
      <c r="V440" s="26"/>
      <c r="W440" s="26"/>
    </row>
    <row r="441" spans="22:23" x14ac:dyDescent="0.2">
      <c r="V441" s="26"/>
      <c r="W441" s="26"/>
    </row>
    <row r="442" spans="22:23" x14ac:dyDescent="0.2">
      <c r="V442" s="26"/>
      <c r="W442" s="26"/>
    </row>
    <row r="443" spans="22:23" x14ac:dyDescent="0.2">
      <c r="V443" s="26"/>
      <c r="W443" s="26"/>
    </row>
    <row r="444" spans="22:23" x14ac:dyDescent="0.2">
      <c r="V444" s="26"/>
      <c r="W444" s="26"/>
    </row>
    <row r="445" spans="22:23" x14ac:dyDescent="0.2">
      <c r="V445" s="26"/>
      <c r="W445" s="26"/>
    </row>
    <row r="446" spans="22:23" x14ac:dyDescent="0.2">
      <c r="V446" s="26"/>
      <c r="W446" s="26"/>
    </row>
    <row r="447" spans="22:23" x14ac:dyDescent="0.2">
      <c r="V447" s="26"/>
      <c r="W447" s="26"/>
    </row>
    <row r="448" spans="22:23" x14ac:dyDescent="0.2">
      <c r="V448" s="26"/>
      <c r="W448" s="26"/>
    </row>
    <row r="449" spans="22:23" x14ac:dyDescent="0.2">
      <c r="V449" s="26"/>
      <c r="W449" s="26"/>
    </row>
    <row r="450" spans="22:23" x14ac:dyDescent="0.2">
      <c r="V450" s="26"/>
      <c r="W450" s="26"/>
    </row>
    <row r="451" spans="22:23" x14ac:dyDescent="0.2">
      <c r="V451" s="26"/>
      <c r="W451" s="26"/>
    </row>
    <row r="452" spans="22:23" x14ac:dyDescent="0.2">
      <c r="V452" s="26"/>
      <c r="W452" s="26"/>
    </row>
    <row r="453" spans="22:23" x14ac:dyDescent="0.2">
      <c r="V453" s="26"/>
      <c r="W453" s="26"/>
    </row>
    <row r="454" spans="22:23" x14ac:dyDescent="0.2">
      <c r="V454" s="26"/>
      <c r="W454" s="26"/>
    </row>
    <row r="455" spans="22:23" x14ac:dyDescent="0.2">
      <c r="V455" s="26"/>
      <c r="W455" s="26"/>
    </row>
    <row r="456" spans="22:23" x14ac:dyDescent="0.2">
      <c r="V456" s="26"/>
      <c r="W456" s="26"/>
    </row>
    <row r="457" spans="22:23" x14ac:dyDescent="0.2">
      <c r="V457" s="26"/>
      <c r="W457" s="26"/>
    </row>
    <row r="458" spans="22:23" x14ac:dyDescent="0.2">
      <c r="V458" s="26"/>
      <c r="W458" s="26"/>
    </row>
    <row r="459" spans="22:23" x14ac:dyDescent="0.2">
      <c r="V459" s="26"/>
      <c r="W459" s="26"/>
    </row>
    <row r="460" spans="22:23" x14ac:dyDescent="0.2">
      <c r="V460" s="26"/>
      <c r="W460" s="26"/>
    </row>
    <row r="461" spans="22:23" x14ac:dyDescent="0.2">
      <c r="V461" s="26"/>
      <c r="W461" s="26"/>
    </row>
    <row r="462" spans="22:23" x14ac:dyDescent="0.2">
      <c r="V462" s="26"/>
      <c r="W462" s="26"/>
    </row>
    <row r="463" spans="22:23" x14ac:dyDescent="0.2">
      <c r="V463" s="26"/>
      <c r="W463" s="26"/>
    </row>
    <row r="464" spans="22:23" x14ac:dyDescent="0.2">
      <c r="V464" s="26"/>
      <c r="W464" s="26"/>
    </row>
    <row r="465" spans="22:23" x14ac:dyDescent="0.2">
      <c r="V465" s="26"/>
      <c r="W465" s="26"/>
    </row>
    <row r="466" spans="22:23" x14ac:dyDescent="0.2">
      <c r="V466" s="26"/>
      <c r="W466" s="26"/>
    </row>
    <row r="467" spans="22:23" x14ac:dyDescent="0.2">
      <c r="V467" s="26"/>
      <c r="W467" s="26"/>
    </row>
    <row r="468" spans="22:23" x14ac:dyDescent="0.2">
      <c r="V468" s="26"/>
      <c r="W468" s="26"/>
    </row>
    <row r="469" spans="22:23" x14ac:dyDescent="0.2">
      <c r="V469" s="26"/>
      <c r="W469" s="26"/>
    </row>
    <row r="470" spans="22:23" x14ac:dyDescent="0.2">
      <c r="V470" s="26"/>
      <c r="W470" s="26"/>
    </row>
    <row r="471" spans="22:23" x14ac:dyDescent="0.2">
      <c r="V471" s="26"/>
      <c r="W471" s="26"/>
    </row>
    <row r="472" spans="22:23" x14ac:dyDescent="0.2">
      <c r="V472" s="26"/>
      <c r="W472" s="26"/>
    </row>
    <row r="473" spans="22:23" x14ac:dyDescent="0.2">
      <c r="V473" s="26"/>
      <c r="W473" s="26"/>
    </row>
    <row r="474" spans="22:23" x14ac:dyDescent="0.2">
      <c r="V474" s="26"/>
      <c r="W474" s="26"/>
    </row>
    <row r="475" spans="22:23" x14ac:dyDescent="0.2">
      <c r="V475" s="26"/>
      <c r="W475" s="26"/>
    </row>
    <row r="476" spans="22:23" x14ac:dyDescent="0.2">
      <c r="V476" s="26"/>
      <c r="W476" s="26"/>
    </row>
    <row r="477" spans="22:23" x14ac:dyDescent="0.2">
      <c r="V477" s="26"/>
      <c r="W477" s="26"/>
    </row>
    <row r="478" spans="22:23" x14ac:dyDescent="0.2">
      <c r="V478" s="26"/>
      <c r="W478" s="26"/>
    </row>
    <row r="479" spans="22:23" x14ac:dyDescent="0.2">
      <c r="V479" s="26"/>
      <c r="W479" s="26"/>
    </row>
    <row r="480" spans="22:23" x14ac:dyDescent="0.2">
      <c r="V480" s="26"/>
      <c r="W480" s="26"/>
    </row>
    <row r="481" spans="22:23" x14ac:dyDescent="0.2">
      <c r="V481" s="26"/>
      <c r="W481" s="26"/>
    </row>
    <row r="482" spans="22:23" x14ac:dyDescent="0.2">
      <c r="V482" s="26"/>
      <c r="W482" s="26"/>
    </row>
    <row r="483" spans="22:23" x14ac:dyDescent="0.2">
      <c r="V483" s="26"/>
      <c r="W483" s="26"/>
    </row>
    <row r="484" spans="22:23" x14ac:dyDescent="0.2">
      <c r="V484" s="26"/>
      <c r="W484" s="26"/>
    </row>
    <row r="485" spans="22:23" x14ac:dyDescent="0.2">
      <c r="V485" s="26"/>
      <c r="W485" s="26"/>
    </row>
    <row r="486" spans="22:23" x14ac:dyDescent="0.2">
      <c r="V486" s="26"/>
      <c r="W486" s="26"/>
    </row>
    <row r="487" spans="22:23" x14ac:dyDescent="0.2">
      <c r="V487" s="26"/>
      <c r="W487" s="26"/>
    </row>
    <row r="488" spans="22:23" x14ac:dyDescent="0.2">
      <c r="V488" s="26"/>
      <c r="W488" s="26"/>
    </row>
    <row r="489" spans="22:23" x14ac:dyDescent="0.2">
      <c r="V489" s="26"/>
      <c r="W489" s="26"/>
    </row>
    <row r="490" spans="22:23" x14ac:dyDescent="0.2">
      <c r="V490" s="26"/>
      <c r="W490" s="26"/>
    </row>
    <row r="491" spans="22:23" x14ac:dyDescent="0.2">
      <c r="V491" s="26"/>
      <c r="W491" s="26"/>
    </row>
    <row r="492" spans="22:23" x14ac:dyDescent="0.2">
      <c r="V492" s="26"/>
      <c r="W492" s="26"/>
    </row>
    <row r="493" spans="22:23" x14ac:dyDescent="0.2">
      <c r="V493" s="26"/>
      <c r="W493" s="26"/>
    </row>
    <row r="494" spans="22:23" x14ac:dyDescent="0.2">
      <c r="V494" s="26"/>
      <c r="W494" s="26"/>
    </row>
    <row r="495" spans="22:23" x14ac:dyDescent="0.2">
      <c r="V495" s="26"/>
      <c r="W495" s="26"/>
    </row>
    <row r="496" spans="22:23" x14ac:dyDescent="0.2">
      <c r="V496" s="26"/>
      <c r="W496" s="26"/>
    </row>
    <row r="497" spans="22:23" x14ac:dyDescent="0.2">
      <c r="V497" s="26"/>
      <c r="W497" s="26"/>
    </row>
    <row r="498" spans="22:23" x14ac:dyDescent="0.2">
      <c r="V498" s="26"/>
      <c r="W498" s="26"/>
    </row>
    <row r="499" spans="22:23" x14ac:dyDescent="0.2">
      <c r="V499" s="26"/>
      <c r="W499" s="26"/>
    </row>
    <row r="500" spans="22:23" x14ac:dyDescent="0.2">
      <c r="V500" s="26"/>
      <c r="W500" s="26"/>
    </row>
    <row r="501" spans="22:23" x14ac:dyDescent="0.2">
      <c r="V501" s="26"/>
      <c r="W501" s="26"/>
    </row>
    <row r="502" spans="22:23" x14ac:dyDescent="0.2">
      <c r="V502" s="26"/>
      <c r="W502" s="26"/>
    </row>
    <row r="503" spans="22:23" x14ac:dyDescent="0.2">
      <c r="V503" s="26"/>
      <c r="W503" s="26"/>
    </row>
    <row r="504" spans="22:23" x14ac:dyDescent="0.2">
      <c r="V504" s="26"/>
      <c r="W504" s="26"/>
    </row>
    <row r="505" spans="22:23" x14ac:dyDescent="0.2">
      <c r="V505" s="26"/>
      <c r="W505" s="26"/>
    </row>
    <row r="506" spans="22:23" x14ac:dyDescent="0.2">
      <c r="V506" s="26"/>
      <c r="W506" s="26"/>
    </row>
    <row r="507" spans="22:23" x14ac:dyDescent="0.2">
      <c r="V507" s="26"/>
      <c r="W507" s="26"/>
    </row>
    <row r="508" spans="22:23" x14ac:dyDescent="0.2">
      <c r="V508" s="26"/>
      <c r="W508" s="26"/>
    </row>
    <row r="509" spans="22:23" x14ac:dyDescent="0.2">
      <c r="V509" s="26"/>
      <c r="W509" s="26"/>
    </row>
    <row r="510" spans="22:23" x14ac:dyDescent="0.2">
      <c r="V510" s="26"/>
      <c r="W510" s="26"/>
    </row>
    <row r="511" spans="22:23" x14ac:dyDescent="0.2">
      <c r="V511" s="26"/>
      <c r="W511" s="26"/>
    </row>
    <row r="512" spans="22:23" x14ac:dyDescent="0.2">
      <c r="V512" s="26"/>
      <c r="W512" s="26"/>
    </row>
    <row r="513" spans="22:23" x14ac:dyDescent="0.2">
      <c r="V513" s="26"/>
      <c r="W513" s="26"/>
    </row>
    <row r="514" spans="22:23" x14ac:dyDescent="0.2">
      <c r="V514" s="26"/>
      <c r="W514" s="26"/>
    </row>
    <row r="515" spans="22:23" x14ac:dyDescent="0.2">
      <c r="V515" s="26"/>
      <c r="W515" s="26"/>
    </row>
    <row r="516" spans="22:23" x14ac:dyDescent="0.2">
      <c r="V516" s="26"/>
      <c r="W516" s="26"/>
    </row>
    <row r="517" spans="22:23" x14ac:dyDescent="0.2">
      <c r="V517" s="26"/>
      <c r="W517" s="26"/>
    </row>
    <row r="518" spans="22:23" x14ac:dyDescent="0.2">
      <c r="V518" s="26"/>
      <c r="W518" s="26"/>
    </row>
    <row r="519" spans="22:23" x14ac:dyDescent="0.2">
      <c r="V519" s="26"/>
      <c r="W519" s="26"/>
    </row>
    <row r="520" spans="22:23" x14ac:dyDescent="0.2">
      <c r="V520" s="26"/>
      <c r="W520" s="26"/>
    </row>
    <row r="521" spans="22:23" x14ac:dyDescent="0.2">
      <c r="V521" s="26"/>
      <c r="W521" s="26"/>
    </row>
    <row r="522" spans="22:23" x14ac:dyDescent="0.2">
      <c r="V522" s="26"/>
      <c r="W522" s="26"/>
    </row>
    <row r="523" spans="22:23" x14ac:dyDescent="0.2">
      <c r="V523" s="26"/>
      <c r="W523" s="26"/>
    </row>
    <row r="524" spans="22:23" x14ac:dyDescent="0.2">
      <c r="V524" s="26"/>
      <c r="W524" s="26"/>
    </row>
    <row r="525" spans="22:23" x14ac:dyDescent="0.2">
      <c r="V525" s="26"/>
      <c r="W525" s="26"/>
    </row>
    <row r="526" spans="22:23" x14ac:dyDescent="0.2">
      <c r="V526" s="26"/>
      <c r="W526" s="26"/>
    </row>
    <row r="527" spans="22:23" x14ac:dyDescent="0.2">
      <c r="V527" s="26"/>
      <c r="W527" s="26"/>
    </row>
    <row r="528" spans="22:23" x14ac:dyDescent="0.2">
      <c r="V528" s="26"/>
      <c r="W528" s="26"/>
    </row>
    <row r="529" spans="22:23" x14ac:dyDescent="0.2">
      <c r="V529" s="26"/>
      <c r="W529" s="26"/>
    </row>
    <row r="530" spans="22:23" x14ac:dyDescent="0.2">
      <c r="V530" s="26"/>
      <c r="W530" s="26"/>
    </row>
    <row r="531" spans="22:23" x14ac:dyDescent="0.2">
      <c r="V531" s="26"/>
      <c r="W531" s="26"/>
    </row>
    <row r="532" spans="22:23" x14ac:dyDescent="0.2">
      <c r="V532" s="26"/>
      <c r="W532" s="26"/>
    </row>
    <row r="533" spans="22:23" x14ac:dyDescent="0.2">
      <c r="V533" s="26"/>
      <c r="W533" s="26"/>
    </row>
    <row r="534" spans="22:23" x14ac:dyDescent="0.2">
      <c r="V534" s="26"/>
      <c r="W534" s="26"/>
    </row>
    <row r="535" spans="22:23" x14ac:dyDescent="0.2">
      <c r="V535" s="26"/>
      <c r="W535" s="26"/>
    </row>
    <row r="536" spans="22:23" x14ac:dyDescent="0.2">
      <c r="V536" s="26"/>
      <c r="W536" s="26"/>
    </row>
    <row r="537" spans="22:23" x14ac:dyDescent="0.2">
      <c r="V537" s="26"/>
      <c r="W537" s="26"/>
    </row>
    <row r="538" spans="22:23" x14ac:dyDescent="0.2">
      <c r="V538" s="26"/>
      <c r="W538" s="26"/>
    </row>
    <row r="539" spans="22:23" x14ac:dyDescent="0.2">
      <c r="V539" s="26"/>
      <c r="W539" s="26"/>
    </row>
    <row r="540" spans="22:23" x14ac:dyDescent="0.2">
      <c r="V540" s="26"/>
      <c r="W540" s="26"/>
    </row>
    <row r="541" spans="22:23" x14ac:dyDescent="0.2">
      <c r="V541" s="26"/>
      <c r="W541" s="26"/>
    </row>
    <row r="542" spans="22:23" x14ac:dyDescent="0.2">
      <c r="V542" s="26"/>
      <c r="W542" s="26"/>
    </row>
    <row r="543" spans="22:23" x14ac:dyDescent="0.2">
      <c r="V543" s="26"/>
      <c r="W543" s="26"/>
    </row>
    <row r="544" spans="22:23" x14ac:dyDescent="0.2">
      <c r="V544" s="26"/>
      <c r="W544" s="26"/>
    </row>
    <row r="545" spans="22:23" x14ac:dyDescent="0.2">
      <c r="V545" s="26"/>
      <c r="W545" s="26"/>
    </row>
    <row r="546" spans="22:23" x14ac:dyDescent="0.2">
      <c r="V546" s="26"/>
      <c r="W546" s="26"/>
    </row>
    <row r="547" spans="22:23" x14ac:dyDescent="0.2">
      <c r="V547" s="26"/>
      <c r="W547" s="26"/>
    </row>
    <row r="548" spans="22:23" x14ac:dyDescent="0.2">
      <c r="V548" s="26"/>
      <c r="W548" s="26"/>
    </row>
    <row r="549" spans="22:23" x14ac:dyDescent="0.2">
      <c r="V549" s="26"/>
      <c r="W549" s="26"/>
    </row>
    <row r="550" spans="22:23" x14ac:dyDescent="0.2">
      <c r="V550" s="26"/>
      <c r="W550" s="26"/>
    </row>
    <row r="551" spans="22:23" x14ac:dyDescent="0.2">
      <c r="V551" s="26"/>
      <c r="W551" s="26"/>
    </row>
    <row r="552" spans="22:23" x14ac:dyDescent="0.2">
      <c r="V552" s="26"/>
      <c r="W552" s="26"/>
    </row>
    <row r="553" spans="22:23" x14ac:dyDescent="0.2">
      <c r="V553" s="26"/>
      <c r="W553" s="26"/>
    </row>
    <row r="554" spans="22:23" x14ac:dyDescent="0.2">
      <c r="V554" s="26"/>
      <c r="W554" s="26"/>
    </row>
    <row r="555" spans="22:23" x14ac:dyDescent="0.2">
      <c r="V555" s="26"/>
      <c r="W555" s="26"/>
    </row>
    <row r="556" spans="22:23" x14ac:dyDescent="0.2">
      <c r="V556" s="26"/>
      <c r="W556" s="26"/>
    </row>
    <row r="557" spans="22:23" x14ac:dyDescent="0.2">
      <c r="V557" s="26"/>
      <c r="W557" s="26"/>
    </row>
    <row r="558" spans="22:23" x14ac:dyDescent="0.2">
      <c r="V558" s="26"/>
      <c r="W558" s="26"/>
    </row>
    <row r="559" spans="22:23" x14ac:dyDescent="0.2">
      <c r="V559" s="26"/>
      <c r="W559" s="26"/>
    </row>
    <row r="560" spans="22:23" x14ac:dyDescent="0.2">
      <c r="V560" s="26"/>
      <c r="W560" s="26"/>
    </row>
    <row r="561" spans="22:23" x14ac:dyDescent="0.2">
      <c r="V561" s="26"/>
      <c r="W561" s="26"/>
    </row>
    <row r="562" spans="22:23" x14ac:dyDescent="0.2">
      <c r="V562" s="26"/>
      <c r="W562" s="26"/>
    </row>
    <row r="563" spans="22:23" x14ac:dyDescent="0.2">
      <c r="V563" s="26"/>
      <c r="W563" s="26"/>
    </row>
    <row r="564" spans="22:23" x14ac:dyDescent="0.2">
      <c r="V564" s="26"/>
      <c r="W564" s="26"/>
    </row>
    <row r="565" spans="22:23" x14ac:dyDescent="0.2">
      <c r="V565" s="26"/>
      <c r="W565" s="26"/>
    </row>
    <row r="566" spans="22:23" x14ac:dyDescent="0.2">
      <c r="V566" s="26"/>
      <c r="W566" s="26"/>
    </row>
    <row r="567" spans="22:23" x14ac:dyDescent="0.2">
      <c r="V567" s="26"/>
      <c r="W567" s="26"/>
    </row>
    <row r="568" spans="22:23" x14ac:dyDescent="0.2">
      <c r="V568" s="26"/>
      <c r="W568" s="26"/>
    </row>
    <row r="569" spans="22:23" x14ac:dyDescent="0.2">
      <c r="V569" s="26"/>
      <c r="W569" s="26"/>
    </row>
    <row r="570" spans="22:23" x14ac:dyDescent="0.2">
      <c r="V570" s="26"/>
      <c r="W570" s="26"/>
    </row>
    <row r="571" spans="22:23" x14ac:dyDescent="0.2">
      <c r="V571" s="26"/>
      <c r="W571" s="26"/>
    </row>
    <row r="572" spans="22:23" x14ac:dyDescent="0.2">
      <c r="V572" s="26"/>
      <c r="W572" s="26"/>
    </row>
    <row r="573" spans="22:23" x14ac:dyDescent="0.2">
      <c r="V573" s="26"/>
      <c r="W573" s="26"/>
    </row>
    <row r="574" spans="22:23" x14ac:dyDescent="0.2">
      <c r="V574" s="26"/>
      <c r="W574" s="26"/>
    </row>
    <row r="575" spans="22:23" x14ac:dyDescent="0.2">
      <c r="V575" s="26"/>
      <c r="W575" s="26"/>
    </row>
    <row r="576" spans="22:23" x14ac:dyDescent="0.2">
      <c r="V576" s="26"/>
      <c r="W576" s="26"/>
    </row>
    <row r="577" spans="22:23" x14ac:dyDescent="0.2">
      <c r="V577" s="26"/>
      <c r="W577" s="26"/>
    </row>
    <row r="578" spans="22:23" x14ac:dyDescent="0.2">
      <c r="V578" s="26"/>
      <c r="W578" s="26"/>
    </row>
    <row r="579" spans="22:23" x14ac:dyDescent="0.2">
      <c r="V579" s="26"/>
      <c r="W579" s="26"/>
    </row>
    <row r="580" spans="22:23" x14ac:dyDescent="0.2">
      <c r="V580" s="26"/>
      <c r="W580" s="26"/>
    </row>
    <row r="581" spans="22:23" x14ac:dyDescent="0.2">
      <c r="V581" s="26"/>
      <c r="W581" s="26"/>
    </row>
    <row r="582" spans="22:23" x14ac:dyDescent="0.2">
      <c r="V582" s="26"/>
      <c r="W582" s="26"/>
    </row>
    <row r="583" spans="22:23" x14ac:dyDescent="0.2">
      <c r="V583" s="26"/>
      <c r="W583" s="26"/>
    </row>
    <row r="584" spans="22:23" x14ac:dyDescent="0.2">
      <c r="V584" s="26"/>
      <c r="W584" s="26"/>
    </row>
    <row r="585" spans="22:23" x14ac:dyDescent="0.2">
      <c r="V585" s="26"/>
      <c r="W585" s="26"/>
    </row>
    <row r="586" spans="22:23" x14ac:dyDescent="0.2">
      <c r="V586" s="26"/>
      <c r="W586" s="26"/>
    </row>
    <row r="587" spans="22:23" x14ac:dyDescent="0.2">
      <c r="V587" s="26"/>
      <c r="W587" s="26"/>
    </row>
    <row r="588" spans="22:23" x14ac:dyDescent="0.2">
      <c r="V588" s="26"/>
      <c r="W588" s="26"/>
    </row>
    <row r="589" spans="22:23" x14ac:dyDescent="0.2">
      <c r="V589" s="26"/>
      <c r="W589" s="26"/>
    </row>
    <row r="590" spans="22:23" x14ac:dyDescent="0.2">
      <c r="V590" s="26"/>
      <c r="W590" s="26"/>
    </row>
    <row r="591" spans="22:23" x14ac:dyDescent="0.2">
      <c r="V591" s="26"/>
      <c r="W591" s="26"/>
    </row>
    <row r="592" spans="22:23" x14ac:dyDescent="0.2">
      <c r="V592" s="26"/>
      <c r="W592" s="26"/>
    </row>
    <row r="593" spans="22:23" x14ac:dyDescent="0.2">
      <c r="V593" s="26"/>
      <c r="W593" s="26"/>
    </row>
    <row r="594" spans="22:23" x14ac:dyDescent="0.2">
      <c r="V594" s="26"/>
      <c r="W594" s="26"/>
    </row>
    <row r="595" spans="22:23" x14ac:dyDescent="0.2">
      <c r="V595" s="26"/>
      <c r="W595" s="26"/>
    </row>
    <row r="596" spans="22:23" x14ac:dyDescent="0.2">
      <c r="V596" s="26"/>
      <c r="W596" s="26"/>
    </row>
    <row r="597" spans="22:23" x14ac:dyDescent="0.2">
      <c r="V597" s="26"/>
      <c r="W597" s="26"/>
    </row>
    <row r="598" spans="22:23" x14ac:dyDescent="0.2">
      <c r="V598" s="26"/>
      <c r="W598" s="26"/>
    </row>
    <row r="599" spans="22:23" x14ac:dyDescent="0.2">
      <c r="V599" s="26"/>
      <c r="W599" s="26"/>
    </row>
    <row r="600" spans="22:23" x14ac:dyDescent="0.2">
      <c r="V600" s="26"/>
      <c r="W600" s="26"/>
    </row>
    <row r="601" spans="22:23" x14ac:dyDescent="0.2">
      <c r="V601" s="26"/>
      <c r="W601" s="26"/>
    </row>
    <row r="602" spans="22:23" x14ac:dyDescent="0.2">
      <c r="V602" s="26"/>
      <c r="W602" s="26"/>
    </row>
    <row r="603" spans="22:23" x14ac:dyDescent="0.2">
      <c r="V603" s="26"/>
      <c r="W603" s="26"/>
    </row>
    <row r="604" spans="22:23" x14ac:dyDescent="0.2">
      <c r="V604" s="26"/>
      <c r="W604" s="26"/>
    </row>
    <row r="605" spans="22:23" x14ac:dyDescent="0.2">
      <c r="V605" s="26"/>
      <c r="W605" s="26"/>
    </row>
    <row r="606" spans="22:23" x14ac:dyDescent="0.2">
      <c r="V606" s="26"/>
      <c r="W606" s="26"/>
    </row>
    <row r="607" spans="22:23" x14ac:dyDescent="0.2">
      <c r="V607" s="26"/>
      <c r="W607" s="26"/>
    </row>
    <row r="608" spans="22:23" x14ac:dyDescent="0.2">
      <c r="V608" s="26"/>
      <c r="W608" s="26"/>
    </row>
    <row r="609" spans="22:23" x14ac:dyDescent="0.2">
      <c r="V609" s="26"/>
      <c r="W609" s="26"/>
    </row>
    <row r="610" spans="22:23" x14ac:dyDescent="0.2">
      <c r="V610" s="26"/>
      <c r="W610" s="26"/>
    </row>
    <row r="611" spans="22:23" x14ac:dyDescent="0.2">
      <c r="V611" s="26"/>
      <c r="W611" s="26"/>
    </row>
    <row r="612" spans="22:23" x14ac:dyDescent="0.2">
      <c r="V612" s="26"/>
      <c r="W612" s="26"/>
    </row>
    <row r="613" spans="22:23" x14ac:dyDescent="0.2">
      <c r="V613" s="26"/>
      <c r="W613" s="26"/>
    </row>
    <row r="614" spans="22:23" x14ac:dyDescent="0.2">
      <c r="V614" s="26"/>
      <c r="W614" s="26"/>
    </row>
    <row r="615" spans="22:23" x14ac:dyDescent="0.2">
      <c r="V615" s="26"/>
      <c r="W615" s="26"/>
    </row>
    <row r="616" spans="22:23" x14ac:dyDescent="0.2">
      <c r="V616" s="26"/>
      <c r="W616" s="26"/>
    </row>
    <row r="617" spans="22:23" x14ac:dyDescent="0.2">
      <c r="V617" s="26"/>
      <c r="W617" s="26"/>
    </row>
    <row r="618" spans="22:23" x14ac:dyDescent="0.2">
      <c r="V618" s="26"/>
      <c r="W618" s="26"/>
    </row>
    <row r="619" spans="22:23" x14ac:dyDescent="0.2">
      <c r="V619" s="26"/>
      <c r="W619" s="26"/>
    </row>
    <row r="620" spans="22:23" x14ac:dyDescent="0.2">
      <c r="V620" s="26"/>
      <c r="W620" s="26"/>
    </row>
    <row r="621" spans="22:23" x14ac:dyDescent="0.2">
      <c r="V621" s="26"/>
      <c r="W621" s="26"/>
    </row>
    <row r="622" spans="22:23" x14ac:dyDescent="0.2">
      <c r="V622" s="26"/>
      <c r="W622" s="26"/>
    </row>
    <row r="623" spans="22:23" x14ac:dyDescent="0.2">
      <c r="V623" s="26"/>
      <c r="W623" s="26"/>
    </row>
    <row r="624" spans="22:23" x14ac:dyDescent="0.2">
      <c r="V624" s="26"/>
      <c r="W624" s="26"/>
    </row>
    <row r="625" spans="22:23" x14ac:dyDescent="0.2">
      <c r="V625" s="26"/>
      <c r="W625" s="26"/>
    </row>
    <row r="626" spans="22:23" x14ac:dyDescent="0.2">
      <c r="V626" s="26"/>
      <c r="W626" s="26"/>
    </row>
    <row r="627" spans="22:23" x14ac:dyDescent="0.2">
      <c r="V627" s="26"/>
      <c r="W627" s="26"/>
    </row>
    <row r="628" spans="22:23" x14ac:dyDescent="0.2">
      <c r="V628" s="26"/>
      <c r="W628" s="26"/>
    </row>
    <row r="629" spans="22:23" x14ac:dyDescent="0.2">
      <c r="V629" s="26"/>
      <c r="W629" s="26"/>
    </row>
    <row r="630" spans="22:23" x14ac:dyDescent="0.2">
      <c r="V630" s="26"/>
      <c r="W630" s="26"/>
    </row>
    <row r="631" spans="22:23" x14ac:dyDescent="0.2">
      <c r="V631" s="26"/>
      <c r="W631" s="26"/>
    </row>
    <row r="632" spans="22:23" x14ac:dyDescent="0.2">
      <c r="V632" s="26"/>
      <c r="W632" s="26"/>
    </row>
    <row r="633" spans="22:23" x14ac:dyDescent="0.2">
      <c r="V633" s="26"/>
      <c r="W633" s="26"/>
    </row>
    <row r="634" spans="22:23" x14ac:dyDescent="0.2">
      <c r="V634" s="26"/>
      <c r="W634" s="26"/>
    </row>
    <row r="635" spans="22:23" x14ac:dyDescent="0.2">
      <c r="V635" s="26"/>
      <c r="W635" s="26"/>
    </row>
    <row r="636" spans="22:23" x14ac:dyDescent="0.2">
      <c r="V636" s="26"/>
      <c r="W636" s="26"/>
    </row>
    <row r="637" spans="22:23" x14ac:dyDescent="0.2">
      <c r="V637" s="26"/>
      <c r="W637" s="26"/>
    </row>
    <row r="638" spans="22:23" x14ac:dyDescent="0.2">
      <c r="V638" s="26"/>
      <c r="W638" s="26"/>
    </row>
    <row r="639" spans="22:23" x14ac:dyDescent="0.2">
      <c r="V639" s="26"/>
      <c r="W639" s="26"/>
    </row>
    <row r="640" spans="22:23" x14ac:dyDescent="0.2">
      <c r="V640" s="26"/>
      <c r="W640" s="26"/>
    </row>
    <row r="641" spans="22:23" x14ac:dyDescent="0.2">
      <c r="V641" s="26"/>
      <c r="W641" s="26"/>
    </row>
    <row r="642" spans="22:23" x14ac:dyDescent="0.2">
      <c r="V642" s="26"/>
      <c r="W642" s="26"/>
    </row>
    <row r="643" spans="22:23" x14ac:dyDescent="0.2">
      <c r="V643" s="26"/>
      <c r="W643" s="26"/>
    </row>
    <row r="644" spans="22:23" x14ac:dyDescent="0.2">
      <c r="V644" s="26"/>
      <c r="W644" s="26"/>
    </row>
    <row r="645" spans="22:23" x14ac:dyDescent="0.2">
      <c r="V645" s="26"/>
      <c r="W645" s="26"/>
    </row>
    <row r="646" spans="22:23" x14ac:dyDescent="0.2">
      <c r="V646" s="26"/>
      <c r="W646" s="26"/>
    </row>
    <row r="647" spans="22:23" x14ac:dyDescent="0.2">
      <c r="V647" s="26"/>
      <c r="W647" s="26"/>
    </row>
    <row r="648" spans="22:23" x14ac:dyDescent="0.2">
      <c r="V648" s="26"/>
      <c r="W648" s="26"/>
    </row>
    <row r="649" spans="22:23" x14ac:dyDescent="0.2">
      <c r="V649" s="26"/>
      <c r="W649" s="26"/>
    </row>
    <row r="650" spans="22:23" x14ac:dyDescent="0.2">
      <c r="V650" s="26"/>
      <c r="W650" s="26"/>
    </row>
    <row r="651" spans="22:23" x14ac:dyDescent="0.2">
      <c r="V651" s="26"/>
      <c r="W651" s="26"/>
    </row>
    <row r="652" spans="22:23" x14ac:dyDescent="0.2">
      <c r="V652" s="26"/>
      <c r="W652" s="26"/>
    </row>
    <row r="653" spans="22:23" x14ac:dyDescent="0.2">
      <c r="V653" s="26"/>
      <c r="W653" s="26"/>
    </row>
    <row r="654" spans="22:23" x14ac:dyDescent="0.2">
      <c r="V654" s="26"/>
      <c r="W654" s="26"/>
    </row>
    <row r="655" spans="22:23" x14ac:dyDescent="0.2">
      <c r="V655" s="26"/>
      <c r="W655" s="26"/>
    </row>
    <row r="656" spans="22:23" x14ac:dyDescent="0.2">
      <c r="V656" s="26"/>
      <c r="W656" s="26"/>
    </row>
    <row r="657" spans="22:23" x14ac:dyDescent="0.2">
      <c r="V657" s="26"/>
      <c r="W657" s="26"/>
    </row>
    <row r="658" spans="22:23" x14ac:dyDescent="0.2">
      <c r="V658" s="26"/>
      <c r="W658" s="26"/>
    </row>
    <row r="659" spans="22:23" x14ac:dyDescent="0.2">
      <c r="V659" s="26"/>
      <c r="W659" s="26"/>
    </row>
    <row r="660" spans="22:23" x14ac:dyDescent="0.2">
      <c r="V660" s="26"/>
      <c r="W660" s="26"/>
    </row>
    <row r="661" spans="22:23" x14ac:dyDescent="0.2">
      <c r="V661" s="26"/>
      <c r="W661" s="26"/>
    </row>
    <row r="662" spans="22:23" x14ac:dyDescent="0.2">
      <c r="V662" s="26"/>
      <c r="W662" s="26"/>
    </row>
    <row r="663" spans="22:23" x14ac:dyDescent="0.2">
      <c r="V663" s="26"/>
      <c r="W663" s="26"/>
    </row>
    <row r="664" spans="22:23" x14ac:dyDescent="0.2">
      <c r="V664" s="26"/>
      <c r="W664" s="26"/>
    </row>
    <row r="665" spans="22:23" x14ac:dyDescent="0.2">
      <c r="V665" s="26"/>
      <c r="W665" s="26"/>
    </row>
    <row r="666" spans="22:23" x14ac:dyDescent="0.2">
      <c r="V666" s="26"/>
      <c r="W666" s="26"/>
    </row>
    <row r="667" spans="22:23" x14ac:dyDescent="0.2">
      <c r="V667" s="26"/>
      <c r="W667" s="26"/>
    </row>
    <row r="668" spans="22:23" x14ac:dyDescent="0.2">
      <c r="V668" s="26"/>
      <c r="W668" s="26"/>
    </row>
    <row r="669" spans="22:23" x14ac:dyDescent="0.2">
      <c r="V669" s="26"/>
      <c r="W669" s="26"/>
    </row>
    <row r="670" spans="22:23" x14ac:dyDescent="0.2">
      <c r="V670" s="26"/>
      <c r="W670" s="26"/>
    </row>
    <row r="671" spans="22:23" x14ac:dyDescent="0.2">
      <c r="V671" s="26"/>
      <c r="W671" s="26"/>
    </row>
    <row r="672" spans="22:23" x14ac:dyDescent="0.2">
      <c r="V672" s="26"/>
      <c r="W672" s="26"/>
    </row>
    <row r="673" spans="22:23" x14ac:dyDescent="0.2">
      <c r="V673" s="26"/>
      <c r="W673" s="26"/>
    </row>
    <row r="674" spans="22:23" x14ac:dyDescent="0.2">
      <c r="V674" s="26"/>
      <c r="W674" s="26"/>
    </row>
    <row r="675" spans="22:23" x14ac:dyDescent="0.2">
      <c r="V675" s="26"/>
      <c r="W675" s="26"/>
    </row>
    <row r="676" spans="22:23" x14ac:dyDescent="0.2">
      <c r="V676" s="26"/>
      <c r="W676" s="26"/>
    </row>
    <row r="677" spans="22:23" x14ac:dyDescent="0.2">
      <c r="V677" s="26"/>
      <c r="W677" s="26"/>
    </row>
    <row r="678" spans="22:23" x14ac:dyDescent="0.2">
      <c r="V678" s="26"/>
      <c r="W678" s="26"/>
    </row>
    <row r="679" spans="22:23" x14ac:dyDescent="0.2">
      <c r="V679" s="26"/>
      <c r="W679" s="26"/>
    </row>
    <row r="680" spans="22:23" x14ac:dyDescent="0.2">
      <c r="V680" s="26"/>
      <c r="W680" s="26"/>
    </row>
    <row r="681" spans="22:23" x14ac:dyDescent="0.2">
      <c r="V681" s="26"/>
      <c r="W681" s="26"/>
    </row>
    <row r="682" spans="22:23" x14ac:dyDescent="0.2">
      <c r="V682" s="26"/>
      <c r="W682" s="26"/>
    </row>
    <row r="683" spans="22:23" x14ac:dyDescent="0.2">
      <c r="V683" s="26"/>
      <c r="W683" s="26"/>
    </row>
    <row r="684" spans="22:23" x14ac:dyDescent="0.2">
      <c r="V684" s="26"/>
      <c r="W684" s="26"/>
    </row>
    <row r="685" spans="22:23" x14ac:dyDescent="0.2">
      <c r="V685" s="26"/>
      <c r="W685" s="26"/>
    </row>
    <row r="686" spans="22:23" x14ac:dyDescent="0.2">
      <c r="V686" s="26"/>
      <c r="W686" s="26"/>
    </row>
    <row r="687" spans="22:23" x14ac:dyDescent="0.2">
      <c r="V687" s="26"/>
      <c r="W687" s="26"/>
    </row>
    <row r="688" spans="22:23" x14ac:dyDescent="0.2">
      <c r="V688" s="26"/>
      <c r="W688" s="26"/>
    </row>
    <row r="689" spans="22:23" x14ac:dyDescent="0.2">
      <c r="V689" s="26"/>
      <c r="W689" s="26"/>
    </row>
    <row r="690" spans="22:23" x14ac:dyDescent="0.2">
      <c r="V690" s="26"/>
      <c r="W690" s="26"/>
    </row>
    <row r="691" spans="22:23" x14ac:dyDescent="0.2">
      <c r="V691" s="26"/>
      <c r="W691" s="26"/>
    </row>
    <row r="692" spans="22:23" x14ac:dyDescent="0.2">
      <c r="V692" s="26"/>
      <c r="W692" s="26"/>
    </row>
    <row r="693" spans="22:23" x14ac:dyDescent="0.2">
      <c r="V693" s="26"/>
      <c r="W693" s="26"/>
    </row>
    <row r="694" spans="22:23" x14ac:dyDescent="0.2">
      <c r="V694" s="26"/>
      <c r="W694" s="26"/>
    </row>
    <row r="695" spans="22:23" x14ac:dyDescent="0.2">
      <c r="V695" s="26"/>
      <c r="W695" s="26"/>
    </row>
    <row r="696" spans="22:23" x14ac:dyDescent="0.2">
      <c r="V696" s="26"/>
      <c r="W696" s="26"/>
    </row>
    <row r="697" spans="22:23" x14ac:dyDescent="0.2">
      <c r="V697" s="26"/>
      <c r="W697" s="26"/>
    </row>
    <row r="698" spans="22:23" x14ac:dyDescent="0.2">
      <c r="V698" s="26"/>
      <c r="W698" s="26"/>
    </row>
    <row r="699" spans="22:23" x14ac:dyDescent="0.2">
      <c r="V699" s="26"/>
      <c r="W699" s="26"/>
    </row>
    <row r="700" spans="22:23" x14ac:dyDescent="0.2">
      <c r="V700" s="26"/>
      <c r="W700" s="26"/>
    </row>
    <row r="701" spans="22:23" x14ac:dyDescent="0.2">
      <c r="V701" s="26"/>
      <c r="W701" s="26"/>
    </row>
    <row r="702" spans="22:23" x14ac:dyDescent="0.2">
      <c r="V702" s="26"/>
      <c r="W702" s="26"/>
    </row>
    <row r="703" spans="22:23" x14ac:dyDescent="0.2">
      <c r="V703" s="26"/>
      <c r="W703" s="26"/>
    </row>
    <row r="704" spans="22:23" x14ac:dyDescent="0.2">
      <c r="V704" s="26"/>
      <c r="W704" s="26"/>
    </row>
    <row r="705" spans="22:23" x14ac:dyDescent="0.2">
      <c r="V705" s="26"/>
      <c r="W705" s="26"/>
    </row>
    <row r="706" spans="22:23" x14ac:dyDescent="0.2">
      <c r="V706" s="26"/>
      <c r="W706" s="26"/>
    </row>
    <row r="707" spans="22:23" x14ac:dyDescent="0.2">
      <c r="V707" s="26"/>
      <c r="W707" s="26"/>
    </row>
    <row r="708" spans="22:23" x14ac:dyDescent="0.2">
      <c r="V708" s="26"/>
      <c r="W708" s="26"/>
    </row>
    <row r="709" spans="22:23" x14ac:dyDescent="0.2">
      <c r="V709" s="26"/>
      <c r="W709" s="26"/>
    </row>
    <row r="710" spans="22:23" x14ac:dyDescent="0.2">
      <c r="V710" s="26"/>
      <c r="W710" s="26"/>
    </row>
    <row r="711" spans="22:23" x14ac:dyDescent="0.2">
      <c r="V711" s="26"/>
      <c r="W711" s="26"/>
    </row>
    <row r="712" spans="22:23" x14ac:dyDescent="0.2">
      <c r="V712" s="26"/>
      <c r="W712" s="26"/>
    </row>
    <row r="713" spans="22:23" x14ac:dyDescent="0.2">
      <c r="V713" s="26"/>
      <c r="W713" s="26"/>
    </row>
    <row r="714" spans="22:23" x14ac:dyDescent="0.2">
      <c r="V714" s="26"/>
      <c r="W714" s="26"/>
    </row>
    <row r="715" spans="22:23" x14ac:dyDescent="0.2">
      <c r="V715" s="26"/>
      <c r="W715" s="26"/>
    </row>
    <row r="716" spans="22:23" x14ac:dyDescent="0.2">
      <c r="V716" s="26"/>
      <c r="W716" s="26"/>
    </row>
    <row r="717" spans="22:23" x14ac:dyDescent="0.2">
      <c r="V717" s="26"/>
      <c r="W717" s="26"/>
    </row>
    <row r="718" spans="22:23" x14ac:dyDescent="0.2">
      <c r="V718" s="26"/>
      <c r="W718" s="26"/>
    </row>
    <row r="719" spans="22:23" x14ac:dyDescent="0.2">
      <c r="V719" s="26"/>
      <c r="W719" s="26"/>
    </row>
    <row r="720" spans="22:23" x14ac:dyDescent="0.2">
      <c r="V720" s="26"/>
      <c r="W720" s="26"/>
    </row>
    <row r="721" spans="22:23" x14ac:dyDescent="0.2">
      <c r="V721" s="26"/>
      <c r="W721" s="26"/>
    </row>
    <row r="722" spans="22:23" x14ac:dyDescent="0.2">
      <c r="V722" s="26"/>
      <c r="W722" s="26"/>
    </row>
    <row r="723" spans="22:23" x14ac:dyDescent="0.2">
      <c r="V723" s="26"/>
      <c r="W723" s="26"/>
    </row>
    <row r="724" spans="22:23" x14ac:dyDescent="0.2">
      <c r="V724" s="26"/>
      <c r="W724" s="26"/>
    </row>
    <row r="725" spans="22:23" x14ac:dyDescent="0.2">
      <c r="V725" s="26"/>
      <c r="W725" s="26"/>
    </row>
    <row r="726" spans="22:23" x14ac:dyDescent="0.2">
      <c r="V726" s="26"/>
      <c r="W726" s="26"/>
    </row>
    <row r="727" spans="22:23" x14ac:dyDescent="0.2">
      <c r="V727" s="26"/>
      <c r="W727" s="26"/>
    </row>
    <row r="728" spans="22:23" x14ac:dyDescent="0.2">
      <c r="V728" s="26"/>
      <c r="W728" s="26"/>
    </row>
    <row r="729" spans="22:23" x14ac:dyDescent="0.2">
      <c r="V729" s="26"/>
      <c r="W729" s="26"/>
    </row>
    <row r="730" spans="22:23" x14ac:dyDescent="0.2">
      <c r="V730" s="26"/>
      <c r="W730" s="26"/>
    </row>
    <row r="731" spans="22:23" x14ac:dyDescent="0.2">
      <c r="V731" s="26"/>
      <c r="W731" s="26"/>
    </row>
    <row r="732" spans="22:23" x14ac:dyDescent="0.2">
      <c r="V732" s="26"/>
      <c r="W732" s="26"/>
    </row>
    <row r="733" spans="22:23" x14ac:dyDescent="0.2">
      <c r="V733" s="26"/>
      <c r="W733" s="26"/>
    </row>
    <row r="734" spans="22:23" x14ac:dyDescent="0.2">
      <c r="V734" s="26"/>
      <c r="W734" s="26"/>
    </row>
    <row r="735" spans="22:23" x14ac:dyDescent="0.2">
      <c r="V735" s="26"/>
      <c r="W735" s="26"/>
    </row>
    <row r="736" spans="22:23" x14ac:dyDescent="0.2">
      <c r="V736" s="26"/>
      <c r="W736" s="26"/>
    </row>
    <row r="737" spans="22:23" x14ac:dyDescent="0.2">
      <c r="V737" s="26"/>
      <c r="W737" s="26"/>
    </row>
    <row r="738" spans="22:23" x14ac:dyDescent="0.2">
      <c r="V738" s="26"/>
      <c r="W738" s="26"/>
    </row>
    <row r="739" spans="22:23" x14ac:dyDescent="0.2">
      <c r="V739" s="26"/>
      <c r="W739" s="26"/>
    </row>
    <row r="740" spans="22:23" x14ac:dyDescent="0.2">
      <c r="V740" s="26"/>
      <c r="W740" s="26"/>
    </row>
    <row r="741" spans="22:23" x14ac:dyDescent="0.2">
      <c r="V741" s="26"/>
      <c r="W741" s="26"/>
    </row>
    <row r="742" spans="22:23" x14ac:dyDescent="0.2">
      <c r="V742" s="26"/>
      <c r="W742" s="26"/>
    </row>
    <row r="743" spans="22:23" x14ac:dyDescent="0.2">
      <c r="V743" s="26"/>
      <c r="W743" s="26"/>
    </row>
    <row r="744" spans="22:23" x14ac:dyDescent="0.2">
      <c r="V744" s="26"/>
      <c r="W744" s="26"/>
    </row>
    <row r="745" spans="22:23" x14ac:dyDescent="0.2">
      <c r="V745" s="26"/>
      <c r="W745" s="26"/>
    </row>
    <row r="746" spans="22:23" x14ac:dyDescent="0.2">
      <c r="V746" s="26"/>
      <c r="W746" s="26"/>
    </row>
    <row r="747" spans="22:23" x14ac:dyDescent="0.2">
      <c r="V747" s="26"/>
      <c r="W747" s="26"/>
    </row>
    <row r="748" spans="22:23" x14ac:dyDescent="0.2">
      <c r="V748" s="26"/>
      <c r="W748" s="26"/>
    </row>
    <row r="749" spans="22:23" x14ac:dyDescent="0.2">
      <c r="V749" s="26"/>
      <c r="W749" s="26"/>
    </row>
    <row r="750" spans="22:23" x14ac:dyDescent="0.2">
      <c r="V750" s="26"/>
      <c r="W750" s="26"/>
    </row>
    <row r="751" spans="22:23" x14ac:dyDescent="0.2">
      <c r="V751" s="26"/>
      <c r="W751" s="26"/>
    </row>
    <row r="752" spans="22:23" x14ac:dyDescent="0.2">
      <c r="V752" s="26"/>
      <c r="W752" s="26"/>
    </row>
    <row r="753" spans="22:23" x14ac:dyDescent="0.2">
      <c r="V753" s="26"/>
      <c r="W753" s="26"/>
    </row>
    <row r="754" spans="22:23" x14ac:dyDescent="0.2">
      <c r="V754" s="26"/>
      <c r="W754" s="26"/>
    </row>
    <row r="755" spans="22:23" x14ac:dyDescent="0.2">
      <c r="V755" s="26"/>
      <c r="W755" s="26"/>
    </row>
    <row r="756" spans="22:23" x14ac:dyDescent="0.2">
      <c r="V756" s="26"/>
      <c r="W756" s="26"/>
    </row>
    <row r="757" spans="22:23" x14ac:dyDescent="0.2">
      <c r="V757" s="26"/>
      <c r="W757" s="26"/>
    </row>
    <row r="758" spans="22:23" x14ac:dyDescent="0.2">
      <c r="V758" s="26"/>
      <c r="W758" s="26"/>
    </row>
    <row r="759" spans="22:23" x14ac:dyDescent="0.2">
      <c r="V759" s="26"/>
      <c r="W759" s="26"/>
    </row>
    <row r="760" spans="22:23" x14ac:dyDescent="0.2">
      <c r="V760" s="26"/>
      <c r="W760" s="26"/>
    </row>
    <row r="761" spans="22:23" x14ac:dyDescent="0.2">
      <c r="V761" s="26"/>
      <c r="W761" s="26"/>
    </row>
    <row r="762" spans="22:23" x14ac:dyDescent="0.2">
      <c r="V762" s="26"/>
      <c r="W762" s="26"/>
    </row>
    <row r="763" spans="22:23" x14ac:dyDescent="0.2">
      <c r="V763" s="26"/>
      <c r="W763" s="26"/>
    </row>
    <row r="764" spans="22:23" x14ac:dyDescent="0.2">
      <c r="V764" s="26"/>
      <c r="W764" s="26"/>
    </row>
    <row r="765" spans="22:23" x14ac:dyDescent="0.2">
      <c r="V765" s="26"/>
      <c r="W765" s="26"/>
    </row>
    <row r="766" spans="22:23" x14ac:dyDescent="0.2">
      <c r="V766" s="26"/>
      <c r="W766" s="26"/>
    </row>
    <row r="767" spans="22:23" x14ac:dyDescent="0.2">
      <c r="V767" s="26"/>
      <c r="W767" s="26"/>
    </row>
    <row r="768" spans="22:23" x14ac:dyDescent="0.2">
      <c r="V768" s="26"/>
      <c r="W768" s="26"/>
    </row>
    <row r="769" spans="22:23" x14ac:dyDescent="0.2">
      <c r="V769" s="26"/>
      <c r="W769" s="26"/>
    </row>
    <row r="770" spans="22:23" x14ac:dyDescent="0.2">
      <c r="V770" s="26"/>
      <c r="W770" s="26"/>
    </row>
    <row r="771" spans="22:23" x14ac:dyDescent="0.2">
      <c r="V771" s="26"/>
      <c r="W771" s="26"/>
    </row>
    <row r="772" spans="22:23" x14ac:dyDescent="0.2">
      <c r="V772" s="26"/>
      <c r="W772" s="26"/>
    </row>
    <row r="773" spans="22:23" x14ac:dyDescent="0.2">
      <c r="V773" s="26"/>
      <c r="W773" s="26"/>
    </row>
    <row r="774" spans="22:23" x14ac:dyDescent="0.2">
      <c r="V774" s="26"/>
      <c r="W774" s="26"/>
    </row>
    <row r="775" spans="22:23" x14ac:dyDescent="0.2">
      <c r="V775" s="26"/>
      <c r="W775" s="26"/>
    </row>
    <row r="776" spans="22:23" x14ac:dyDescent="0.2">
      <c r="V776" s="26"/>
      <c r="W776" s="26"/>
    </row>
    <row r="777" spans="22:23" x14ac:dyDescent="0.2">
      <c r="V777" s="26"/>
      <c r="W777" s="26"/>
    </row>
    <row r="778" spans="22:23" x14ac:dyDescent="0.2">
      <c r="V778" s="26"/>
      <c r="W778" s="26"/>
    </row>
    <row r="779" spans="22:23" x14ac:dyDescent="0.2">
      <c r="V779" s="26"/>
      <c r="W779" s="26"/>
    </row>
    <row r="780" spans="22:23" x14ac:dyDescent="0.2">
      <c r="V780" s="26"/>
      <c r="W780" s="26"/>
    </row>
    <row r="781" spans="22:23" x14ac:dyDescent="0.2">
      <c r="V781" s="26"/>
      <c r="W781" s="26"/>
    </row>
    <row r="782" spans="22:23" x14ac:dyDescent="0.2">
      <c r="V782" s="26"/>
      <c r="W782" s="26"/>
    </row>
    <row r="783" spans="22:23" x14ac:dyDescent="0.2">
      <c r="V783" s="26"/>
      <c r="W783" s="26"/>
    </row>
    <row r="784" spans="22:23" x14ac:dyDescent="0.2">
      <c r="V784" s="26"/>
      <c r="W784" s="26"/>
    </row>
    <row r="785" spans="22:23" x14ac:dyDescent="0.2">
      <c r="V785" s="26"/>
      <c r="W785" s="26"/>
    </row>
    <row r="786" spans="22:23" x14ac:dyDescent="0.2">
      <c r="V786" s="26"/>
      <c r="W786" s="26"/>
    </row>
    <row r="787" spans="22:23" x14ac:dyDescent="0.2">
      <c r="V787" s="26"/>
      <c r="W787" s="26"/>
    </row>
    <row r="788" spans="22:23" x14ac:dyDescent="0.2">
      <c r="V788" s="26"/>
      <c r="W788" s="26"/>
    </row>
    <row r="789" spans="22:23" x14ac:dyDescent="0.2">
      <c r="V789" s="26"/>
      <c r="W789" s="26"/>
    </row>
    <row r="790" spans="22:23" x14ac:dyDescent="0.2">
      <c r="V790" s="26"/>
      <c r="W790" s="26"/>
    </row>
    <row r="791" spans="22:23" x14ac:dyDescent="0.2">
      <c r="V791" s="26"/>
      <c r="W791" s="26"/>
    </row>
    <row r="792" spans="22:23" x14ac:dyDescent="0.2">
      <c r="V792" s="26"/>
      <c r="W792" s="26"/>
    </row>
    <row r="793" spans="22:23" x14ac:dyDescent="0.2">
      <c r="V793" s="26"/>
      <c r="W793" s="26"/>
    </row>
    <row r="794" spans="22:23" x14ac:dyDescent="0.2">
      <c r="V794" s="26"/>
      <c r="W794" s="26"/>
    </row>
    <row r="795" spans="22:23" x14ac:dyDescent="0.2">
      <c r="V795" s="26"/>
      <c r="W795" s="26"/>
    </row>
    <row r="796" spans="22:23" x14ac:dyDescent="0.2">
      <c r="V796" s="26"/>
      <c r="W796" s="26"/>
    </row>
    <row r="797" spans="22:23" x14ac:dyDescent="0.2">
      <c r="V797" s="26"/>
      <c r="W797" s="26"/>
    </row>
    <row r="798" spans="22:23" x14ac:dyDescent="0.2">
      <c r="V798" s="26"/>
      <c r="W798" s="26"/>
    </row>
    <row r="799" spans="22:23" x14ac:dyDescent="0.2">
      <c r="V799" s="26"/>
      <c r="W799" s="26"/>
    </row>
    <row r="800" spans="22:23" x14ac:dyDescent="0.2">
      <c r="V800" s="26"/>
      <c r="W800" s="26"/>
    </row>
    <row r="801" spans="22:23" x14ac:dyDescent="0.2">
      <c r="V801" s="26"/>
      <c r="W801" s="26"/>
    </row>
    <row r="802" spans="22:23" x14ac:dyDescent="0.2">
      <c r="V802" s="26"/>
      <c r="W802" s="26"/>
    </row>
    <row r="803" spans="22:23" x14ac:dyDescent="0.2">
      <c r="V803" s="26"/>
      <c r="W803" s="26"/>
    </row>
    <row r="804" spans="22:23" x14ac:dyDescent="0.2">
      <c r="V804" s="26"/>
      <c r="W804" s="26"/>
    </row>
    <row r="805" spans="22:23" x14ac:dyDescent="0.2">
      <c r="V805" s="26"/>
      <c r="W805" s="26"/>
    </row>
    <row r="806" spans="22:23" x14ac:dyDescent="0.2">
      <c r="V806" s="26"/>
      <c r="W806" s="26"/>
    </row>
    <row r="807" spans="22:23" x14ac:dyDescent="0.2">
      <c r="V807" s="26"/>
      <c r="W807" s="26"/>
    </row>
    <row r="808" spans="22:23" x14ac:dyDescent="0.2">
      <c r="V808" s="26"/>
      <c r="W808" s="26"/>
    </row>
    <row r="809" spans="22:23" x14ac:dyDescent="0.2">
      <c r="V809" s="26"/>
      <c r="W809" s="26"/>
    </row>
    <row r="810" spans="22:23" x14ac:dyDescent="0.2">
      <c r="V810" s="26"/>
      <c r="W810" s="26"/>
    </row>
    <row r="811" spans="22:23" x14ac:dyDescent="0.2">
      <c r="V811" s="26"/>
      <c r="W811" s="26"/>
    </row>
    <row r="812" spans="22:23" x14ac:dyDescent="0.2">
      <c r="V812" s="26"/>
      <c r="W812" s="26"/>
    </row>
    <row r="813" spans="22:23" x14ac:dyDescent="0.2">
      <c r="V813" s="26"/>
      <c r="W813" s="26"/>
    </row>
    <row r="814" spans="22:23" x14ac:dyDescent="0.2">
      <c r="V814" s="26"/>
      <c r="W814" s="26"/>
    </row>
    <row r="815" spans="22:23" x14ac:dyDescent="0.2">
      <c r="V815" s="26"/>
      <c r="W815" s="26"/>
    </row>
    <row r="816" spans="22:23" x14ac:dyDescent="0.2">
      <c r="V816" s="26"/>
      <c r="W816" s="26"/>
    </row>
    <row r="817" spans="22:23" x14ac:dyDescent="0.2">
      <c r="V817" s="26"/>
      <c r="W817" s="26"/>
    </row>
    <row r="818" spans="22:23" x14ac:dyDescent="0.2">
      <c r="V818" s="26"/>
      <c r="W818" s="26"/>
    </row>
    <row r="819" spans="22:23" x14ac:dyDescent="0.2">
      <c r="V819" s="26"/>
      <c r="W819" s="26"/>
    </row>
    <row r="820" spans="22:23" x14ac:dyDescent="0.2">
      <c r="V820" s="26"/>
      <c r="W820" s="26"/>
    </row>
    <row r="821" spans="22:23" x14ac:dyDescent="0.2">
      <c r="V821" s="26"/>
      <c r="W821" s="26"/>
    </row>
    <row r="822" spans="22:23" x14ac:dyDescent="0.2">
      <c r="V822" s="26"/>
      <c r="W822" s="26"/>
    </row>
    <row r="823" spans="22:23" x14ac:dyDescent="0.2">
      <c r="V823" s="26"/>
      <c r="W823" s="26"/>
    </row>
    <row r="824" spans="22:23" x14ac:dyDescent="0.2">
      <c r="V824" s="26"/>
      <c r="W824" s="26"/>
    </row>
    <row r="825" spans="22:23" x14ac:dyDescent="0.2">
      <c r="V825" s="26"/>
      <c r="W825" s="26"/>
    </row>
    <row r="826" spans="22:23" x14ac:dyDescent="0.2">
      <c r="V826" s="26"/>
      <c r="W826" s="26"/>
    </row>
    <row r="827" spans="22:23" x14ac:dyDescent="0.2">
      <c r="V827" s="26"/>
      <c r="W827" s="26"/>
    </row>
    <row r="828" spans="22:23" x14ac:dyDescent="0.2">
      <c r="V828" s="26"/>
      <c r="W828" s="26"/>
    </row>
    <row r="829" spans="22:23" x14ac:dyDescent="0.2">
      <c r="V829" s="26"/>
      <c r="W829" s="26"/>
    </row>
    <row r="830" spans="22:23" x14ac:dyDescent="0.2">
      <c r="V830" s="26"/>
      <c r="W830" s="26"/>
    </row>
    <row r="831" spans="22:23" x14ac:dyDescent="0.2">
      <c r="V831" s="26"/>
      <c r="W831" s="26"/>
    </row>
    <row r="832" spans="22:23" x14ac:dyDescent="0.2">
      <c r="V832" s="26"/>
      <c r="W832" s="26"/>
    </row>
    <row r="833" spans="22:23" x14ac:dyDescent="0.2">
      <c r="V833" s="26"/>
      <c r="W833" s="26"/>
    </row>
    <row r="834" spans="22:23" x14ac:dyDescent="0.2">
      <c r="V834" s="26"/>
      <c r="W834" s="26"/>
    </row>
    <row r="835" spans="22:23" x14ac:dyDescent="0.2">
      <c r="V835" s="26"/>
      <c r="W835" s="26"/>
    </row>
    <row r="836" spans="22:23" x14ac:dyDescent="0.2">
      <c r="V836" s="26"/>
      <c r="W836" s="26"/>
    </row>
    <row r="837" spans="22:23" x14ac:dyDescent="0.2">
      <c r="V837" s="26"/>
      <c r="W837" s="26"/>
    </row>
    <row r="838" spans="22:23" x14ac:dyDescent="0.2">
      <c r="V838" s="26"/>
      <c r="W838" s="26"/>
    </row>
    <row r="839" spans="22:23" x14ac:dyDescent="0.2">
      <c r="V839" s="26"/>
      <c r="W839" s="26"/>
    </row>
    <row r="840" spans="22:23" x14ac:dyDescent="0.2">
      <c r="V840" s="26"/>
      <c r="W840" s="26"/>
    </row>
    <row r="841" spans="22:23" x14ac:dyDescent="0.2">
      <c r="V841" s="26"/>
      <c r="W841" s="26"/>
    </row>
    <row r="842" spans="22:23" x14ac:dyDescent="0.2">
      <c r="V842" s="26"/>
      <c r="W842" s="26"/>
    </row>
    <row r="843" spans="22:23" x14ac:dyDescent="0.2">
      <c r="V843" s="26"/>
      <c r="W843" s="26"/>
    </row>
    <row r="844" spans="22:23" x14ac:dyDescent="0.2">
      <c r="V844" s="26"/>
      <c r="W844" s="26"/>
    </row>
    <row r="845" spans="22:23" x14ac:dyDescent="0.2">
      <c r="V845" s="26"/>
      <c r="W845" s="26"/>
    </row>
    <row r="846" spans="22:23" x14ac:dyDescent="0.2">
      <c r="V846" s="26"/>
      <c r="W846" s="26"/>
    </row>
    <row r="847" spans="22:23" x14ac:dyDescent="0.2">
      <c r="V847" s="26"/>
      <c r="W847" s="26"/>
    </row>
    <row r="848" spans="22:23" x14ac:dyDescent="0.2">
      <c r="V848" s="26"/>
      <c r="W848" s="26"/>
    </row>
    <row r="849" spans="22:23" x14ac:dyDescent="0.2">
      <c r="V849" s="26"/>
      <c r="W849" s="26"/>
    </row>
    <row r="850" spans="22:23" x14ac:dyDescent="0.2">
      <c r="V850" s="26"/>
      <c r="W850" s="26"/>
    </row>
    <row r="851" spans="22:23" x14ac:dyDescent="0.2">
      <c r="V851" s="26"/>
      <c r="W851" s="26"/>
    </row>
    <row r="852" spans="22:23" x14ac:dyDescent="0.2">
      <c r="V852" s="26"/>
      <c r="W852" s="26"/>
    </row>
    <row r="853" spans="22:23" x14ac:dyDescent="0.2">
      <c r="V853" s="26"/>
      <c r="W853" s="26"/>
    </row>
    <row r="854" spans="22:23" x14ac:dyDescent="0.2">
      <c r="V854" s="26"/>
      <c r="W854" s="26"/>
    </row>
    <row r="855" spans="22:23" x14ac:dyDescent="0.2">
      <c r="V855" s="26"/>
      <c r="W855" s="26"/>
    </row>
    <row r="856" spans="22:23" x14ac:dyDescent="0.2">
      <c r="V856" s="26"/>
      <c r="W856" s="26"/>
    </row>
    <row r="857" spans="22:23" x14ac:dyDescent="0.2">
      <c r="V857" s="26"/>
      <c r="W857" s="26"/>
    </row>
    <row r="858" spans="22:23" x14ac:dyDescent="0.2">
      <c r="V858" s="26"/>
      <c r="W858" s="26"/>
    </row>
    <row r="859" spans="22:23" x14ac:dyDescent="0.2">
      <c r="V859" s="26"/>
      <c r="W859" s="26"/>
    </row>
    <row r="860" spans="22:23" x14ac:dyDescent="0.2">
      <c r="V860" s="26"/>
      <c r="W860" s="26"/>
    </row>
    <row r="861" spans="22:23" x14ac:dyDescent="0.2">
      <c r="V861" s="26"/>
      <c r="W861" s="26"/>
    </row>
    <row r="862" spans="22:23" x14ac:dyDescent="0.2">
      <c r="V862" s="26"/>
      <c r="W862" s="26"/>
    </row>
    <row r="863" spans="22:23" x14ac:dyDescent="0.2">
      <c r="V863" s="26"/>
      <c r="W863" s="26"/>
    </row>
    <row r="864" spans="22:23" x14ac:dyDescent="0.2">
      <c r="V864" s="26"/>
      <c r="W864" s="26"/>
    </row>
    <row r="865" spans="22:23" x14ac:dyDescent="0.2">
      <c r="V865" s="26"/>
      <c r="W865" s="26"/>
    </row>
    <row r="866" spans="22:23" x14ac:dyDescent="0.2">
      <c r="V866" s="26"/>
      <c r="W866" s="26"/>
    </row>
    <row r="867" spans="22:23" x14ac:dyDescent="0.2">
      <c r="V867" s="26"/>
      <c r="W867" s="26"/>
    </row>
    <row r="868" spans="22:23" x14ac:dyDescent="0.2">
      <c r="V868" s="26"/>
      <c r="W868" s="26"/>
    </row>
    <row r="869" spans="22:23" x14ac:dyDescent="0.2">
      <c r="V869" s="26"/>
      <c r="W869" s="26"/>
    </row>
    <row r="870" spans="22:23" x14ac:dyDescent="0.2">
      <c r="V870" s="26"/>
      <c r="W870" s="26"/>
    </row>
    <row r="871" spans="22:23" x14ac:dyDescent="0.2">
      <c r="V871" s="26"/>
      <c r="W871" s="26"/>
    </row>
    <row r="872" spans="22:23" x14ac:dyDescent="0.2">
      <c r="V872" s="26"/>
      <c r="W872" s="26"/>
    </row>
    <row r="873" spans="22:23" x14ac:dyDescent="0.2">
      <c r="V873" s="26"/>
      <c r="W873" s="26"/>
    </row>
    <row r="874" spans="22:23" x14ac:dyDescent="0.2">
      <c r="V874" s="26"/>
      <c r="W874" s="26"/>
    </row>
    <row r="875" spans="22:23" x14ac:dyDescent="0.2">
      <c r="V875" s="26"/>
      <c r="W875" s="26"/>
    </row>
    <row r="876" spans="22:23" x14ac:dyDescent="0.2">
      <c r="V876" s="26"/>
      <c r="W876" s="26"/>
    </row>
    <row r="877" spans="22:23" x14ac:dyDescent="0.2">
      <c r="V877" s="26"/>
      <c r="W877" s="26"/>
    </row>
    <row r="878" spans="22:23" x14ac:dyDescent="0.2">
      <c r="V878" s="26"/>
      <c r="W878" s="26"/>
    </row>
    <row r="879" spans="22:23" x14ac:dyDescent="0.2">
      <c r="V879" s="26"/>
      <c r="W879" s="26"/>
    </row>
    <row r="880" spans="22:23" x14ac:dyDescent="0.2">
      <c r="V880" s="26"/>
      <c r="W880" s="26"/>
    </row>
    <row r="881" spans="22:23" x14ac:dyDescent="0.2">
      <c r="V881" s="26"/>
      <c r="W881" s="26"/>
    </row>
    <row r="882" spans="22:23" x14ac:dyDescent="0.2">
      <c r="V882" s="26"/>
      <c r="W882" s="26"/>
    </row>
    <row r="883" spans="22:23" x14ac:dyDescent="0.2">
      <c r="V883" s="26"/>
      <c r="W883" s="26"/>
    </row>
    <row r="884" spans="22:23" x14ac:dyDescent="0.2">
      <c r="V884" s="26"/>
      <c r="W884" s="26"/>
    </row>
    <row r="885" spans="22:23" x14ac:dyDescent="0.2">
      <c r="V885" s="26"/>
      <c r="W885" s="26"/>
    </row>
    <row r="886" spans="22:23" x14ac:dyDescent="0.2">
      <c r="V886" s="26"/>
      <c r="W886" s="26"/>
    </row>
    <row r="887" spans="22:23" x14ac:dyDescent="0.2">
      <c r="V887" s="26"/>
      <c r="W887" s="26"/>
    </row>
    <row r="888" spans="22:23" x14ac:dyDescent="0.2">
      <c r="V888" s="26"/>
      <c r="W888" s="26"/>
    </row>
    <row r="889" spans="22:23" x14ac:dyDescent="0.2">
      <c r="V889" s="26"/>
      <c r="W889" s="26"/>
    </row>
    <row r="890" spans="22:23" x14ac:dyDescent="0.2">
      <c r="V890" s="26"/>
      <c r="W890" s="26"/>
    </row>
    <row r="891" spans="22:23" x14ac:dyDescent="0.2">
      <c r="V891" s="26"/>
      <c r="W891" s="26"/>
    </row>
    <row r="892" spans="22:23" x14ac:dyDescent="0.2">
      <c r="V892" s="26"/>
      <c r="W892" s="26"/>
    </row>
    <row r="893" spans="22:23" x14ac:dyDescent="0.2">
      <c r="V893" s="26"/>
      <c r="W893" s="26"/>
    </row>
    <row r="894" spans="22:23" x14ac:dyDescent="0.2">
      <c r="V894" s="26"/>
      <c r="W894" s="26"/>
    </row>
    <row r="895" spans="22:23" x14ac:dyDescent="0.2">
      <c r="V895" s="26"/>
      <c r="W895" s="26"/>
    </row>
    <row r="896" spans="22:23" x14ac:dyDescent="0.2">
      <c r="V896" s="26"/>
      <c r="W896" s="26"/>
    </row>
    <row r="897" spans="22:23" x14ac:dyDescent="0.2">
      <c r="V897" s="26"/>
      <c r="W897" s="26"/>
    </row>
    <row r="898" spans="22:23" x14ac:dyDescent="0.2">
      <c r="V898" s="26"/>
      <c r="W898" s="26"/>
    </row>
    <row r="899" spans="22:23" x14ac:dyDescent="0.2">
      <c r="V899" s="26"/>
      <c r="W899" s="26"/>
    </row>
    <row r="900" spans="22:23" x14ac:dyDescent="0.2">
      <c r="V900" s="26"/>
      <c r="W900" s="26"/>
    </row>
    <row r="901" spans="22:23" x14ac:dyDescent="0.2">
      <c r="V901" s="26"/>
      <c r="W901" s="26"/>
    </row>
    <row r="902" spans="22:23" x14ac:dyDescent="0.2">
      <c r="V902" s="26"/>
      <c r="W902" s="26"/>
    </row>
    <row r="903" spans="22:23" x14ac:dyDescent="0.2">
      <c r="V903" s="26"/>
      <c r="W903" s="26"/>
    </row>
    <row r="904" spans="22:23" x14ac:dyDescent="0.2">
      <c r="V904" s="26"/>
      <c r="W904" s="26"/>
    </row>
    <row r="905" spans="22:23" x14ac:dyDescent="0.2">
      <c r="V905" s="26"/>
      <c r="W905" s="26"/>
    </row>
    <row r="906" spans="22:23" x14ac:dyDescent="0.2">
      <c r="V906" s="26"/>
      <c r="W906" s="26"/>
    </row>
    <row r="907" spans="22:23" x14ac:dyDescent="0.2">
      <c r="V907" s="26"/>
      <c r="W907" s="26"/>
    </row>
    <row r="908" spans="22:23" x14ac:dyDescent="0.2">
      <c r="V908" s="26"/>
      <c r="W908" s="26"/>
    </row>
    <row r="909" spans="22:23" x14ac:dyDescent="0.2">
      <c r="V909" s="26"/>
      <c r="W909" s="26"/>
    </row>
    <row r="910" spans="22:23" x14ac:dyDescent="0.2">
      <c r="V910" s="26"/>
      <c r="W910" s="26"/>
    </row>
    <row r="911" spans="22:23" x14ac:dyDescent="0.2">
      <c r="V911" s="26"/>
      <c r="W911" s="26"/>
    </row>
    <row r="912" spans="22:23" x14ac:dyDescent="0.2">
      <c r="V912" s="26"/>
      <c r="W912" s="26"/>
    </row>
    <row r="913" spans="22:23" x14ac:dyDescent="0.2">
      <c r="V913" s="26"/>
      <c r="W913" s="26"/>
    </row>
    <row r="914" spans="22:23" x14ac:dyDescent="0.2">
      <c r="V914" s="26"/>
      <c r="W914" s="26"/>
    </row>
    <row r="915" spans="22:23" x14ac:dyDescent="0.2">
      <c r="V915" s="26"/>
      <c r="W915" s="26"/>
    </row>
    <row r="916" spans="22:23" x14ac:dyDescent="0.2">
      <c r="V916" s="26"/>
      <c r="W916" s="26"/>
    </row>
    <row r="917" spans="22:23" x14ac:dyDescent="0.2">
      <c r="V917" s="26"/>
      <c r="W917" s="26"/>
    </row>
    <row r="918" spans="22:23" x14ac:dyDescent="0.2">
      <c r="V918" s="26"/>
      <c r="W918" s="26"/>
    </row>
    <row r="919" spans="22:23" x14ac:dyDescent="0.2">
      <c r="V919" s="26"/>
      <c r="W919" s="26"/>
    </row>
    <row r="920" spans="22:23" x14ac:dyDescent="0.2">
      <c r="V920" s="26"/>
      <c r="W920" s="26"/>
    </row>
    <row r="921" spans="22:23" x14ac:dyDescent="0.2">
      <c r="V921" s="26"/>
      <c r="W921" s="26"/>
    </row>
    <row r="922" spans="22:23" x14ac:dyDescent="0.2">
      <c r="V922" s="26"/>
      <c r="W922" s="26"/>
    </row>
    <row r="923" spans="22:23" x14ac:dyDescent="0.2">
      <c r="V923" s="26"/>
      <c r="W923" s="26"/>
    </row>
    <row r="924" spans="22:23" x14ac:dyDescent="0.2">
      <c r="V924" s="26"/>
      <c r="W924" s="26"/>
    </row>
    <row r="925" spans="22:23" x14ac:dyDescent="0.2">
      <c r="V925" s="26"/>
      <c r="W925" s="26"/>
    </row>
    <row r="926" spans="22:23" x14ac:dyDescent="0.2">
      <c r="V926" s="26"/>
      <c r="W926" s="26"/>
    </row>
    <row r="927" spans="22:23" x14ac:dyDescent="0.2">
      <c r="V927" s="26"/>
      <c r="W927" s="26"/>
    </row>
    <row r="928" spans="22:23" x14ac:dyDescent="0.2">
      <c r="V928" s="26"/>
      <c r="W928" s="26"/>
    </row>
    <row r="929" spans="22:23" x14ac:dyDescent="0.2">
      <c r="V929" s="26"/>
      <c r="W929" s="26"/>
    </row>
    <row r="930" spans="22:23" x14ac:dyDescent="0.2">
      <c r="V930" s="26"/>
      <c r="W930" s="26"/>
    </row>
    <row r="931" spans="22:23" x14ac:dyDescent="0.2">
      <c r="V931" s="26"/>
      <c r="W931" s="26"/>
    </row>
    <row r="932" spans="22:23" x14ac:dyDescent="0.2">
      <c r="V932" s="26"/>
      <c r="W932" s="26"/>
    </row>
    <row r="933" spans="22:23" x14ac:dyDescent="0.2">
      <c r="V933" s="26"/>
      <c r="W933" s="26"/>
    </row>
    <row r="934" spans="22:23" x14ac:dyDescent="0.2">
      <c r="V934" s="26"/>
      <c r="W934" s="26"/>
    </row>
    <row r="935" spans="22:23" x14ac:dyDescent="0.2">
      <c r="V935" s="26"/>
      <c r="W935" s="2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BO1003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.75" customHeight="1" x14ac:dyDescent="0.2"/>
  <cols>
    <col min="1" max="1" width="6.42578125" customWidth="1"/>
    <col min="2" max="2" width="47.42578125" customWidth="1"/>
    <col min="3" max="3" width="4.42578125" customWidth="1"/>
    <col min="4" max="4" width="8.7109375" hidden="1" customWidth="1"/>
    <col min="5" max="5" width="30.7109375" hidden="1" customWidth="1"/>
    <col min="6" max="6" width="8.28515625" hidden="1" customWidth="1"/>
    <col min="7" max="7" width="29.42578125" hidden="1" customWidth="1"/>
    <col min="8" max="8" width="9.140625" hidden="1" customWidth="1"/>
    <col min="9" max="9" width="9.85546875" customWidth="1"/>
    <col min="10" max="10" width="7.140625" customWidth="1"/>
    <col min="11" max="11" width="10.42578125" customWidth="1"/>
    <col min="12" max="12" width="9.28515625" hidden="1" customWidth="1"/>
    <col min="13" max="13" width="11.7109375" hidden="1" customWidth="1"/>
    <col min="14" max="14" width="9.42578125" customWidth="1"/>
    <col min="15" max="16" width="9.28515625" hidden="1" customWidth="1"/>
    <col min="17" max="17" width="12.5703125" hidden="1" customWidth="1"/>
    <col min="18" max="19" width="9.42578125" hidden="1" customWidth="1"/>
    <col min="20" max="20" width="9.42578125" customWidth="1"/>
    <col min="21" max="22" width="9.28515625" customWidth="1"/>
    <col min="23" max="23" width="11.7109375" customWidth="1"/>
    <col min="24" max="24" width="9.42578125" customWidth="1"/>
    <col min="25" max="25" width="8" customWidth="1"/>
    <col min="26" max="26" width="10.42578125" customWidth="1"/>
    <col min="27" max="27" width="13.5703125" customWidth="1"/>
    <col min="28" max="28" width="9.42578125" hidden="1" customWidth="1"/>
    <col min="29" max="30" width="10.42578125" hidden="1" customWidth="1"/>
    <col min="31" max="31" width="11.7109375" hidden="1" customWidth="1"/>
    <col min="32" max="32" width="13.28515625" hidden="1" customWidth="1"/>
    <col min="33" max="33" width="9.42578125" hidden="1" customWidth="1"/>
    <col min="34" max="35" width="10.42578125" hidden="1" customWidth="1"/>
    <col min="36" max="36" width="11.7109375" hidden="1" customWidth="1"/>
    <col min="37" max="37" width="13.28515625" hidden="1" customWidth="1"/>
    <col min="38" max="38" width="9.42578125" hidden="1" customWidth="1"/>
    <col min="39" max="40" width="10.42578125" hidden="1" customWidth="1"/>
    <col min="41" max="41" width="11.7109375" hidden="1" customWidth="1"/>
    <col min="42" max="42" width="13.28515625" hidden="1" customWidth="1"/>
    <col min="43" max="43" width="9.42578125" hidden="1" customWidth="1"/>
    <col min="44" max="45" width="10.42578125" hidden="1" customWidth="1"/>
    <col min="46" max="46" width="11.7109375" hidden="1" customWidth="1"/>
    <col min="47" max="47" width="13.28515625" hidden="1" customWidth="1"/>
    <col min="48" max="48" width="9.42578125" hidden="1" customWidth="1"/>
    <col min="49" max="50" width="10.42578125" hidden="1" customWidth="1"/>
    <col min="51" max="51" width="11.7109375" hidden="1" customWidth="1"/>
    <col min="52" max="52" width="13.28515625" hidden="1" customWidth="1"/>
    <col min="53" max="53" width="9.42578125" hidden="1" customWidth="1"/>
    <col min="54" max="55" width="10.42578125" hidden="1" customWidth="1"/>
    <col min="56" max="56" width="11.7109375" hidden="1" customWidth="1"/>
    <col min="57" max="57" width="13.28515625" hidden="1" customWidth="1"/>
    <col min="58" max="58" width="9.42578125" hidden="1" customWidth="1"/>
    <col min="59" max="60" width="10.42578125" hidden="1" customWidth="1"/>
    <col min="61" max="61" width="11.7109375" hidden="1" customWidth="1"/>
    <col min="62" max="62" width="13.28515625" hidden="1" customWidth="1"/>
    <col min="63" max="63" width="9.42578125" hidden="1" customWidth="1"/>
    <col min="64" max="65" width="10.42578125" hidden="1" customWidth="1"/>
    <col min="66" max="66" width="11.7109375" hidden="1" customWidth="1"/>
    <col min="67" max="67" width="13.28515625" hidden="1" customWidth="1"/>
  </cols>
  <sheetData>
    <row r="1" spans="1:67" x14ac:dyDescent="0.2">
      <c r="A1" s="1"/>
      <c r="B1" s="1"/>
      <c r="C1" s="1"/>
      <c r="D1" s="1"/>
      <c r="E1" s="1"/>
      <c r="F1" s="1"/>
      <c r="G1" s="1"/>
      <c r="H1" s="2"/>
      <c r="I1" s="2"/>
      <c r="J1" s="3" t="e">
        <f t="shared" ref="J1:K1" si="0">SUM(J5:J93)</f>
        <v>#VALUE!</v>
      </c>
      <c r="K1" s="4" t="e">
        <f t="shared" si="0"/>
        <v>#VALUE!</v>
      </c>
      <c r="L1" s="1"/>
      <c r="M1" s="1"/>
      <c r="N1" s="5"/>
      <c r="O1" s="1"/>
      <c r="P1" s="1"/>
      <c r="Q1" s="1"/>
      <c r="R1" s="5"/>
      <c r="S1" s="5"/>
      <c r="T1" s="5"/>
      <c r="U1" s="1"/>
      <c r="V1" s="1"/>
      <c r="W1" s="1"/>
      <c r="X1" s="5"/>
      <c r="Y1" s="6">
        <f>AA1/Z1</f>
        <v>0.50309124728968924</v>
      </c>
      <c r="Z1" s="11">
        <f t="shared" ref="Z1:AA1" si="1">SUM(Z5:Z93)</f>
        <v>899546.28000000014</v>
      </c>
      <c r="AA1" s="11">
        <f t="shared" si="1"/>
        <v>452553.8600000001</v>
      </c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spans="1:67" x14ac:dyDescent="0.2">
      <c r="A2" s="12" t="s">
        <v>0</v>
      </c>
      <c r="B2" s="12" t="s">
        <v>1</v>
      </c>
      <c r="C2" s="12" t="s">
        <v>2</v>
      </c>
      <c r="D2" s="12" t="s">
        <v>4</v>
      </c>
      <c r="E2" s="12" t="s">
        <v>5</v>
      </c>
      <c r="F2" s="12" t="s">
        <v>6</v>
      </c>
      <c r="G2" s="12" t="s">
        <v>7</v>
      </c>
      <c r="H2" s="13" t="s">
        <v>8</v>
      </c>
      <c r="I2" s="13" t="s">
        <v>9</v>
      </c>
      <c r="J2" s="3" t="s">
        <v>10</v>
      </c>
      <c r="K2" s="4" t="s">
        <v>11</v>
      </c>
      <c r="L2" s="12" t="s">
        <v>12</v>
      </c>
      <c r="M2" s="12" t="s">
        <v>13</v>
      </c>
      <c r="N2" s="5" t="s">
        <v>14</v>
      </c>
      <c r="O2" s="12"/>
      <c r="P2" s="12" t="s">
        <v>15</v>
      </c>
      <c r="Q2" s="12" t="s">
        <v>16</v>
      </c>
      <c r="R2" s="5"/>
      <c r="S2" s="5"/>
      <c r="T2" s="5" t="s">
        <v>17</v>
      </c>
      <c r="U2" s="12"/>
      <c r="V2" s="12" t="s">
        <v>18</v>
      </c>
      <c r="W2" s="12" t="s">
        <v>19</v>
      </c>
      <c r="X2" s="5" t="s">
        <v>20</v>
      </c>
      <c r="Y2" s="12" t="s">
        <v>21</v>
      </c>
      <c r="Z2" s="13" t="s">
        <v>22</v>
      </c>
      <c r="AA2" s="13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2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2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2" t="s">
        <v>63</v>
      </c>
    </row>
    <row r="3" spans="1:67" x14ac:dyDescent="0.2">
      <c r="A3" s="1"/>
      <c r="B3" s="1" t="s">
        <v>181</v>
      </c>
      <c r="C3" s="1"/>
      <c r="D3" s="1"/>
      <c r="E3" s="1"/>
      <c r="F3" s="1"/>
      <c r="G3" s="1"/>
      <c r="H3" s="2"/>
      <c r="I3" s="2"/>
      <c r="J3" s="14"/>
      <c r="K3" s="15"/>
      <c r="L3" s="1"/>
      <c r="M3" s="1"/>
      <c r="N3" s="5">
        <v>5</v>
      </c>
      <c r="O3" s="1"/>
      <c r="P3" s="1"/>
      <c r="Q3" s="1"/>
      <c r="R3" s="5"/>
      <c r="S3" s="5"/>
      <c r="T3" s="5">
        <v>5</v>
      </c>
      <c r="U3" s="1"/>
      <c r="V3" s="1"/>
      <c r="W3" s="1"/>
      <c r="X3" s="5">
        <v>5</v>
      </c>
      <c r="Y3" s="1"/>
      <c r="Z3" s="18"/>
      <c r="AA3" s="2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spans="1:67" x14ac:dyDescent="0.2">
      <c r="A4" s="1"/>
      <c r="B4" s="1" t="s">
        <v>182</v>
      </c>
      <c r="C4" s="1"/>
      <c r="D4" s="1"/>
      <c r="E4" s="1"/>
      <c r="F4" s="1"/>
      <c r="G4" s="1"/>
      <c r="H4" s="2"/>
      <c r="I4" s="2"/>
      <c r="J4" s="14"/>
      <c r="K4" s="15"/>
      <c r="L4" s="1"/>
      <c r="M4" s="1"/>
      <c r="N4" s="5">
        <v>5</v>
      </c>
      <c r="O4" s="1"/>
      <c r="P4" s="1"/>
      <c r="Q4" s="1"/>
      <c r="R4" s="5"/>
      <c r="S4" s="5"/>
      <c r="T4" s="5">
        <v>5</v>
      </c>
      <c r="U4" s="1"/>
      <c r="V4" s="1"/>
      <c r="W4" s="1"/>
      <c r="X4" s="29">
        <v>5</v>
      </c>
      <c r="Y4" s="1"/>
      <c r="Z4" s="18"/>
      <c r="AA4" s="2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</row>
    <row r="5" spans="1:67" x14ac:dyDescent="0.2">
      <c r="A5" s="1">
        <v>47001</v>
      </c>
      <c r="B5" s="1" t="s">
        <v>65</v>
      </c>
      <c r="C5" s="1">
        <v>16</v>
      </c>
      <c r="D5" s="1">
        <v>677</v>
      </c>
      <c r="E5" s="1" t="s">
        <v>64</v>
      </c>
      <c r="F5" s="1">
        <v>61</v>
      </c>
      <c r="G5" s="1" t="s">
        <v>66</v>
      </c>
      <c r="H5" s="2">
        <v>56.590200000000003</v>
      </c>
      <c r="I5" s="2">
        <v>905.44320000000005</v>
      </c>
      <c r="J5" s="14" t="e">
        <f t="shared" ref="J5:J93" si="2">SUM(K5*I5)</f>
        <v>#VALUE!</v>
      </c>
      <c r="K5" s="15" t="e">
        <f t="shared" ref="K5:K43" si="3">SUM(N5+T5+X5)</f>
        <v>#VALUE!</v>
      </c>
      <c r="L5" s="1">
        <v>24</v>
      </c>
      <c r="M5" s="1">
        <v>31.25</v>
      </c>
      <c r="N5" s="17">
        <f>MAX(0,(TRUNC((L5*0.8)-M5)))</f>
        <v>0</v>
      </c>
      <c r="O5" s="1"/>
      <c r="P5" s="1">
        <v>62.5</v>
      </c>
      <c r="Q5" s="1">
        <v>41.88</v>
      </c>
      <c r="R5" s="5">
        <f t="shared" ref="R5:R93" si="4">P5/30*8</f>
        <v>16.666666666666668</v>
      </c>
      <c r="S5" s="5">
        <f t="shared" ref="S5:S93" si="5">Q5-R5</f>
        <v>25.213333333333335</v>
      </c>
      <c r="T5" s="5">
        <v>40</v>
      </c>
      <c r="U5" s="1">
        <v>2</v>
      </c>
      <c r="V5" s="1">
        <v>50.53</v>
      </c>
      <c r="W5" s="1">
        <v>22</v>
      </c>
      <c r="X5" s="29" t="s">
        <v>112</v>
      </c>
      <c r="Y5" s="1">
        <v>0</v>
      </c>
      <c r="Z5" s="18">
        <v>124074.01</v>
      </c>
      <c r="AA5" s="2">
        <v>86130.28</v>
      </c>
      <c r="AB5" s="1">
        <v>124</v>
      </c>
      <c r="AC5" s="1">
        <v>109</v>
      </c>
      <c r="AD5" s="1">
        <v>16</v>
      </c>
      <c r="AE5" s="1">
        <v>379</v>
      </c>
      <c r="AF5" s="1">
        <v>500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290</v>
      </c>
      <c r="AW5" s="1">
        <v>240</v>
      </c>
      <c r="AX5" s="1">
        <v>402</v>
      </c>
      <c r="AY5" s="1">
        <v>376</v>
      </c>
      <c r="AZ5" s="1">
        <v>670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245</v>
      </c>
      <c r="BG5" s="1">
        <v>356</v>
      </c>
      <c r="BH5" s="1">
        <v>257</v>
      </c>
      <c r="BI5" s="1">
        <v>257</v>
      </c>
      <c r="BJ5" s="1">
        <v>352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</row>
    <row r="6" spans="1:67" x14ac:dyDescent="0.2">
      <c r="A6" s="1">
        <v>47023</v>
      </c>
      <c r="B6" s="1" t="s">
        <v>76</v>
      </c>
      <c r="C6" s="1">
        <v>8</v>
      </c>
      <c r="D6" s="1">
        <v>677</v>
      </c>
      <c r="E6" s="1" t="s">
        <v>64</v>
      </c>
      <c r="F6" s="1">
        <v>61</v>
      </c>
      <c r="G6" s="1" t="s">
        <v>66</v>
      </c>
      <c r="H6" s="2">
        <v>105.55</v>
      </c>
      <c r="I6" s="2">
        <v>844.4</v>
      </c>
      <c r="J6" s="14">
        <f t="shared" si="2"/>
        <v>67552</v>
      </c>
      <c r="K6" s="15">
        <f t="shared" si="3"/>
        <v>80</v>
      </c>
      <c r="L6" s="1">
        <v>28.5</v>
      </c>
      <c r="M6" s="1">
        <v>0.75</v>
      </c>
      <c r="N6" s="16">
        <v>40</v>
      </c>
      <c r="O6" s="1"/>
      <c r="P6" s="1">
        <v>36.619999999999997</v>
      </c>
      <c r="Q6" s="1">
        <v>8.5</v>
      </c>
      <c r="R6" s="5">
        <f t="shared" si="4"/>
        <v>9.7653333333333325</v>
      </c>
      <c r="S6" s="5">
        <f t="shared" si="5"/>
        <v>-1.2653333333333325</v>
      </c>
      <c r="T6" s="5">
        <v>40</v>
      </c>
      <c r="U6" s="1">
        <v>0</v>
      </c>
      <c r="V6" s="1">
        <v>30.12</v>
      </c>
      <c r="W6" s="1">
        <v>14.12</v>
      </c>
      <c r="X6" s="5">
        <v>0</v>
      </c>
      <c r="Y6" s="1">
        <v>0</v>
      </c>
      <c r="Z6" s="18">
        <v>80429.100000000006</v>
      </c>
      <c r="AA6" s="2">
        <v>19737.849999999999</v>
      </c>
      <c r="AB6" s="1">
        <v>74</v>
      </c>
      <c r="AC6" s="1">
        <v>55</v>
      </c>
      <c r="AD6" s="1">
        <v>73</v>
      </c>
      <c r="AE6" s="1">
        <v>107</v>
      </c>
      <c r="AF6" s="1">
        <v>6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114</v>
      </c>
      <c r="AW6" s="1">
        <v>77</v>
      </c>
      <c r="AX6" s="1">
        <v>83</v>
      </c>
      <c r="AY6" s="1">
        <v>115</v>
      </c>
      <c r="AZ6" s="1">
        <v>68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78</v>
      </c>
      <c r="BG6" s="1">
        <v>46</v>
      </c>
      <c r="BH6" s="1">
        <v>108</v>
      </c>
      <c r="BI6" s="1">
        <v>64</v>
      </c>
      <c r="BJ6" s="1">
        <v>113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</row>
    <row r="7" spans="1:67" x14ac:dyDescent="0.2">
      <c r="A7" s="1">
        <v>47005</v>
      </c>
      <c r="B7" s="1" t="s">
        <v>68</v>
      </c>
      <c r="C7" s="1">
        <v>24</v>
      </c>
      <c r="D7" s="1">
        <v>677</v>
      </c>
      <c r="E7" s="1" t="s">
        <v>64</v>
      </c>
      <c r="F7" s="1">
        <v>61</v>
      </c>
      <c r="G7" s="1" t="s">
        <v>66</v>
      </c>
      <c r="H7" s="2">
        <v>22.315999999999999</v>
      </c>
      <c r="I7" s="2">
        <v>535.58399999999995</v>
      </c>
      <c r="J7" s="14" t="e">
        <f t="shared" si="2"/>
        <v>#VALUE!</v>
      </c>
      <c r="K7" s="15" t="e">
        <f t="shared" si="3"/>
        <v>#VALUE!</v>
      </c>
      <c r="L7" s="1">
        <v>35.19</v>
      </c>
      <c r="M7" s="1">
        <v>6.58</v>
      </c>
      <c r="N7" s="16">
        <v>22</v>
      </c>
      <c r="O7" s="1"/>
      <c r="P7" s="1">
        <v>54.15</v>
      </c>
      <c r="Q7" s="1">
        <v>39.92</v>
      </c>
      <c r="R7" s="5">
        <f t="shared" si="4"/>
        <v>14.44</v>
      </c>
      <c r="S7" s="5">
        <f t="shared" si="5"/>
        <v>25.480000000000004</v>
      </c>
      <c r="T7" s="5">
        <v>20</v>
      </c>
      <c r="U7" s="1">
        <v>2</v>
      </c>
      <c r="V7" s="1">
        <v>52.27</v>
      </c>
      <c r="W7" s="1">
        <v>5.75</v>
      </c>
      <c r="X7" s="29" t="s">
        <v>183</v>
      </c>
      <c r="Y7" s="1">
        <v>0</v>
      </c>
      <c r="Z7" s="18">
        <v>75840.929999999993</v>
      </c>
      <c r="AA7" s="2">
        <v>27984.26</v>
      </c>
      <c r="AB7" s="1">
        <v>398</v>
      </c>
      <c r="AC7" s="1">
        <v>44</v>
      </c>
      <c r="AD7" s="1">
        <v>243</v>
      </c>
      <c r="AE7" s="1">
        <v>363</v>
      </c>
      <c r="AF7" s="1">
        <v>158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441</v>
      </c>
      <c r="AW7" s="1">
        <v>478</v>
      </c>
      <c r="AX7" s="1">
        <v>287</v>
      </c>
      <c r="AY7" s="1">
        <v>665</v>
      </c>
      <c r="AZ7" s="1">
        <v>958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357</v>
      </c>
      <c r="BG7" s="1">
        <v>340</v>
      </c>
      <c r="BH7" s="1">
        <v>519</v>
      </c>
      <c r="BI7" s="1">
        <v>417</v>
      </c>
      <c r="BJ7" s="1">
        <v>138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</row>
    <row r="8" spans="1:67" x14ac:dyDescent="0.2">
      <c r="A8" s="1">
        <v>47012</v>
      </c>
      <c r="B8" s="1" t="s">
        <v>74</v>
      </c>
      <c r="C8" s="1">
        <v>18</v>
      </c>
      <c r="D8" s="1">
        <v>677</v>
      </c>
      <c r="E8" s="1" t="s">
        <v>64</v>
      </c>
      <c r="F8" s="1">
        <v>61</v>
      </c>
      <c r="G8" s="1" t="s">
        <v>66</v>
      </c>
      <c r="H8" s="2">
        <v>58.837899999999998</v>
      </c>
      <c r="I8" s="2">
        <v>1059.0822000000001</v>
      </c>
      <c r="J8" s="14">
        <f t="shared" si="2"/>
        <v>27536.137200000001</v>
      </c>
      <c r="K8" s="15">
        <f t="shared" si="3"/>
        <v>26</v>
      </c>
      <c r="L8" s="1">
        <v>23.86</v>
      </c>
      <c r="M8" s="1">
        <v>12.44</v>
      </c>
      <c r="N8" s="16">
        <v>26</v>
      </c>
      <c r="O8" s="1"/>
      <c r="P8" s="1">
        <v>23.61</v>
      </c>
      <c r="Q8" s="1">
        <v>26.56</v>
      </c>
      <c r="R8" s="5">
        <f t="shared" si="4"/>
        <v>6.2960000000000003</v>
      </c>
      <c r="S8" s="5">
        <f t="shared" si="5"/>
        <v>20.263999999999999</v>
      </c>
      <c r="T8" s="5">
        <v>0</v>
      </c>
      <c r="U8" s="1"/>
      <c r="V8" s="1">
        <v>23.78</v>
      </c>
      <c r="W8" s="1">
        <v>13.5</v>
      </c>
      <c r="X8" s="5">
        <v>0</v>
      </c>
      <c r="Y8" s="1">
        <v>0</v>
      </c>
      <c r="Z8" s="18">
        <v>75459.61</v>
      </c>
      <c r="AA8" s="2">
        <v>55601.82</v>
      </c>
      <c r="AB8" s="1">
        <v>295</v>
      </c>
      <c r="AC8" s="1">
        <v>-58</v>
      </c>
      <c r="AD8" s="1">
        <v>6</v>
      </c>
      <c r="AE8" s="1">
        <v>315</v>
      </c>
      <c r="AF8" s="1">
        <v>224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188</v>
      </c>
      <c r="AW8" s="1">
        <v>153</v>
      </c>
      <c r="AX8" s="1">
        <v>0</v>
      </c>
      <c r="AY8" s="1">
        <v>321</v>
      </c>
      <c r="AZ8" s="1">
        <v>478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148</v>
      </c>
      <c r="BG8" s="1">
        <v>167</v>
      </c>
      <c r="BH8" s="1">
        <v>106</v>
      </c>
      <c r="BI8" s="1">
        <v>181</v>
      </c>
      <c r="BJ8" s="1">
        <v>243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</row>
    <row r="9" spans="1:67" x14ac:dyDescent="0.2">
      <c r="A9" s="1">
        <v>47010</v>
      </c>
      <c r="B9" s="1" t="s">
        <v>71</v>
      </c>
      <c r="C9" s="1">
        <v>24</v>
      </c>
      <c r="D9" s="1">
        <v>677</v>
      </c>
      <c r="E9" s="1" t="s">
        <v>64</v>
      </c>
      <c r="F9" s="1">
        <v>61</v>
      </c>
      <c r="G9" s="1" t="s">
        <v>66</v>
      </c>
      <c r="H9" s="2">
        <v>48.56</v>
      </c>
      <c r="I9" s="2">
        <v>1165.44</v>
      </c>
      <c r="J9" s="14">
        <f t="shared" si="2"/>
        <v>36128.639999999999</v>
      </c>
      <c r="K9" s="15">
        <f t="shared" si="3"/>
        <v>31</v>
      </c>
      <c r="L9" s="1">
        <v>15.1</v>
      </c>
      <c r="M9" s="1">
        <v>8.2899999999999991</v>
      </c>
      <c r="N9" s="16">
        <v>11</v>
      </c>
      <c r="P9" s="1">
        <v>29.04</v>
      </c>
      <c r="Q9" s="1">
        <v>14.96</v>
      </c>
      <c r="R9" s="5">
        <f t="shared" si="4"/>
        <v>7.7439999999999998</v>
      </c>
      <c r="S9" s="5">
        <f t="shared" si="5"/>
        <v>7.2160000000000011</v>
      </c>
      <c r="T9" s="5">
        <v>20</v>
      </c>
      <c r="U9" s="1">
        <v>2</v>
      </c>
      <c r="V9" s="1">
        <v>19.54</v>
      </c>
      <c r="W9" s="1">
        <v>15.88</v>
      </c>
      <c r="X9" s="17">
        <f>MAX(0,(TRUNC((V9*0.8)-W9)))</f>
        <v>0</v>
      </c>
      <c r="Y9" s="1">
        <v>0</v>
      </c>
      <c r="Z9" s="18">
        <v>74223.960000000006</v>
      </c>
      <c r="AA9" s="2">
        <v>45597.84</v>
      </c>
      <c r="AB9" s="1">
        <v>80</v>
      </c>
      <c r="AC9" s="1">
        <v>89</v>
      </c>
      <c r="AD9" s="1">
        <v>92</v>
      </c>
      <c r="AE9" s="1">
        <v>292</v>
      </c>
      <c r="AF9" s="1">
        <v>199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134</v>
      </c>
      <c r="AW9" s="1">
        <v>191</v>
      </c>
      <c r="AX9" s="1">
        <v>316</v>
      </c>
      <c r="AY9" s="1">
        <v>303</v>
      </c>
      <c r="AZ9" s="1">
        <v>359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197</v>
      </c>
      <c r="BG9" s="1">
        <v>141</v>
      </c>
      <c r="BH9" s="1">
        <v>21</v>
      </c>
      <c r="BI9" s="1">
        <v>361</v>
      </c>
      <c r="BJ9" s="1">
        <v>381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</row>
    <row r="10" spans="1:67" x14ac:dyDescent="0.2">
      <c r="A10" s="1">
        <v>47046</v>
      </c>
      <c r="B10" s="1" t="s">
        <v>78</v>
      </c>
      <c r="C10" s="1">
        <v>24</v>
      </c>
      <c r="D10" s="1">
        <v>677</v>
      </c>
      <c r="E10" s="1" t="s">
        <v>64</v>
      </c>
      <c r="F10" s="1">
        <v>61</v>
      </c>
      <c r="G10" s="1" t="s">
        <v>66</v>
      </c>
      <c r="H10" s="2">
        <v>39.11</v>
      </c>
      <c r="I10" s="2">
        <v>938.64</v>
      </c>
      <c r="J10" s="14" t="e">
        <f t="shared" si="2"/>
        <v>#VALUE!</v>
      </c>
      <c r="K10" s="15" t="e">
        <f t="shared" si="3"/>
        <v>#VALUE!</v>
      </c>
      <c r="L10" s="1">
        <v>11.25</v>
      </c>
      <c r="M10" s="1">
        <v>7.38</v>
      </c>
      <c r="N10" s="5">
        <v>0</v>
      </c>
      <c r="O10" s="1"/>
      <c r="P10" s="1">
        <v>24.29</v>
      </c>
      <c r="Q10" s="1">
        <v>21.08</v>
      </c>
      <c r="R10" s="5">
        <f t="shared" si="4"/>
        <v>6.4773333333333332</v>
      </c>
      <c r="S10" s="5">
        <f t="shared" si="5"/>
        <v>14.602666666666664</v>
      </c>
      <c r="T10" s="5">
        <v>20</v>
      </c>
      <c r="U10" s="1">
        <v>1</v>
      </c>
      <c r="V10" s="1">
        <v>20.46</v>
      </c>
      <c r="W10" s="1">
        <v>3.46</v>
      </c>
      <c r="X10" s="29" t="s">
        <v>112</v>
      </c>
      <c r="Y10" s="1">
        <v>0</v>
      </c>
      <c r="Z10" s="18">
        <v>52563.839999999997</v>
      </c>
      <c r="AA10" s="2">
        <v>29958.26</v>
      </c>
      <c r="AB10" s="1">
        <v>72</v>
      </c>
      <c r="AC10" s="1">
        <v>34</v>
      </c>
      <c r="AD10" s="1">
        <v>132</v>
      </c>
      <c r="AE10" s="1">
        <v>98</v>
      </c>
      <c r="AF10" s="1">
        <v>177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214</v>
      </c>
      <c r="AW10" s="1">
        <v>84</v>
      </c>
      <c r="AX10" s="1">
        <v>223</v>
      </c>
      <c r="AY10" s="1">
        <v>208</v>
      </c>
      <c r="AZ10" s="1">
        <v>506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128</v>
      </c>
      <c r="BG10" s="1">
        <v>179</v>
      </c>
      <c r="BH10" s="1">
        <v>191</v>
      </c>
      <c r="BI10" s="1">
        <v>165</v>
      </c>
      <c r="BJ10" s="1">
        <v>83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</row>
    <row r="11" spans="1:67" x14ac:dyDescent="0.2">
      <c r="A11" s="1">
        <v>47008</v>
      </c>
      <c r="B11" s="1" t="s">
        <v>93</v>
      </c>
      <c r="C11" s="1">
        <v>24</v>
      </c>
      <c r="D11" s="1">
        <v>677</v>
      </c>
      <c r="E11" s="1" t="s">
        <v>64</v>
      </c>
      <c r="F11" s="1">
        <v>61</v>
      </c>
      <c r="G11" s="1" t="s">
        <v>66</v>
      </c>
      <c r="H11" s="2">
        <v>35.74</v>
      </c>
      <c r="I11" s="2">
        <v>857.76</v>
      </c>
      <c r="J11" s="14">
        <f t="shared" si="2"/>
        <v>51465.599999999999</v>
      </c>
      <c r="K11" s="15">
        <f t="shared" si="3"/>
        <v>60</v>
      </c>
      <c r="L11" s="1">
        <v>8.06</v>
      </c>
      <c r="M11" s="1">
        <v>-1.75</v>
      </c>
      <c r="N11" s="16">
        <v>20</v>
      </c>
      <c r="O11" s="1"/>
      <c r="P11" s="1">
        <v>21.33</v>
      </c>
      <c r="Q11" s="1">
        <v>5.5</v>
      </c>
      <c r="R11" s="5">
        <f t="shared" si="4"/>
        <v>5.6879999999999997</v>
      </c>
      <c r="S11" s="5">
        <f t="shared" si="5"/>
        <v>-0.18799999999999972</v>
      </c>
      <c r="T11" s="5">
        <v>20</v>
      </c>
      <c r="U11" s="1"/>
      <c r="V11" s="1">
        <v>25.19</v>
      </c>
      <c r="W11" s="1">
        <v>0.96</v>
      </c>
      <c r="X11" s="29">
        <v>20</v>
      </c>
      <c r="Y11" s="1">
        <v>0</v>
      </c>
      <c r="Z11" s="18">
        <v>46819.4</v>
      </c>
      <c r="AA11" s="2">
        <v>4038.62</v>
      </c>
      <c r="AB11" s="1">
        <v>52</v>
      </c>
      <c r="AC11" s="1">
        <v>87</v>
      </c>
      <c r="AD11" s="1">
        <v>15</v>
      </c>
      <c r="AE11" s="1">
        <v>166</v>
      </c>
      <c r="AF11" s="1">
        <v>-42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184</v>
      </c>
      <c r="AW11" s="1">
        <v>84</v>
      </c>
      <c r="AX11" s="1">
        <v>181</v>
      </c>
      <c r="AY11" s="1">
        <v>210</v>
      </c>
      <c r="AZ11" s="1">
        <v>132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134</v>
      </c>
      <c r="BG11" s="1">
        <v>337</v>
      </c>
      <c r="BH11" s="1">
        <v>180</v>
      </c>
      <c r="BI11" s="1">
        <v>244</v>
      </c>
      <c r="BJ11" s="1">
        <v>23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</row>
    <row r="12" spans="1:67" x14ac:dyDescent="0.2">
      <c r="A12" s="1">
        <v>47000</v>
      </c>
      <c r="B12" s="1" t="s">
        <v>85</v>
      </c>
      <c r="C12" s="1">
        <v>16</v>
      </c>
      <c r="D12" s="1">
        <v>677</v>
      </c>
      <c r="E12" s="1" t="s">
        <v>64</v>
      </c>
      <c r="F12" s="1">
        <v>61</v>
      </c>
      <c r="G12" s="1" t="s">
        <v>66</v>
      </c>
      <c r="H12" s="2">
        <v>56.59</v>
      </c>
      <c r="I12" s="2">
        <v>905.44</v>
      </c>
      <c r="J12" s="14" t="e">
        <f t="shared" si="2"/>
        <v>#VALUE!</v>
      </c>
      <c r="K12" s="15" t="e">
        <f t="shared" si="3"/>
        <v>#VALUE!</v>
      </c>
      <c r="L12" s="1">
        <v>14.78</v>
      </c>
      <c r="M12" s="1">
        <v>1.31</v>
      </c>
      <c r="N12" s="16">
        <v>21</v>
      </c>
      <c r="O12" s="1" t="s">
        <v>184</v>
      </c>
      <c r="P12" s="1">
        <v>19.09</v>
      </c>
      <c r="Q12" s="1">
        <v>34.119999999999997</v>
      </c>
      <c r="R12" s="5">
        <f t="shared" si="4"/>
        <v>5.0906666666666665</v>
      </c>
      <c r="S12" s="5">
        <f t="shared" si="5"/>
        <v>29.02933333333333</v>
      </c>
      <c r="T12" s="5">
        <v>0</v>
      </c>
      <c r="U12" s="1"/>
      <c r="V12" s="1">
        <v>14.81</v>
      </c>
      <c r="W12" s="1">
        <v>7.56</v>
      </c>
      <c r="X12" s="29" t="s">
        <v>112</v>
      </c>
      <c r="Y12" s="1">
        <v>0</v>
      </c>
      <c r="Z12" s="18">
        <v>44083.61</v>
      </c>
      <c r="AA12" s="2">
        <v>38933.919999999998</v>
      </c>
      <c r="AB12" s="1">
        <v>22</v>
      </c>
      <c r="AC12" s="1">
        <v>19</v>
      </c>
      <c r="AD12" s="1">
        <v>150</v>
      </c>
      <c r="AE12" s="1">
        <v>110</v>
      </c>
      <c r="AF12" s="1">
        <v>21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122</v>
      </c>
      <c r="AW12" s="1">
        <v>51</v>
      </c>
      <c r="AX12" s="1">
        <v>92</v>
      </c>
      <c r="AY12" s="1">
        <v>132</v>
      </c>
      <c r="AZ12" s="1">
        <v>546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40</v>
      </c>
      <c r="BG12" s="1">
        <v>54</v>
      </c>
      <c r="BH12" s="1">
        <v>117</v>
      </c>
      <c r="BI12" s="1">
        <v>106</v>
      </c>
      <c r="BJ12" s="1">
        <v>121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</row>
    <row r="13" spans="1:67" x14ac:dyDescent="0.2">
      <c r="A13" s="1">
        <v>47039</v>
      </c>
      <c r="B13" s="1" t="s">
        <v>79</v>
      </c>
      <c r="C13" s="1">
        <v>24</v>
      </c>
      <c r="D13" s="1">
        <v>677</v>
      </c>
      <c r="E13" s="1" t="s">
        <v>64</v>
      </c>
      <c r="F13" s="1">
        <v>61</v>
      </c>
      <c r="G13" s="1" t="s">
        <v>66</v>
      </c>
      <c r="H13" s="2">
        <v>52.259</v>
      </c>
      <c r="I13" s="2">
        <v>1254.2159999999999</v>
      </c>
      <c r="J13" s="14">
        <f t="shared" si="2"/>
        <v>62710.799999999996</v>
      </c>
      <c r="K13" s="15">
        <f t="shared" si="3"/>
        <v>50</v>
      </c>
      <c r="L13" s="1">
        <v>6.06</v>
      </c>
      <c r="M13" s="1">
        <v>0.12</v>
      </c>
      <c r="N13" s="16">
        <v>20</v>
      </c>
      <c r="O13" s="1"/>
      <c r="P13" s="1">
        <v>12.85</v>
      </c>
      <c r="Q13" s="1">
        <v>9</v>
      </c>
      <c r="R13" s="5">
        <f t="shared" si="4"/>
        <v>3.4266666666666667</v>
      </c>
      <c r="S13" s="5">
        <f t="shared" si="5"/>
        <v>5.5733333333333333</v>
      </c>
      <c r="T13" s="5">
        <v>10</v>
      </c>
      <c r="U13" s="1"/>
      <c r="V13" s="1">
        <v>8.08</v>
      </c>
      <c r="W13" s="1">
        <v>0</v>
      </c>
      <c r="X13" s="29">
        <v>20</v>
      </c>
      <c r="Y13" s="1">
        <v>0</v>
      </c>
      <c r="Z13" s="18">
        <v>33863.83</v>
      </c>
      <c r="AA13" s="2">
        <v>11444.72</v>
      </c>
      <c r="AB13" s="1">
        <v>54</v>
      </c>
      <c r="AC13" s="1">
        <v>46</v>
      </c>
      <c r="AD13" s="1">
        <v>32</v>
      </c>
      <c r="AE13" s="1">
        <v>73</v>
      </c>
      <c r="AF13" s="1">
        <v>3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125</v>
      </c>
      <c r="AW13" s="1">
        <v>88</v>
      </c>
      <c r="AX13" s="1">
        <v>91</v>
      </c>
      <c r="AY13" s="1">
        <v>97</v>
      </c>
      <c r="AZ13" s="1">
        <v>216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21</v>
      </c>
      <c r="BG13" s="1">
        <v>167</v>
      </c>
      <c r="BH13" s="1">
        <v>44</v>
      </c>
      <c r="BI13" s="1">
        <v>91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</row>
    <row r="14" spans="1:67" x14ac:dyDescent="0.2">
      <c r="A14" s="1">
        <v>10703</v>
      </c>
      <c r="B14" s="1" t="s">
        <v>82</v>
      </c>
      <c r="C14" s="1">
        <v>12</v>
      </c>
      <c r="D14" s="1">
        <v>677</v>
      </c>
      <c r="E14" s="1" t="s">
        <v>64</v>
      </c>
      <c r="F14" s="1">
        <v>542</v>
      </c>
      <c r="G14" s="1" t="s">
        <v>84</v>
      </c>
      <c r="H14" s="2">
        <v>133.74420000000001</v>
      </c>
      <c r="I14" s="2">
        <v>1604.9304</v>
      </c>
      <c r="J14" s="14">
        <f t="shared" si="2"/>
        <v>32098.608</v>
      </c>
      <c r="K14" s="15">
        <f t="shared" si="3"/>
        <v>20</v>
      </c>
      <c r="L14" s="1">
        <v>4.04</v>
      </c>
      <c r="M14" s="1">
        <v>1.17</v>
      </c>
      <c r="N14" s="16">
        <v>5</v>
      </c>
      <c r="O14" s="1"/>
      <c r="P14" s="1">
        <v>6.75</v>
      </c>
      <c r="Q14" s="1">
        <v>7.17</v>
      </c>
      <c r="R14" s="5">
        <f t="shared" si="4"/>
        <v>1.8</v>
      </c>
      <c r="S14" s="5">
        <f t="shared" si="5"/>
        <v>5.37</v>
      </c>
      <c r="T14" s="5">
        <v>5</v>
      </c>
      <c r="U14" s="1"/>
      <c r="V14" s="1">
        <v>8.83</v>
      </c>
      <c r="W14" s="1">
        <v>0</v>
      </c>
      <c r="X14" s="5">
        <v>10</v>
      </c>
      <c r="Y14" s="1">
        <v>0</v>
      </c>
      <c r="Z14" s="18">
        <v>31496.76</v>
      </c>
      <c r="AA14" s="2">
        <v>13374.42</v>
      </c>
      <c r="AB14" s="1">
        <v>20</v>
      </c>
      <c r="AC14" s="1">
        <v>13</v>
      </c>
      <c r="AD14" s="1">
        <v>0</v>
      </c>
      <c r="AE14" s="1">
        <v>44</v>
      </c>
      <c r="AF14" s="1">
        <v>14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33</v>
      </c>
      <c r="AW14" s="1">
        <v>28</v>
      </c>
      <c r="AX14" s="1">
        <v>9</v>
      </c>
      <c r="AY14" s="1">
        <v>50</v>
      </c>
      <c r="AZ14" s="1">
        <v>86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54</v>
      </c>
      <c r="BG14" s="1">
        <v>20</v>
      </c>
      <c r="BH14" s="1">
        <v>0</v>
      </c>
      <c r="BI14" s="1">
        <v>84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</row>
    <row r="15" spans="1:67" x14ac:dyDescent="0.2">
      <c r="A15" s="1">
        <v>47024</v>
      </c>
      <c r="B15" s="1" t="s">
        <v>88</v>
      </c>
      <c r="C15" s="1">
        <v>12</v>
      </c>
      <c r="D15" s="1">
        <v>677</v>
      </c>
      <c r="E15" s="1" t="s">
        <v>64</v>
      </c>
      <c r="F15" s="1">
        <v>61</v>
      </c>
      <c r="G15" s="1" t="s">
        <v>66</v>
      </c>
      <c r="H15" s="2">
        <v>135.38999999999999</v>
      </c>
      <c r="I15" s="2">
        <v>1624.68</v>
      </c>
      <c r="J15" s="14">
        <f t="shared" si="2"/>
        <v>32493.600000000002</v>
      </c>
      <c r="K15" s="15">
        <f t="shared" si="3"/>
        <v>20</v>
      </c>
      <c r="L15" s="1">
        <v>7.67</v>
      </c>
      <c r="M15" s="1">
        <v>1.25</v>
      </c>
      <c r="N15" s="16">
        <v>10</v>
      </c>
      <c r="O15" s="1"/>
      <c r="P15" s="1">
        <v>3.88</v>
      </c>
      <c r="Q15" s="1">
        <v>0</v>
      </c>
      <c r="R15" s="5">
        <f t="shared" si="4"/>
        <v>1.0346666666666666</v>
      </c>
      <c r="S15" s="5">
        <f t="shared" si="5"/>
        <v>-1.0346666666666666</v>
      </c>
      <c r="T15" s="5">
        <v>5</v>
      </c>
      <c r="U15" s="1"/>
      <c r="V15" s="1">
        <v>7.54</v>
      </c>
      <c r="W15" s="1">
        <v>2.25</v>
      </c>
      <c r="X15" s="29">
        <v>5</v>
      </c>
      <c r="Y15" s="1">
        <v>0</v>
      </c>
      <c r="Z15" s="18">
        <v>31004.31</v>
      </c>
      <c r="AA15" s="2">
        <v>5686.38</v>
      </c>
      <c r="AB15" s="1">
        <v>30</v>
      </c>
      <c r="AC15" s="1">
        <v>20</v>
      </c>
      <c r="AD15" s="1">
        <v>38</v>
      </c>
      <c r="AE15" s="1">
        <v>28</v>
      </c>
      <c r="AF15" s="1">
        <v>15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15</v>
      </c>
      <c r="AW15" s="1">
        <v>14</v>
      </c>
      <c r="AX15" s="1">
        <v>12</v>
      </c>
      <c r="AY15" s="1">
        <v>25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56</v>
      </c>
      <c r="BG15" s="1">
        <v>25</v>
      </c>
      <c r="BH15" s="1">
        <v>0</v>
      </c>
      <c r="BI15" s="1">
        <v>44</v>
      </c>
      <c r="BJ15" s="1">
        <v>27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</row>
    <row r="16" spans="1:67" x14ac:dyDescent="0.2">
      <c r="A16" s="1">
        <v>47038</v>
      </c>
      <c r="B16" s="1" t="s">
        <v>90</v>
      </c>
      <c r="C16" s="1">
        <v>28</v>
      </c>
      <c r="D16" s="1">
        <v>677</v>
      </c>
      <c r="E16" s="1" t="s">
        <v>64</v>
      </c>
      <c r="F16" s="1">
        <v>61</v>
      </c>
      <c r="G16" s="1" t="s">
        <v>66</v>
      </c>
      <c r="H16" s="2">
        <v>26.59</v>
      </c>
      <c r="I16" s="2">
        <v>744.52</v>
      </c>
      <c r="J16" s="14">
        <f t="shared" si="2"/>
        <v>14890.4</v>
      </c>
      <c r="K16" s="15">
        <f t="shared" si="3"/>
        <v>20</v>
      </c>
      <c r="L16" s="1">
        <v>10.95</v>
      </c>
      <c r="M16" s="1">
        <v>0.46</v>
      </c>
      <c r="N16" s="16">
        <v>20</v>
      </c>
      <c r="O16" s="1"/>
      <c r="P16" s="1">
        <v>12.55</v>
      </c>
      <c r="Q16" s="1">
        <v>18.07</v>
      </c>
      <c r="R16" s="5">
        <f t="shared" si="4"/>
        <v>3.3466666666666667</v>
      </c>
      <c r="S16" s="5">
        <f t="shared" si="5"/>
        <v>14.723333333333333</v>
      </c>
      <c r="T16" s="5">
        <v>0</v>
      </c>
      <c r="U16" s="1"/>
      <c r="V16" s="1">
        <v>11.3</v>
      </c>
      <c r="W16" s="1">
        <v>6</v>
      </c>
      <c r="X16" s="5">
        <v>0</v>
      </c>
      <c r="Y16" s="1">
        <v>0</v>
      </c>
      <c r="Z16" s="18">
        <v>25911.96</v>
      </c>
      <c r="AA16" s="2">
        <v>18267.330000000002</v>
      </c>
      <c r="AB16" s="1">
        <v>77</v>
      </c>
      <c r="AC16" s="1">
        <v>45</v>
      </c>
      <c r="AD16" s="1">
        <v>114</v>
      </c>
      <c r="AE16" s="1">
        <v>186</v>
      </c>
      <c r="AF16" s="1">
        <v>13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70</v>
      </c>
      <c r="AW16" s="1">
        <v>77</v>
      </c>
      <c r="AX16" s="1">
        <v>139</v>
      </c>
      <c r="AY16" s="1">
        <v>208</v>
      </c>
      <c r="AZ16" s="1">
        <v>506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105</v>
      </c>
      <c r="BG16" s="1">
        <v>93</v>
      </c>
      <c r="BH16" s="1">
        <v>119</v>
      </c>
      <c r="BI16" s="1">
        <v>92</v>
      </c>
      <c r="BJ16" s="1">
        <v>168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</row>
    <row r="17" spans="1:67" x14ac:dyDescent="0.2">
      <c r="A17" s="1">
        <v>47004</v>
      </c>
      <c r="B17" s="1" t="s">
        <v>86</v>
      </c>
      <c r="C17" s="1">
        <v>24</v>
      </c>
      <c r="D17" s="1">
        <v>677</v>
      </c>
      <c r="E17" s="1" t="s">
        <v>64</v>
      </c>
      <c r="F17" s="1">
        <v>61</v>
      </c>
      <c r="G17" s="1" t="s">
        <v>66</v>
      </c>
      <c r="H17" s="2">
        <v>22.315999999999999</v>
      </c>
      <c r="I17" s="2">
        <v>535.58399999999995</v>
      </c>
      <c r="J17" s="14">
        <f t="shared" si="2"/>
        <v>11782.847999999998</v>
      </c>
      <c r="K17" s="15">
        <f t="shared" si="3"/>
        <v>22</v>
      </c>
      <c r="L17" s="1">
        <v>16.88</v>
      </c>
      <c r="M17" s="1">
        <v>0.38</v>
      </c>
      <c r="N17" s="16">
        <v>22</v>
      </c>
      <c r="O17" s="1"/>
      <c r="P17" s="1">
        <v>10.81</v>
      </c>
      <c r="Q17" s="1">
        <v>19.329999999999998</v>
      </c>
      <c r="R17" s="5">
        <f t="shared" si="4"/>
        <v>2.8826666666666667</v>
      </c>
      <c r="S17" s="5">
        <f t="shared" si="5"/>
        <v>16.447333333333333</v>
      </c>
      <c r="T17" s="5">
        <v>0</v>
      </c>
      <c r="U17" s="1"/>
      <c r="V17" s="1">
        <v>12.52</v>
      </c>
      <c r="W17" s="1">
        <v>23.58</v>
      </c>
      <c r="X17" s="17">
        <f>MAX(0,(TRUNC((V17*0.8)-W17)))</f>
        <v>0</v>
      </c>
      <c r="Y17" s="1">
        <v>0</v>
      </c>
      <c r="Z17" s="18">
        <v>21534.94</v>
      </c>
      <c r="AA17" s="2">
        <v>23186.32</v>
      </c>
      <c r="AB17" s="1">
        <v>193</v>
      </c>
      <c r="AC17" s="1">
        <v>45</v>
      </c>
      <c r="AD17" s="1">
        <v>101</v>
      </c>
      <c r="AE17" s="1">
        <v>177</v>
      </c>
      <c r="AF17" s="1">
        <v>9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81</v>
      </c>
      <c r="AW17" s="1">
        <v>78</v>
      </c>
      <c r="AX17" s="1">
        <v>93</v>
      </c>
      <c r="AY17" s="1">
        <v>93</v>
      </c>
      <c r="AZ17" s="1">
        <v>464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67</v>
      </c>
      <c r="BG17" s="1">
        <v>69</v>
      </c>
      <c r="BH17" s="1">
        <v>160</v>
      </c>
      <c r="BI17" s="1">
        <v>78</v>
      </c>
      <c r="BJ17" s="1">
        <v>566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</row>
    <row r="18" spans="1:67" x14ac:dyDescent="0.2">
      <c r="A18" s="1">
        <v>47029</v>
      </c>
      <c r="B18" s="1" t="s">
        <v>94</v>
      </c>
      <c r="C18" s="1">
        <v>24</v>
      </c>
      <c r="D18" s="1">
        <v>677</v>
      </c>
      <c r="E18" s="1" t="s">
        <v>64</v>
      </c>
      <c r="F18" s="1">
        <v>61</v>
      </c>
      <c r="G18" s="1" t="s">
        <v>66</v>
      </c>
      <c r="H18" s="2">
        <v>41.26</v>
      </c>
      <c r="I18" s="2">
        <v>990.24</v>
      </c>
      <c r="J18" s="14">
        <f t="shared" si="2"/>
        <v>19804.8</v>
      </c>
      <c r="K18" s="15">
        <f t="shared" si="3"/>
        <v>20</v>
      </c>
      <c r="L18" s="1">
        <v>6.46</v>
      </c>
      <c r="M18" s="1">
        <v>2.75</v>
      </c>
      <c r="N18" s="16">
        <v>5</v>
      </c>
      <c r="O18" s="1"/>
      <c r="P18" s="1">
        <v>7.75</v>
      </c>
      <c r="Q18" s="1">
        <v>1.08</v>
      </c>
      <c r="R18" s="5">
        <f t="shared" si="4"/>
        <v>2.0666666666666669</v>
      </c>
      <c r="S18" s="5">
        <f t="shared" si="5"/>
        <v>-0.9866666666666668</v>
      </c>
      <c r="T18" s="5">
        <v>10</v>
      </c>
      <c r="U18" s="1"/>
      <c r="V18" s="1">
        <v>4.79</v>
      </c>
      <c r="W18" s="1">
        <v>0.28999999999999998</v>
      </c>
      <c r="X18" s="29">
        <v>5</v>
      </c>
      <c r="Y18" s="1">
        <v>0</v>
      </c>
      <c r="Z18" s="18">
        <v>18814.560000000001</v>
      </c>
      <c r="AA18" s="2">
        <v>4084.74</v>
      </c>
      <c r="AB18" s="1">
        <v>22</v>
      </c>
      <c r="AC18" s="1">
        <v>26</v>
      </c>
      <c r="AD18" s="1">
        <v>99</v>
      </c>
      <c r="AE18" s="1">
        <v>42</v>
      </c>
      <c r="AF18" s="1">
        <v>66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48</v>
      </c>
      <c r="AW18" s="1">
        <v>125</v>
      </c>
      <c r="AX18" s="1">
        <v>59</v>
      </c>
      <c r="AY18" s="1">
        <v>33</v>
      </c>
      <c r="AZ18" s="1">
        <v>26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18</v>
      </c>
      <c r="BG18" s="1">
        <v>24</v>
      </c>
      <c r="BH18" s="1">
        <v>68</v>
      </c>
      <c r="BI18" s="1">
        <v>34</v>
      </c>
      <c r="BJ18" s="1">
        <v>7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</row>
    <row r="19" spans="1:67" x14ac:dyDescent="0.2">
      <c r="A19" s="1">
        <v>47003</v>
      </c>
      <c r="B19" s="1" t="s">
        <v>91</v>
      </c>
      <c r="C19" s="1">
        <v>24</v>
      </c>
      <c r="D19" s="1">
        <v>677</v>
      </c>
      <c r="E19" s="1" t="s">
        <v>64</v>
      </c>
      <c r="F19" s="1">
        <v>61</v>
      </c>
      <c r="G19" s="1" t="s">
        <v>66</v>
      </c>
      <c r="H19" s="2">
        <v>22.315999999999999</v>
      </c>
      <c r="I19" s="2">
        <v>535.58399999999995</v>
      </c>
      <c r="J19" s="14">
        <f t="shared" si="2"/>
        <v>11782.847999999998</v>
      </c>
      <c r="K19" s="15">
        <f t="shared" si="3"/>
        <v>22</v>
      </c>
      <c r="L19" s="1">
        <v>14.25</v>
      </c>
      <c r="M19" s="1">
        <v>2.5</v>
      </c>
      <c r="N19" s="16">
        <v>22</v>
      </c>
      <c r="O19" s="1"/>
      <c r="P19" s="1">
        <v>10.039999999999999</v>
      </c>
      <c r="Q19" s="1">
        <v>19.62</v>
      </c>
      <c r="R19" s="5">
        <f t="shared" si="4"/>
        <v>2.6773333333333329</v>
      </c>
      <c r="S19" s="5">
        <f t="shared" si="5"/>
        <v>16.942666666666668</v>
      </c>
      <c r="T19" s="5">
        <v>0</v>
      </c>
      <c r="U19" s="1"/>
      <c r="V19" s="1">
        <v>7.75</v>
      </c>
      <c r="W19" s="1">
        <v>3.25</v>
      </c>
      <c r="X19" s="5">
        <v>0</v>
      </c>
      <c r="Y19" s="1">
        <v>0</v>
      </c>
      <c r="Z19" s="18">
        <v>17161</v>
      </c>
      <c r="AA19" s="2">
        <v>13590.44</v>
      </c>
      <c r="AB19" s="1">
        <v>113</v>
      </c>
      <c r="AC19" s="1">
        <v>52</v>
      </c>
      <c r="AD19" s="1">
        <v>151</v>
      </c>
      <c r="AE19" s="1">
        <v>104</v>
      </c>
      <c r="AF19" s="1">
        <v>60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107</v>
      </c>
      <c r="AW19" s="1">
        <v>52</v>
      </c>
      <c r="AX19" s="1">
        <v>83</v>
      </c>
      <c r="AY19" s="1">
        <v>50</v>
      </c>
      <c r="AZ19" s="1">
        <v>471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65</v>
      </c>
      <c r="BG19" s="1">
        <v>61</v>
      </c>
      <c r="BH19" s="1">
        <v>49</v>
      </c>
      <c r="BI19" s="1">
        <v>83</v>
      </c>
      <c r="BJ19" s="1">
        <v>78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</row>
    <row r="20" spans="1:67" x14ac:dyDescent="0.2">
      <c r="A20" s="1">
        <v>48067</v>
      </c>
      <c r="B20" s="1" t="s">
        <v>106</v>
      </c>
      <c r="C20" s="1">
        <v>12</v>
      </c>
      <c r="D20" s="1">
        <v>677</v>
      </c>
      <c r="E20" s="1" t="s">
        <v>64</v>
      </c>
      <c r="F20" s="1">
        <v>690</v>
      </c>
      <c r="G20" s="1" t="s">
        <v>101</v>
      </c>
      <c r="H20" s="2">
        <v>54.916699999999999</v>
      </c>
      <c r="I20" s="2">
        <v>659.00040000000001</v>
      </c>
      <c r="J20" s="14">
        <f t="shared" si="2"/>
        <v>13180.008</v>
      </c>
      <c r="K20" s="15">
        <f t="shared" si="3"/>
        <v>20</v>
      </c>
      <c r="L20" s="1">
        <v>12.88</v>
      </c>
      <c r="M20" s="1">
        <v>0.5</v>
      </c>
      <c r="N20" s="5">
        <v>10</v>
      </c>
      <c r="O20" s="1"/>
      <c r="P20" s="1">
        <v>3.38</v>
      </c>
      <c r="Q20" s="1">
        <v>0.42</v>
      </c>
      <c r="R20" s="5">
        <f t="shared" si="4"/>
        <v>0.90133333333333332</v>
      </c>
      <c r="S20" s="5">
        <f t="shared" si="5"/>
        <v>-0.48133333333333334</v>
      </c>
      <c r="T20" s="5">
        <v>5</v>
      </c>
      <c r="U20" s="1"/>
      <c r="V20" s="1">
        <v>9.2100000000000009</v>
      </c>
      <c r="W20" s="1">
        <v>2</v>
      </c>
      <c r="X20" s="17">
        <f>MAX(0,(TRUNC((V20*0.8)-W20)))</f>
        <v>5</v>
      </c>
      <c r="Y20" s="1">
        <v>0</v>
      </c>
      <c r="Z20" s="18">
        <v>16777.05</v>
      </c>
      <c r="AA20" s="2">
        <v>1922.08</v>
      </c>
      <c r="AB20" s="1">
        <v>46</v>
      </c>
      <c r="AC20" s="1">
        <v>68</v>
      </c>
      <c r="AD20" s="1">
        <v>64</v>
      </c>
      <c r="AE20" s="1">
        <v>21</v>
      </c>
      <c r="AF20" s="1">
        <v>6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14</v>
      </c>
      <c r="AW20" s="1">
        <v>22</v>
      </c>
      <c r="AX20" s="1">
        <v>13</v>
      </c>
      <c r="AY20" s="1">
        <v>5</v>
      </c>
      <c r="AZ20" s="1">
        <v>5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30</v>
      </c>
      <c r="BG20" s="1">
        <v>84</v>
      </c>
      <c r="BH20" s="1">
        <v>30</v>
      </c>
      <c r="BI20" s="1">
        <v>17</v>
      </c>
      <c r="BJ20" s="1">
        <v>24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</row>
    <row r="21" spans="1:67" x14ac:dyDescent="0.2">
      <c r="A21" s="1">
        <v>47002</v>
      </c>
      <c r="B21" s="1" t="s">
        <v>89</v>
      </c>
      <c r="C21" s="1">
        <v>24</v>
      </c>
      <c r="D21" s="1">
        <v>677</v>
      </c>
      <c r="E21" s="1" t="s">
        <v>64</v>
      </c>
      <c r="F21" s="1">
        <v>61</v>
      </c>
      <c r="G21" s="1" t="s">
        <v>66</v>
      </c>
      <c r="H21" s="2">
        <v>22.315999999999999</v>
      </c>
      <c r="I21" s="2">
        <v>535.58399999999995</v>
      </c>
      <c r="J21" s="14">
        <f t="shared" si="2"/>
        <v>11782.847999999998</v>
      </c>
      <c r="K21" s="15">
        <f t="shared" si="3"/>
        <v>22</v>
      </c>
      <c r="L21" s="1">
        <v>10.4</v>
      </c>
      <c r="M21" s="1">
        <v>3.25</v>
      </c>
      <c r="N21" s="16">
        <v>22</v>
      </c>
      <c r="O21" s="1"/>
      <c r="P21" s="1">
        <v>11.17</v>
      </c>
      <c r="Q21" s="1">
        <v>15.54</v>
      </c>
      <c r="R21" s="5">
        <f t="shared" si="4"/>
        <v>2.9786666666666668</v>
      </c>
      <c r="S21" s="5">
        <f t="shared" si="5"/>
        <v>12.561333333333332</v>
      </c>
      <c r="T21" s="5">
        <v>0</v>
      </c>
      <c r="U21" s="1"/>
      <c r="V21" s="1">
        <v>5.77</v>
      </c>
      <c r="W21" s="1">
        <v>0.96</v>
      </c>
      <c r="X21" s="5">
        <v>0</v>
      </c>
      <c r="Y21" s="1">
        <v>0</v>
      </c>
      <c r="Z21" s="18">
        <v>14639.3</v>
      </c>
      <c r="AA21" s="2">
        <v>10577.78</v>
      </c>
      <c r="AB21" s="1">
        <v>147</v>
      </c>
      <c r="AC21" s="1">
        <v>34</v>
      </c>
      <c r="AD21" s="1">
        <v>5</v>
      </c>
      <c r="AE21" s="1">
        <v>161</v>
      </c>
      <c r="AF21" s="1">
        <v>78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129</v>
      </c>
      <c r="AW21" s="1">
        <v>38</v>
      </c>
      <c r="AX21" s="1">
        <v>85</v>
      </c>
      <c r="AY21" s="1">
        <v>70</v>
      </c>
      <c r="AZ21" s="1">
        <v>373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28</v>
      </c>
      <c r="BG21" s="1">
        <v>67</v>
      </c>
      <c r="BH21" s="1">
        <v>45</v>
      </c>
      <c r="BI21" s="1">
        <v>64</v>
      </c>
      <c r="BJ21" s="1">
        <v>23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</row>
    <row r="22" spans="1:67" x14ac:dyDescent="0.2">
      <c r="A22" s="1">
        <v>48091</v>
      </c>
      <c r="B22" s="1" t="s">
        <v>103</v>
      </c>
      <c r="C22" s="1">
        <v>12</v>
      </c>
      <c r="D22" s="1">
        <v>677</v>
      </c>
      <c r="E22" s="1" t="s">
        <v>64</v>
      </c>
      <c r="F22" s="1">
        <v>690</v>
      </c>
      <c r="G22" s="1" t="s">
        <v>101</v>
      </c>
      <c r="H22" s="2">
        <v>54.916699999999999</v>
      </c>
      <c r="I22" s="2">
        <v>659.00040000000001</v>
      </c>
      <c r="J22" s="14">
        <f t="shared" si="2"/>
        <v>13180.008</v>
      </c>
      <c r="K22" s="15">
        <f t="shared" si="3"/>
        <v>20</v>
      </c>
      <c r="L22" s="1">
        <v>9.92</v>
      </c>
      <c r="M22" s="1">
        <v>1.25</v>
      </c>
      <c r="N22" s="5">
        <v>10</v>
      </c>
      <c r="O22" s="1"/>
      <c r="P22" s="1">
        <v>1.33</v>
      </c>
      <c r="Q22" s="1">
        <v>0</v>
      </c>
      <c r="R22" s="5">
        <f t="shared" si="4"/>
        <v>0.35466666666666669</v>
      </c>
      <c r="S22" s="5">
        <f t="shared" si="5"/>
        <v>-0.35466666666666669</v>
      </c>
      <c r="T22" s="5">
        <v>3</v>
      </c>
      <c r="U22" s="1"/>
      <c r="V22" s="1">
        <v>9.2899999999999991</v>
      </c>
      <c r="W22" s="1">
        <v>-0.33</v>
      </c>
      <c r="X22" s="17">
        <f>MAX(0,(TRUNC((V22*0.8)-W22)))</f>
        <v>7</v>
      </c>
      <c r="Y22" s="1">
        <v>0</v>
      </c>
      <c r="Z22" s="18">
        <v>13536.97</v>
      </c>
      <c r="AA22" s="2">
        <v>604.08000000000004</v>
      </c>
      <c r="AB22" s="1">
        <v>11</v>
      </c>
      <c r="AC22" s="1">
        <v>65</v>
      </c>
      <c r="AD22" s="1">
        <v>63</v>
      </c>
      <c r="AE22" s="1">
        <v>25</v>
      </c>
      <c r="AF22" s="1">
        <v>15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12</v>
      </c>
      <c r="AY22" s="1">
        <v>8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1</v>
      </c>
      <c r="BG22" s="1">
        <v>92</v>
      </c>
      <c r="BH22" s="1">
        <v>51</v>
      </c>
      <c r="BI22" s="1">
        <v>27</v>
      </c>
      <c r="BJ22" s="1">
        <v>-4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</row>
    <row r="23" spans="1:67" x14ac:dyDescent="0.2">
      <c r="A23" s="1">
        <v>48081</v>
      </c>
      <c r="B23" s="1" t="s">
        <v>104</v>
      </c>
      <c r="C23" s="1">
        <v>12</v>
      </c>
      <c r="D23" s="1">
        <v>677</v>
      </c>
      <c r="E23" s="1" t="s">
        <v>64</v>
      </c>
      <c r="F23" s="1">
        <v>690</v>
      </c>
      <c r="G23" s="1" t="s">
        <v>101</v>
      </c>
      <c r="H23" s="2">
        <v>54.916699999999999</v>
      </c>
      <c r="I23" s="2">
        <v>659.00040000000001</v>
      </c>
      <c r="J23" s="14">
        <f t="shared" si="2"/>
        <v>9885.0059999999994</v>
      </c>
      <c r="K23" s="15">
        <f t="shared" si="3"/>
        <v>15</v>
      </c>
      <c r="L23" s="1">
        <v>5.75</v>
      </c>
      <c r="M23" s="1">
        <v>1.17</v>
      </c>
      <c r="N23" s="5">
        <v>5</v>
      </c>
      <c r="O23" s="1"/>
      <c r="P23" s="1">
        <v>3.04</v>
      </c>
      <c r="Q23" s="1">
        <v>3.42</v>
      </c>
      <c r="R23" s="5">
        <f t="shared" si="4"/>
        <v>0.81066666666666665</v>
      </c>
      <c r="S23" s="5">
        <f t="shared" si="5"/>
        <v>2.6093333333333333</v>
      </c>
      <c r="T23" s="5">
        <v>0</v>
      </c>
      <c r="U23" s="1"/>
      <c r="V23" s="1">
        <v>10.54</v>
      </c>
      <c r="W23" s="1">
        <v>0.08</v>
      </c>
      <c r="X23" s="5">
        <v>10</v>
      </c>
      <c r="Y23" s="1">
        <v>0</v>
      </c>
      <c r="Z23" s="18">
        <v>12740.67</v>
      </c>
      <c r="AA23" s="2">
        <v>3075.34</v>
      </c>
      <c r="AB23" s="1">
        <v>0</v>
      </c>
      <c r="AC23" s="1">
        <v>38</v>
      </c>
      <c r="AD23" s="1">
        <v>44</v>
      </c>
      <c r="AE23" s="1">
        <v>12</v>
      </c>
      <c r="AF23" s="1">
        <v>14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9</v>
      </c>
      <c r="AW23" s="1">
        <v>20</v>
      </c>
      <c r="AX23" s="1">
        <v>14</v>
      </c>
      <c r="AY23" s="1">
        <v>7</v>
      </c>
      <c r="AZ23" s="1">
        <v>41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21</v>
      </c>
      <c r="BG23" s="1">
        <v>100</v>
      </c>
      <c r="BH23" s="1">
        <v>39</v>
      </c>
      <c r="BI23" s="1">
        <v>33</v>
      </c>
      <c r="BJ23" s="1">
        <v>1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</row>
    <row r="24" spans="1:67" x14ac:dyDescent="0.2">
      <c r="A24" s="1">
        <v>48084</v>
      </c>
      <c r="B24" s="1" t="s">
        <v>100</v>
      </c>
      <c r="C24" s="1">
        <v>12</v>
      </c>
      <c r="D24" s="1">
        <v>677</v>
      </c>
      <c r="E24" s="1" t="s">
        <v>64</v>
      </c>
      <c r="F24" s="1">
        <v>690</v>
      </c>
      <c r="G24" s="1" t="s">
        <v>101</v>
      </c>
      <c r="H24" s="2">
        <v>54.916699999999999</v>
      </c>
      <c r="I24" s="2">
        <v>659.00040000000001</v>
      </c>
      <c r="J24" s="14">
        <f t="shared" si="2"/>
        <v>9885.0059999999994</v>
      </c>
      <c r="K24" s="15">
        <f t="shared" si="3"/>
        <v>15</v>
      </c>
      <c r="L24" s="1">
        <v>7.29</v>
      </c>
      <c r="M24" s="1">
        <v>0.75</v>
      </c>
      <c r="N24" s="17">
        <f t="shared" ref="N24:N27" si="6">MAX(0,(TRUNC((L24*0.8)-M24)))</f>
        <v>5</v>
      </c>
      <c r="O24" s="1"/>
      <c r="P24" s="1">
        <v>1.88</v>
      </c>
      <c r="Q24" s="1">
        <v>0</v>
      </c>
      <c r="R24" s="5">
        <f t="shared" si="4"/>
        <v>0.5013333333333333</v>
      </c>
      <c r="S24" s="5">
        <f t="shared" si="5"/>
        <v>-0.5013333333333333</v>
      </c>
      <c r="T24" s="5">
        <v>3</v>
      </c>
      <c r="U24" s="1"/>
      <c r="V24" s="1">
        <v>9.92</v>
      </c>
      <c r="W24" s="1">
        <v>-0.33</v>
      </c>
      <c r="X24" s="5">
        <v>7</v>
      </c>
      <c r="Y24" s="1">
        <v>0</v>
      </c>
      <c r="Z24" s="18">
        <v>12575.92</v>
      </c>
      <c r="AA24" s="2">
        <v>274.58</v>
      </c>
      <c r="AB24" s="1">
        <v>0</v>
      </c>
      <c r="AC24" s="1">
        <v>11</v>
      </c>
      <c r="AD24" s="1">
        <v>70</v>
      </c>
      <c r="AE24" s="1">
        <v>24</v>
      </c>
      <c r="AF24" s="1">
        <v>9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1</v>
      </c>
      <c r="AW24" s="1">
        <v>4</v>
      </c>
      <c r="AX24" s="1">
        <v>14</v>
      </c>
      <c r="AY24" s="1">
        <v>11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92</v>
      </c>
      <c r="BH24" s="1">
        <v>58</v>
      </c>
      <c r="BI24" s="1">
        <v>30</v>
      </c>
      <c r="BJ24" s="1">
        <v>-4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</row>
    <row r="25" spans="1:67" x14ac:dyDescent="0.2">
      <c r="A25" s="1">
        <v>48085</v>
      </c>
      <c r="B25" s="1" t="s">
        <v>105</v>
      </c>
      <c r="C25" s="1">
        <v>12</v>
      </c>
      <c r="D25" s="1">
        <v>677</v>
      </c>
      <c r="E25" s="1" t="s">
        <v>64</v>
      </c>
      <c r="F25" s="1">
        <v>690</v>
      </c>
      <c r="G25" s="1" t="s">
        <v>101</v>
      </c>
      <c r="H25" s="2">
        <v>54.916699999999999</v>
      </c>
      <c r="I25" s="2">
        <v>659.00040000000001</v>
      </c>
      <c r="J25" s="14">
        <f t="shared" si="2"/>
        <v>6590.0039999999999</v>
      </c>
      <c r="K25" s="15">
        <f t="shared" si="3"/>
        <v>10</v>
      </c>
      <c r="L25" s="1">
        <v>7.12</v>
      </c>
      <c r="M25" s="1">
        <v>0.92</v>
      </c>
      <c r="N25" s="17">
        <f t="shared" si="6"/>
        <v>4</v>
      </c>
      <c r="O25" s="1"/>
      <c r="P25" s="1">
        <v>1.54</v>
      </c>
      <c r="Q25" s="1">
        <v>0</v>
      </c>
      <c r="R25" s="5">
        <f t="shared" si="4"/>
        <v>0.41066666666666668</v>
      </c>
      <c r="S25" s="5">
        <f t="shared" si="5"/>
        <v>-0.41066666666666668</v>
      </c>
      <c r="T25" s="5">
        <v>3</v>
      </c>
      <c r="U25" s="1"/>
      <c r="V25" s="1">
        <v>4.33</v>
      </c>
      <c r="W25" s="1">
        <v>0</v>
      </c>
      <c r="X25" s="17">
        <f t="shared" ref="X25:X31" si="7">MAX(0,(TRUNC((V25*0.8)-W25)))</f>
        <v>3</v>
      </c>
      <c r="Y25" s="1">
        <v>0</v>
      </c>
      <c r="Z25" s="22">
        <v>8567.01</v>
      </c>
      <c r="AA25" s="2">
        <v>604.08000000000004</v>
      </c>
      <c r="AB25" s="1">
        <v>0</v>
      </c>
      <c r="AC25" s="1">
        <v>0</v>
      </c>
      <c r="AD25" s="1">
        <v>78</v>
      </c>
      <c r="AE25" s="1">
        <v>15</v>
      </c>
      <c r="AF25" s="1">
        <v>11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14</v>
      </c>
      <c r="AY25" s="1">
        <v>9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41</v>
      </c>
      <c r="BI25" s="1">
        <v>22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</row>
    <row r="26" spans="1:67" x14ac:dyDescent="0.2">
      <c r="A26" s="1">
        <v>47017</v>
      </c>
      <c r="B26" s="1" t="s">
        <v>175</v>
      </c>
      <c r="C26" s="1">
        <v>24</v>
      </c>
      <c r="D26" s="1">
        <v>677</v>
      </c>
      <c r="E26" s="1" t="s">
        <v>64</v>
      </c>
      <c r="F26" s="1">
        <v>61</v>
      </c>
      <c r="G26" s="1" t="s">
        <v>66</v>
      </c>
      <c r="H26" s="2">
        <v>52.741</v>
      </c>
      <c r="I26" s="2">
        <v>1265.7840000000001</v>
      </c>
      <c r="J26" s="14">
        <f t="shared" si="2"/>
        <v>6328.92</v>
      </c>
      <c r="K26" s="15">
        <f t="shared" si="3"/>
        <v>5</v>
      </c>
      <c r="L26" s="1">
        <v>3.1</v>
      </c>
      <c r="M26" s="1">
        <v>0.25</v>
      </c>
      <c r="N26" s="38">
        <f t="shared" si="6"/>
        <v>2</v>
      </c>
      <c r="O26" s="1"/>
      <c r="P26" s="1">
        <v>2.15</v>
      </c>
      <c r="Q26" s="1">
        <v>0</v>
      </c>
      <c r="R26" s="5">
        <f t="shared" si="4"/>
        <v>0.57333333333333336</v>
      </c>
      <c r="S26" s="5">
        <f t="shared" si="5"/>
        <v>-0.57333333333333336</v>
      </c>
      <c r="T26" s="5">
        <v>3</v>
      </c>
      <c r="U26" s="1"/>
      <c r="V26" s="1">
        <v>1.08</v>
      </c>
      <c r="W26" s="1">
        <v>3.54</v>
      </c>
      <c r="X26" s="17">
        <f t="shared" si="7"/>
        <v>0</v>
      </c>
      <c r="Y26" s="1">
        <v>0</v>
      </c>
      <c r="Z26" s="22">
        <v>8016.63</v>
      </c>
      <c r="AA26" s="2">
        <v>4799.43</v>
      </c>
      <c r="AB26" s="1">
        <v>35</v>
      </c>
      <c r="AC26" s="1">
        <v>79</v>
      </c>
      <c r="AD26" s="1">
        <v>0</v>
      </c>
      <c r="AE26" s="1">
        <v>0</v>
      </c>
      <c r="AF26" s="1">
        <v>6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32</v>
      </c>
      <c r="AW26" s="1">
        <v>39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17</v>
      </c>
      <c r="BG26" s="1">
        <v>18</v>
      </c>
      <c r="BH26" s="1">
        <v>0</v>
      </c>
      <c r="BI26" s="1">
        <v>0</v>
      </c>
      <c r="BJ26" s="1">
        <v>85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</row>
    <row r="27" spans="1:67" x14ac:dyDescent="0.2">
      <c r="A27" s="1">
        <v>47027</v>
      </c>
      <c r="B27" s="1" t="s">
        <v>95</v>
      </c>
      <c r="C27" s="1">
        <v>16</v>
      </c>
      <c r="D27" s="1">
        <v>677</v>
      </c>
      <c r="E27" s="1" t="s">
        <v>64</v>
      </c>
      <c r="F27" s="1">
        <v>999</v>
      </c>
      <c r="G27" s="1" t="s">
        <v>67</v>
      </c>
      <c r="H27" s="2">
        <v>56.59</v>
      </c>
      <c r="I27" s="2">
        <v>905.44</v>
      </c>
      <c r="J27" s="14">
        <f t="shared" si="2"/>
        <v>0</v>
      </c>
      <c r="K27" s="15">
        <f t="shared" si="3"/>
        <v>0</v>
      </c>
      <c r="L27" s="1">
        <v>1.0900000000000001</v>
      </c>
      <c r="M27" s="1">
        <v>2.81</v>
      </c>
      <c r="N27" s="17">
        <f t="shared" si="6"/>
        <v>0</v>
      </c>
      <c r="O27" s="1"/>
      <c r="P27" s="1">
        <v>3.66</v>
      </c>
      <c r="Q27" s="1">
        <v>14.19</v>
      </c>
      <c r="R27" s="5">
        <f t="shared" si="4"/>
        <v>0.97600000000000009</v>
      </c>
      <c r="S27" s="5">
        <f t="shared" si="5"/>
        <v>13.213999999999999</v>
      </c>
      <c r="T27" s="5">
        <v>0</v>
      </c>
      <c r="U27" s="1"/>
      <c r="V27" s="1">
        <v>1.69</v>
      </c>
      <c r="W27" s="1">
        <v>3.5</v>
      </c>
      <c r="X27" s="17">
        <f t="shared" si="7"/>
        <v>0</v>
      </c>
      <c r="Y27" s="1">
        <v>0</v>
      </c>
      <c r="Z27" s="22">
        <v>5828.77</v>
      </c>
      <c r="AA27" s="2">
        <v>18561.52</v>
      </c>
      <c r="AB27" s="1">
        <v>10</v>
      </c>
      <c r="AC27" s="1">
        <v>15</v>
      </c>
      <c r="AD27" s="1">
        <v>0</v>
      </c>
      <c r="AE27" s="1">
        <v>0</v>
      </c>
      <c r="AF27" s="1">
        <v>45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34</v>
      </c>
      <c r="AW27" s="1">
        <v>49</v>
      </c>
      <c r="AX27" s="1">
        <v>0</v>
      </c>
      <c r="AY27" s="1">
        <v>0</v>
      </c>
      <c r="AZ27" s="1">
        <v>227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22</v>
      </c>
      <c r="BG27" s="1">
        <v>10</v>
      </c>
      <c r="BH27" s="1">
        <v>0</v>
      </c>
      <c r="BI27" s="1">
        <v>0</v>
      </c>
      <c r="BJ27" s="1">
        <v>56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</row>
    <row r="28" spans="1:67" x14ac:dyDescent="0.2">
      <c r="A28" s="1">
        <v>48055</v>
      </c>
      <c r="B28" s="1" t="s">
        <v>119</v>
      </c>
      <c r="C28" s="1">
        <v>12</v>
      </c>
      <c r="D28" s="1">
        <v>677</v>
      </c>
      <c r="E28" s="1" t="s">
        <v>64</v>
      </c>
      <c r="F28" s="1">
        <v>690</v>
      </c>
      <c r="G28" s="1" t="s">
        <v>101</v>
      </c>
      <c r="H28" s="2">
        <v>54.916699999999999</v>
      </c>
      <c r="I28" s="2">
        <v>659.00040000000001</v>
      </c>
      <c r="J28" s="14">
        <f t="shared" si="2"/>
        <v>1977.0012000000002</v>
      </c>
      <c r="K28" s="15">
        <f t="shared" si="3"/>
        <v>3</v>
      </c>
      <c r="L28" s="1">
        <v>2.79</v>
      </c>
      <c r="M28" s="1">
        <v>0.57999999999999996</v>
      </c>
      <c r="N28" s="5">
        <v>3</v>
      </c>
      <c r="O28" s="1"/>
      <c r="P28" s="1">
        <v>0.88</v>
      </c>
      <c r="Q28" s="1">
        <v>0</v>
      </c>
      <c r="R28" s="5">
        <f t="shared" si="4"/>
        <v>0.23466666666666666</v>
      </c>
      <c r="S28" s="5">
        <f t="shared" si="5"/>
        <v>-0.23466666666666666</v>
      </c>
      <c r="T28" s="5">
        <v>0</v>
      </c>
      <c r="U28" s="1"/>
      <c r="V28" s="1">
        <v>4.29</v>
      </c>
      <c r="W28" s="1">
        <v>5.25</v>
      </c>
      <c r="X28" s="17">
        <f t="shared" si="7"/>
        <v>0</v>
      </c>
      <c r="Y28" s="1">
        <v>0</v>
      </c>
      <c r="Z28" s="22">
        <v>5244.54</v>
      </c>
      <c r="AA28" s="2">
        <v>3844.17</v>
      </c>
      <c r="AB28" s="1">
        <v>0</v>
      </c>
      <c r="AC28" s="1">
        <v>29</v>
      </c>
      <c r="AD28" s="1">
        <v>17</v>
      </c>
      <c r="AE28" s="1">
        <v>4</v>
      </c>
      <c r="AF28" s="1">
        <v>7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8</v>
      </c>
      <c r="AY28" s="1">
        <v>5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19</v>
      </c>
      <c r="BG28" s="1">
        <v>26</v>
      </c>
      <c r="BH28" s="1">
        <v>13</v>
      </c>
      <c r="BI28" s="1">
        <v>13</v>
      </c>
      <c r="BJ28" s="1">
        <v>63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</row>
    <row r="29" spans="1:67" x14ac:dyDescent="0.2">
      <c r="A29" s="1">
        <v>48068</v>
      </c>
      <c r="B29" s="1" t="s">
        <v>109</v>
      </c>
      <c r="C29" s="1">
        <v>12</v>
      </c>
      <c r="D29" s="1">
        <v>677</v>
      </c>
      <c r="E29" s="1" t="s">
        <v>64</v>
      </c>
      <c r="F29" s="1">
        <v>690</v>
      </c>
      <c r="G29" s="1" t="s">
        <v>101</v>
      </c>
      <c r="H29" s="2">
        <v>54.916699999999999</v>
      </c>
      <c r="I29" s="2">
        <v>659.00040000000001</v>
      </c>
      <c r="J29" s="14">
        <f t="shared" si="2"/>
        <v>3295.002</v>
      </c>
      <c r="K29" s="15">
        <f t="shared" si="3"/>
        <v>5</v>
      </c>
      <c r="L29" s="1">
        <v>4.33</v>
      </c>
      <c r="M29" s="1">
        <v>0.5</v>
      </c>
      <c r="N29" s="5">
        <v>4</v>
      </c>
      <c r="O29" s="1"/>
      <c r="P29" s="1">
        <v>0.92</v>
      </c>
      <c r="Q29" s="1">
        <v>0</v>
      </c>
      <c r="R29" s="5">
        <f t="shared" si="4"/>
        <v>0.24533333333333335</v>
      </c>
      <c r="S29" s="5">
        <f t="shared" si="5"/>
        <v>-0.24533333333333335</v>
      </c>
      <c r="T29" s="5">
        <v>0</v>
      </c>
      <c r="U29" s="1"/>
      <c r="V29" s="1">
        <v>2.17</v>
      </c>
      <c r="W29" s="1">
        <v>0</v>
      </c>
      <c r="X29" s="17">
        <f t="shared" si="7"/>
        <v>1</v>
      </c>
      <c r="Y29" s="1">
        <v>0</v>
      </c>
      <c r="Z29" s="20">
        <v>4887.59</v>
      </c>
      <c r="AA29" s="2">
        <v>329.5</v>
      </c>
      <c r="AB29" s="1">
        <v>0</v>
      </c>
      <c r="AC29" s="1">
        <v>0</v>
      </c>
      <c r="AD29" s="1">
        <v>46</v>
      </c>
      <c r="AE29" s="1">
        <v>12</v>
      </c>
      <c r="AF29" s="1">
        <v>6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9</v>
      </c>
      <c r="AY29" s="1">
        <v>4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2</v>
      </c>
      <c r="BH29" s="1">
        <v>20</v>
      </c>
      <c r="BI29" s="1">
        <v>10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</row>
    <row r="30" spans="1:67" x14ac:dyDescent="0.2">
      <c r="A30" s="1">
        <v>47019</v>
      </c>
      <c r="B30" s="1" t="s">
        <v>123</v>
      </c>
      <c r="C30" s="1">
        <v>8</v>
      </c>
      <c r="D30" s="1">
        <v>677</v>
      </c>
      <c r="E30" s="1" t="s">
        <v>64</v>
      </c>
      <c r="F30" s="1">
        <v>61</v>
      </c>
      <c r="G30" s="1" t="s">
        <v>66</v>
      </c>
      <c r="H30" s="2">
        <v>152.41</v>
      </c>
      <c r="I30" s="2">
        <v>1219.28</v>
      </c>
      <c r="J30" s="14">
        <f t="shared" si="2"/>
        <v>0</v>
      </c>
      <c r="K30" s="15">
        <f t="shared" si="3"/>
        <v>0</v>
      </c>
      <c r="L30" s="1">
        <v>1.19</v>
      </c>
      <c r="M30" s="1">
        <v>3.12</v>
      </c>
      <c r="N30" s="17">
        <f>MAX(0,(TRUNC((L30*0.8)-M30)))</f>
        <v>0</v>
      </c>
      <c r="O30" s="1"/>
      <c r="P30" s="1">
        <v>1.81</v>
      </c>
      <c r="Q30" s="1">
        <v>2.38</v>
      </c>
      <c r="R30" s="5">
        <f t="shared" si="4"/>
        <v>0.48266666666666669</v>
      </c>
      <c r="S30" s="5">
        <f t="shared" si="5"/>
        <v>1.8973333333333331</v>
      </c>
      <c r="T30" s="5">
        <v>0</v>
      </c>
      <c r="U30" s="1"/>
      <c r="V30" s="1">
        <v>0.69</v>
      </c>
      <c r="W30" s="1">
        <v>0.62</v>
      </c>
      <c r="X30" s="17">
        <f t="shared" si="7"/>
        <v>0</v>
      </c>
      <c r="Y30" s="1">
        <v>0</v>
      </c>
      <c r="Z30" s="20">
        <v>4496.1000000000004</v>
      </c>
      <c r="AA30" s="2">
        <v>7468.09</v>
      </c>
      <c r="AB30" s="1">
        <v>0</v>
      </c>
      <c r="AC30" s="1">
        <v>0</v>
      </c>
      <c r="AD30" s="1">
        <v>4</v>
      </c>
      <c r="AE30" s="1">
        <v>11</v>
      </c>
      <c r="AF30" s="1">
        <v>25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2</v>
      </c>
      <c r="AW30" s="1">
        <v>0</v>
      </c>
      <c r="AX30" s="1">
        <v>10</v>
      </c>
      <c r="AY30" s="1">
        <v>5</v>
      </c>
      <c r="AZ30" s="1">
        <v>19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1</v>
      </c>
      <c r="BI30" s="1">
        <v>9</v>
      </c>
      <c r="BJ30" s="1">
        <v>5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</row>
    <row r="31" spans="1:67" x14ac:dyDescent="0.2">
      <c r="A31" s="1">
        <v>48082</v>
      </c>
      <c r="B31" s="1" t="s">
        <v>114</v>
      </c>
      <c r="C31" s="1">
        <v>12</v>
      </c>
      <c r="D31" s="1">
        <v>677</v>
      </c>
      <c r="E31" s="1" t="s">
        <v>64</v>
      </c>
      <c r="F31" s="1">
        <v>690</v>
      </c>
      <c r="G31" s="1" t="s">
        <v>101</v>
      </c>
      <c r="H31" s="2">
        <v>54.916699999999999</v>
      </c>
      <c r="I31" s="2">
        <v>659.00040000000001</v>
      </c>
      <c r="J31" s="14">
        <f t="shared" si="2"/>
        <v>5272.0032000000001</v>
      </c>
      <c r="K31" s="15">
        <f t="shared" si="3"/>
        <v>8</v>
      </c>
      <c r="L31" s="1">
        <v>3.17</v>
      </c>
      <c r="M31" s="1">
        <v>0.57999999999999996</v>
      </c>
      <c r="N31" s="5">
        <v>3</v>
      </c>
      <c r="O31" s="1"/>
      <c r="P31" s="1">
        <v>0.71</v>
      </c>
      <c r="Q31" s="1">
        <v>0</v>
      </c>
      <c r="R31" s="5">
        <f t="shared" si="4"/>
        <v>0.18933333333333333</v>
      </c>
      <c r="S31" s="5">
        <f t="shared" si="5"/>
        <v>-0.18933333333333333</v>
      </c>
      <c r="T31" s="5">
        <v>3</v>
      </c>
      <c r="U31" s="1"/>
      <c r="V31" s="1">
        <v>2.71</v>
      </c>
      <c r="W31" s="1">
        <v>0</v>
      </c>
      <c r="X31" s="17">
        <f t="shared" si="7"/>
        <v>2</v>
      </c>
      <c r="Y31" s="1">
        <v>0</v>
      </c>
      <c r="Z31" s="20">
        <v>4338.42</v>
      </c>
      <c r="AA31" s="2">
        <v>384.42</v>
      </c>
      <c r="AB31" s="1">
        <v>0</v>
      </c>
      <c r="AC31" s="1">
        <v>0</v>
      </c>
      <c r="AD31" s="1">
        <v>34</v>
      </c>
      <c r="AE31" s="1">
        <v>8</v>
      </c>
      <c r="AF31" s="1">
        <v>7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7</v>
      </c>
      <c r="AY31" s="1">
        <v>3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31</v>
      </c>
      <c r="BH31" s="1">
        <v>12</v>
      </c>
      <c r="BI31" s="1">
        <v>10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</row>
    <row r="32" spans="1:67" x14ac:dyDescent="0.2">
      <c r="A32" s="1">
        <v>48069</v>
      </c>
      <c r="B32" s="1" t="s">
        <v>110</v>
      </c>
      <c r="C32" s="1">
        <v>12</v>
      </c>
      <c r="D32" s="1">
        <v>677</v>
      </c>
      <c r="E32" s="1" t="s">
        <v>64</v>
      </c>
      <c r="F32" s="1">
        <v>690</v>
      </c>
      <c r="G32" s="1" t="s">
        <v>101</v>
      </c>
      <c r="H32" s="2">
        <v>54.916699999999999</v>
      </c>
      <c r="I32" s="2">
        <v>659.00040000000001</v>
      </c>
      <c r="J32" s="14">
        <f t="shared" si="2"/>
        <v>3295.002</v>
      </c>
      <c r="K32" s="15">
        <f t="shared" si="3"/>
        <v>5</v>
      </c>
      <c r="L32" s="1">
        <v>0</v>
      </c>
      <c r="M32" s="1">
        <v>0.42</v>
      </c>
      <c r="N32" s="17">
        <f t="shared" ref="N32:N33" si="8">MAX(0,(TRUNC((L32*0.8)-M32)))</f>
        <v>0</v>
      </c>
      <c r="O32" s="1"/>
      <c r="P32" s="1">
        <v>1.62</v>
      </c>
      <c r="Q32" s="1">
        <v>0</v>
      </c>
      <c r="R32" s="5">
        <f t="shared" si="4"/>
        <v>0.43200000000000005</v>
      </c>
      <c r="S32" s="5">
        <f t="shared" si="5"/>
        <v>-0.43200000000000005</v>
      </c>
      <c r="T32" s="5">
        <v>2</v>
      </c>
      <c r="U32" s="1"/>
      <c r="V32" s="1">
        <v>4.67</v>
      </c>
      <c r="W32" s="1">
        <v>-0.67</v>
      </c>
      <c r="X32" s="5">
        <v>3</v>
      </c>
      <c r="Y32" s="1">
        <v>0</v>
      </c>
      <c r="Z32" s="20">
        <v>4146.21</v>
      </c>
      <c r="AA32" s="2">
        <v>-164.75</v>
      </c>
      <c r="AB32" s="1">
        <v>0</v>
      </c>
      <c r="AC32" s="1">
        <v>0</v>
      </c>
      <c r="AD32" s="1">
        <v>0</v>
      </c>
      <c r="AE32" s="1">
        <v>0</v>
      </c>
      <c r="AF32" s="1">
        <v>5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9</v>
      </c>
      <c r="AX32" s="1">
        <v>12</v>
      </c>
      <c r="AY32" s="1">
        <v>6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13</v>
      </c>
      <c r="BG32" s="1">
        <v>35</v>
      </c>
      <c r="BH32" s="1">
        <v>19</v>
      </c>
      <c r="BI32" s="1">
        <v>13</v>
      </c>
      <c r="BJ32" s="1">
        <v>-8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</row>
    <row r="33" spans="1:67" x14ac:dyDescent="0.2">
      <c r="A33" s="1">
        <v>48029</v>
      </c>
      <c r="B33" s="1" t="s">
        <v>111</v>
      </c>
      <c r="C33" s="1">
        <v>12</v>
      </c>
      <c r="D33" s="1">
        <v>677</v>
      </c>
      <c r="E33" s="1" t="s">
        <v>64</v>
      </c>
      <c r="F33" s="1">
        <v>690</v>
      </c>
      <c r="G33" s="1" t="s">
        <v>101</v>
      </c>
      <c r="H33" s="2">
        <v>54.916699999999999</v>
      </c>
      <c r="I33" s="2">
        <v>659.00040000000001</v>
      </c>
      <c r="J33" s="14">
        <f t="shared" si="2"/>
        <v>3295.002</v>
      </c>
      <c r="K33" s="15">
        <f t="shared" si="3"/>
        <v>5</v>
      </c>
      <c r="L33" s="1">
        <v>2.96</v>
      </c>
      <c r="M33" s="1">
        <v>0.33</v>
      </c>
      <c r="N33" s="17">
        <f t="shared" si="8"/>
        <v>2</v>
      </c>
      <c r="O33" s="1"/>
      <c r="P33" s="1">
        <v>0.83</v>
      </c>
      <c r="Q33" s="1">
        <v>0</v>
      </c>
      <c r="R33" s="5">
        <f t="shared" si="4"/>
        <v>0.22133333333333333</v>
      </c>
      <c r="S33" s="5">
        <f t="shared" si="5"/>
        <v>-0.22133333333333333</v>
      </c>
      <c r="T33" s="5">
        <v>2</v>
      </c>
      <c r="U33" s="1"/>
      <c r="V33" s="1">
        <v>2.12</v>
      </c>
      <c r="W33" s="1">
        <v>0.08</v>
      </c>
      <c r="X33" s="17">
        <f t="shared" ref="X33:X93" si="9">MAX(0,(TRUNC((V33*0.8)-W33)))</f>
        <v>1</v>
      </c>
      <c r="Y33" s="1">
        <v>0</v>
      </c>
      <c r="Z33" s="20">
        <v>3899.09</v>
      </c>
      <c r="AA33" s="2">
        <v>274.58</v>
      </c>
      <c r="AB33" s="1">
        <v>0</v>
      </c>
      <c r="AC33" s="1">
        <v>0</v>
      </c>
      <c r="AD33" s="1">
        <v>33</v>
      </c>
      <c r="AE33" s="1">
        <v>5</v>
      </c>
      <c r="AF33" s="1">
        <v>4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8</v>
      </c>
      <c r="AY33" s="1">
        <v>4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11</v>
      </c>
      <c r="BH33" s="1">
        <v>20</v>
      </c>
      <c r="BI33" s="1">
        <v>0</v>
      </c>
      <c r="BJ33" s="1">
        <v>1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</row>
    <row r="34" spans="1:67" x14ac:dyDescent="0.2">
      <c r="A34" s="1">
        <v>48044</v>
      </c>
      <c r="B34" s="1" t="s">
        <v>121</v>
      </c>
      <c r="C34" s="1">
        <v>12</v>
      </c>
      <c r="D34" s="1">
        <v>677</v>
      </c>
      <c r="E34" s="1" t="s">
        <v>64</v>
      </c>
      <c r="F34" s="1">
        <v>690</v>
      </c>
      <c r="G34" s="1" t="s">
        <v>101</v>
      </c>
      <c r="H34" s="2">
        <v>54.916699999999999</v>
      </c>
      <c r="I34" s="2">
        <v>659.00040000000001</v>
      </c>
      <c r="J34" s="14">
        <f t="shared" si="2"/>
        <v>3295.002</v>
      </c>
      <c r="K34" s="15">
        <f t="shared" si="3"/>
        <v>5</v>
      </c>
      <c r="L34" s="1">
        <v>2.46</v>
      </c>
      <c r="M34" s="1">
        <v>0.57999999999999996</v>
      </c>
      <c r="N34" s="5">
        <v>2</v>
      </c>
      <c r="O34" s="1"/>
      <c r="P34" s="1">
        <v>0.92</v>
      </c>
      <c r="Q34" s="1">
        <v>0</v>
      </c>
      <c r="R34" s="5">
        <f t="shared" si="4"/>
        <v>0.24533333333333335</v>
      </c>
      <c r="S34" s="5">
        <f t="shared" si="5"/>
        <v>-0.24533333333333335</v>
      </c>
      <c r="T34" s="5">
        <v>2</v>
      </c>
      <c r="U34" s="1"/>
      <c r="V34" s="1">
        <v>1.96</v>
      </c>
      <c r="W34" s="1">
        <v>0</v>
      </c>
      <c r="X34" s="17">
        <f t="shared" si="9"/>
        <v>1</v>
      </c>
      <c r="Y34" s="1">
        <v>0</v>
      </c>
      <c r="Z34" s="20">
        <v>3514.67</v>
      </c>
      <c r="AA34" s="2">
        <v>384.42</v>
      </c>
      <c r="AB34" s="1">
        <v>0</v>
      </c>
      <c r="AC34" s="1">
        <v>0</v>
      </c>
      <c r="AD34" s="1">
        <v>26</v>
      </c>
      <c r="AE34" s="1">
        <v>7</v>
      </c>
      <c r="AF34" s="1">
        <v>7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8</v>
      </c>
      <c r="AY34" s="1">
        <v>6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18</v>
      </c>
      <c r="BI34" s="1">
        <v>11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</row>
    <row r="35" spans="1:67" x14ac:dyDescent="0.2">
      <c r="A35" s="1">
        <v>47014</v>
      </c>
      <c r="B35" s="1" t="s">
        <v>97</v>
      </c>
      <c r="C35" s="1">
        <v>24</v>
      </c>
      <c r="D35" s="1">
        <v>677</v>
      </c>
      <c r="E35" s="1" t="s">
        <v>64</v>
      </c>
      <c r="F35" s="1">
        <v>61</v>
      </c>
      <c r="G35" s="1" t="s">
        <v>66</v>
      </c>
      <c r="H35" s="2">
        <v>43.319099999999999</v>
      </c>
      <c r="I35" s="2">
        <v>1039.6584</v>
      </c>
      <c r="J35" s="14">
        <f t="shared" si="2"/>
        <v>0</v>
      </c>
      <c r="K35" s="15">
        <f t="shared" si="3"/>
        <v>0</v>
      </c>
      <c r="L35" s="1">
        <v>0.17</v>
      </c>
      <c r="M35" s="1">
        <v>0.08</v>
      </c>
      <c r="N35" s="17">
        <f>MAX(0,(TRUNC((L35*0.8)-M35)))</f>
        <v>0</v>
      </c>
      <c r="O35" s="1"/>
      <c r="P35" s="1">
        <v>1.4</v>
      </c>
      <c r="Q35" s="1">
        <v>0</v>
      </c>
      <c r="R35" s="5">
        <f t="shared" si="4"/>
        <v>0.37333333333333329</v>
      </c>
      <c r="S35" s="5">
        <f t="shared" si="5"/>
        <v>-0.37333333333333329</v>
      </c>
      <c r="T35" s="5">
        <v>0</v>
      </c>
      <c r="U35" s="1"/>
      <c r="V35" s="1">
        <v>1.44</v>
      </c>
      <c r="W35" s="1">
        <v>0.42</v>
      </c>
      <c r="X35" s="17">
        <f t="shared" si="9"/>
        <v>0</v>
      </c>
      <c r="Y35" s="1">
        <v>0</v>
      </c>
      <c r="Z35" s="20">
        <v>3118.98</v>
      </c>
      <c r="AA35" s="2">
        <v>519.83000000000004</v>
      </c>
      <c r="AB35" s="1">
        <v>0</v>
      </c>
      <c r="AC35" s="1">
        <v>8</v>
      </c>
      <c r="AD35" s="1">
        <v>0</v>
      </c>
      <c r="AE35" s="1">
        <v>0</v>
      </c>
      <c r="AF35" s="1">
        <v>2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1</v>
      </c>
      <c r="AW35" s="1">
        <v>16</v>
      </c>
      <c r="AX35" s="1">
        <v>19</v>
      </c>
      <c r="AY35" s="1">
        <v>11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6</v>
      </c>
      <c r="BG35" s="1">
        <v>2</v>
      </c>
      <c r="BH35" s="1">
        <v>11</v>
      </c>
      <c r="BI35" s="1">
        <v>33</v>
      </c>
      <c r="BJ35" s="1">
        <v>10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</row>
    <row r="36" spans="1:67" x14ac:dyDescent="0.2">
      <c r="A36" s="1">
        <v>48080</v>
      </c>
      <c r="B36" s="1" t="s">
        <v>122</v>
      </c>
      <c r="C36" s="1">
        <v>12</v>
      </c>
      <c r="D36" s="1">
        <v>677</v>
      </c>
      <c r="E36" s="1" t="s">
        <v>64</v>
      </c>
      <c r="F36" s="1">
        <v>690</v>
      </c>
      <c r="G36" s="1" t="s">
        <v>101</v>
      </c>
      <c r="H36" s="2">
        <v>54.916699999999999</v>
      </c>
      <c r="I36" s="2">
        <v>659.00040000000001</v>
      </c>
      <c r="J36" s="14">
        <f t="shared" si="2"/>
        <v>3295.002</v>
      </c>
      <c r="K36" s="15">
        <f t="shared" si="3"/>
        <v>5</v>
      </c>
      <c r="L36" s="1">
        <v>2.21</v>
      </c>
      <c r="M36" s="1">
        <v>0</v>
      </c>
      <c r="N36" s="5">
        <v>2</v>
      </c>
      <c r="O36" s="1"/>
      <c r="P36" s="1">
        <v>0.62</v>
      </c>
      <c r="Q36" s="1">
        <v>0</v>
      </c>
      <c r="R36" s="5">
        <f t="shared" si="4"/>
        <v>0.16533333333333333</v>
      </c>
      <c r="S36" s="5">
        <f t="shared" si="5"/>
        <v>-0.16533333333333333</v>
      </c>
      <c r="T36" s="5">
        <v>2</v>
      </c>
      <c r="U36" s="1"/>
      <c r="V36" s="1">
        <v>1.83</v>
      </c>
      <c r="W36" s="1">
        <v>0</v>
      </c>
      <c r="X36" s="17">
        <f t="shared" si="9"/>
        <v>1</v>
      </c>
      <c r="Y36" s="1">
        <v>0</v>
      </c>
      <c r="Z36" s="20">
        <v>3075.34</v>
      </c>
      <c r="AA36" s="2">
        <v>0</v>
      </c>
      <c r="AB36" s="1">
        <v>0</v>
      </c>
      <c r="AC36" s="1">
        <v>0</v>
      </c>
      <c r="AD36" s="1">
        <v>22</v>
      </c>
      <c r="AE36" s="1">
        <v>9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6</v>
      </c>
      <c r="AY36" s="1">
        <v>3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15</v>
      </c>
      <c r="BI36" s="1">
        <v>14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</row>
    <row r="37" spans="1:67" x14ac:dyDescent="0.2">
      <c r="A37" s="1">
        <v>48063</v>
      </c>
      <c r="B37" s="1" t="s">
        <v>118</v>
      </c>
      <c r="C37" s="1">
        <v>12</v>
      </c>
      <c r="D37" s="1">
        <v>677</v>
      </c>
      <c r="E37" s="1" t="s">
        <v>64</v>
      </c>
      <c r="F37" s="1">
        <v>690</v>
      </c>
      <c r="G37" s="1" t="s">
        <v>101</v>
      </c>
      <c r="H37" s="2">
        <v>54.916699999999999</v>
      </c>
      <c r="I37" s="2">
        <v>659.00040000000001</v>
      </c>
      <c r="J37" s="14">
        <f t="shared" si="2"/>
        <v>3295.002</v>
      </c>
      <c r="K37" s="15">
        <f t="shared" si="3"/>
        <v>5</v>
      </c>
      <c r="L37" s="1">
        <v>1.21</v>
      </c>
      <c r="M37" s="1">
        <v>1.58</v>
      </c>
      <c r="N37" s="5">
        <v>2</v>
      </c>
      <c r="O37" s="1"/>
      <c r="P37" s="1">
        <v>0.83</v>
      </c>
      <c r="Q37" s="1">
        <v>0</v>
      </c>
      <c r="R37" s="5">
        <f t="shared" si="4"/>
        <v>0.22133333333333333</v>
      </c>
      <c r="S37" s="5">
        <f t="shared" si="5"/>
        <v>-0.22133333333333333</v>
      </c>
      <c r="T37" s="5">
        <v>2</v>
      </c>
      <c r="U37" s="1"/>
      <c r="V37" s="1">
        <v>2.12</v>
      </c>
      <c r="W37" s="1">
        <v>-0.25</v>
      </c>
      <c r="X37" s="17">
        <f t="shared" si="9"/>
        <v>1</v>
      </c>
      <c r="Y37" s="1">
        <v>0</v>
      </c>
      <c r="Z37" s="20">
        <v>2745.84</v>
      </c>
      <c r="AA37" s="2">
        <v>878.67</v>
      </c>
      <c r="AB37" s="1">
        <v>0</v>
      </c>
      <c r="AC37" s="1">
        <v>0</v>
      </c>
      <c r="AD37" s="1">
        <v>9</v>
      </c>
      <c r="AE37" s="1">
        <v>11</v>
      </c>
      <c r="AF37" s="1">
        <v>19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9</v>
      </c>
      <c r="AY37" s="1">
        <v>2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19</v>
      </c>
      <c r="BI37" s="1">
        <v>13</v>
      </c>
      <c r="BJ37" s="1">
        <v>-3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</row>
    <row r="38" spans="1:67" x14ac:dyDescent="0.2">
      <c r="A38" s="1">
        <v>48066</v>
      </c>
      <c r="B38" s="1" t="s">
        <v>129</v>
      </c>
      <c r="C38" s="1">
        <v>12</v>
      </c>
      <c r="D38" s="1">
        <v>677</v>
      </c>
      <c r="E38" s="1" t="s">
        <v>64</v>
      </c>
      <c r="F38" s="1">
        <v>690</v>
      </c>
      <c r="G38" s="1" t="s">
        <v>101</v>
      </c>
      <c r="H38" s="2">
        <v>54.916699999999999</v>
      </c>
      <c r="I38" s="2">
        <v>659.00040000000001</v>
      </c>
      <c r="J38" s="14">
        <f t="shared" si="2"/>
        <v>3295.002</v>
      </c>
      <c r="K38" s="15">
        <f t="shared" si="3"/>
        <v>5</v>
      </c>
      <c r="L38" s="1">
        <v>1.33</v>
      </c>
      <c r="M38" s="1">
        <v>0</v>
      </c>
      <c r="N38" s="5">
        <v>2</v>
      </c>
      <c r="O38" s="1"/>
      <c r="P38" s="1">
        <v>0.92</v>
      </c>
      <c r="Q38" s="1">
        <v>0.17</v>
      </c>
      <c r="R38" s="5">
        <f t="shared" si="4"/>
        <v>0.24533333333333335</v>
      </c>
      <c r="S38" s="5">
        <f t="shared" si="5"/>
        <v>-7.5333333333333335E-2</v>
      </c>
      <c r="T38" s="5">
        <v>2</v>
      </c>
      <c r="U38" s="1"/>
      <c r="V38" s="1">
        <v>1.29</v>
      </c>
      <c r="W38" s="1">
        <v>0</v>
      </c>
      <c r="X38" s="17">
        <f t="shared" si="9"/>
        <v>1</v>
      </c>
      <c r="Y38" s="1">
        <v>0</v>
      </c>
      <c r="Z38" s="20">
        <v>2333.96</v>
      </c>
      <c r="AA38" s="2">
        <v>109.83</v>
      </c>
      <c r="AB38" s="1">
        <v>0</v>
      </c>
      <c r="AC38" s="1">
        <v>0</v>
      </c>
      <c r="AD38" s="1">
        <v>14</v>
      </c>
      <c r="AE38" s="1">
        <v>4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5</v>
      </c>
      <c r="AW38" s="1">
        <v>7</v>
      </c>
      <c r="AX38" s="1">
        <v>2</v>
      </c>
      <c r="AY38" s="1">
        <v>1</v>
      </c>
      <c r="AZ38" s="1">
        <v>2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12</v>
      </c>
      <c r="BI38" s="1">
        <v>7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</row>
    <row r="39" spans="1:67" x14ac:dyDescent="0.2">
      <c r="A39" s="1">
        <v>47026</v>
      </c>
      <c r="B39" s="1" t="s">
        <v>120</v>
      </c>
      <c r="C39" s="1">
        <v>12</v>
      </c>
      <c r="D39" s="1">
        <v>677</v>
      </c>
      <c r="E39" s="1" t="s">
        <v>64</v>
      </c>
      <c r="F39" s="1">
        <v>999</v>
      </c>
      <c r="G39" s="1" t="s">
        <v>67</v>
      </c>
      <c r="H39" s="2">
        <v>48.56</v>
      </c>
      <c r="I39" s="2">
        <v>582.72</v>
      </c>
      <c r="J39" s="14">
        <f t="shared" si="2"/>
        <v>0</v>
      </c>
      <c r="K39" s="15">
        <f t="shared" si="3"/>
        <v>0</v>
      </c>
      <c r="L39" s="1">
        <v>0</v>
      </c>
      <c r="M39" s="1">
        <v>0</v>
      </c>
      <c r="N39" s="17">
        <f t="shared" ref="N39:N40" si="10">MAX(0,(TRUNC((L39*0.8)-M39)))</f>
        <v>0</v>
      </c>
      <c r="O39" s="1" t="s">
        <v>198</v>
      </c>
      <c r="P39" s="1">
        <v>3.71</v>
      </c>
      <c r="Q39" s="1">
        <v>6.33</v>
      </c>
      <c r="R39" s="5">
        <f t="shared" si="4"/>
        <v>0.98933333333333329</v>
      </c>
      <c r="S39" s="5">
        <f t="shared" si="5"/>
        <v>5.3406666666666665</v>
      </c>
      <c r="T39" s="5">
        <v>0</v>
      </c>
      <c r="U39" s="1"/>
      <c r="V39" s="1">
        <v>0</v>
      </c>
      <c r="W39" s="1">
        <v>0</v>
      </c>
      <c r="X39" s="17">
        <f t="shared" si="9"/>
        <v>0</v>
      </c>
      <c r="Y39" s="1" t="s">
        <v>198</v>
      </c>
      <c r="Z39" s="20">
        <v>2160.92</v>
      </c>
      <c r="AA39" s="2">
        <v>3690.56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33</v>
      </c>
      <c r="AW39" s="1">
        <v>23</v>
      </c>
      <c r="AX39" s="1">
        <v>0</v>
      </c>
      <c r="AY39" s="1">
        <v>0</v>
      </c>
      <c r="AZ39" s="1">
        <v>76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</row>
    <row r="40" spans="1:67" x14ac:dyDescent="0.2">
      <c r="A40" s="1">
        <v>48058</v>
      </c>
      <c r="B40" s="1" t="s">
        <v>116</v>
      </c>
      <c r="C40" s="1">
        <v>12</v>
      </c>
      <c r="D40" s="1">
        <v>677</v>
      </c>
      <c r="E40" s="1" t="s">
        <v>64</v>
      </c>
      <c r="F40" s="1">
        <v>690</v>
      </c>
      <c r="G40" s="1" t="s">
        <v>101</v>
      </c>
      <c r="H40" s="2">
        <v>54.916699999999999</v>
      </c>
      <c r="I40" s="2">
        <v>659.00040000000001</v>
      </c>
      <c r="J40" s="14">
        <f t="shared" si="2"/>
        <v>1977.0012000000002</v>
      </c>
      <c r="K40" s="15">
        <f t="shared" si="3"/>
        <v>3</v>
      </c>
      <c r="L40" s="1">
        <v>0.67</v>
      </c>
      <c r="M40" s="1">
        <v>0.33</v>
      </c>
      <c r="N40" s="17">
        <f t="shared" si="10"/>
        <v>0</v>
      </c>
      <c r="O40" s="1"/>
      <c r="P40" s="1">
        <v>0.71</v>
      </c>
      <c r="Q40" s="1">
        <v>0</v>
      </c>
      <c r="R40" s="5">
        <f t="shared" si="4"/>
        <v>0.18933333333333333</v>
      </c>
      <c r="S40" s="5">
        <f t="shared" si="5"/>
        <v>-0.18933333333333333</v>
      </c>
      <c r="T40" s="5">
        <v>2</v>
      </c>
      <c r="U40" s="1"/>
      <c r="V40" s="1">
        <v>1.54</v>
      </c>
      <c r="W40" s="1">
        <v>-0.17</v>
      </c>
      <c r="X40" s="17">
        <f t="shared" si="9"/>
        <v>1</v>
      </c>
      <c r="Y40" s="1">
        <v>0</v>
      </c>
      <c r="Z40" s="20">
        <v>1922.08</v>
      </c>
      <c r="AA40" s="2">
        <v>109.83</v>
      </c>
      <c r="AB40" s="1">
        <v>0</v>
      </c>
      <c r="AC40" s="1">
        <v>0</v>
      </c>
      <c r="AD40" s="1">
        <v>8</v>
      </c>
      <c r="AE40" s="1">
        <v>0</v>
      </c>
      <c r="AF40" s="1">
        <v>4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8</v>
      </c>
      <c r="AY40" s="1">
        <v>1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15</v>
      </c>
      <c r="BI40" s="1">
        <v>7</v>
      </c>
      <c r="BJ40" s="1">
        <v>-2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</row>
    <row r="41" spans="1:67" x14ac:dyDescent="0.2">
      <c r="A41" s="1">
        <v>48049</v>
      </c>
      <c r="B41" s="1" t="s">
        <v>124</v>
      </c>
      <c r="C41" s="1">
        <v>12</v>
      </c>
      <c r="D41" s="1">
        <v>677</v>
      </c>
      <c r="E41" s="1" t="s">
        <v>64</v>
      </c>
      <c r="F41" s="1">
        <v>690</v>
      </c>
      <c r="G41" s="1" t="s">
        <v>101</v>
      </c>
      <c r="H41" s="2">
        <v>54.916699999999999</v>
      </c>
      <c r="I41" s="2">
        <v>659.00040000000001</v>
      </c>
      <c r="J41" s="14">
        <f t="shared" si="2"/>
        <v>1977.0012000000002</v>
      </c>
      <c r="K41" s="15">
        <f t="shared" si="3"/>
        <v>3</v>
      </c>
      <c r="L41" s="1">
        <v>0.67</v>
      </c>
      <c r="M41" s="1">
        <v>0</v>
      </c>
      <c r="N41" s="5">
        <v>1</v>
      </c>
      <c r="O41" s="1"/>
      <c r="P41" s="1">
        <v>1</v>
      </c>
      <c r="Q41" s="1">
        <v>0</v>
      </c>
      <c r="R41" s="5">
        <f t="shared" si="4"/>
        <v>0.26666666666666666</v>
      </c>
      <c r="S41" s="5">
        <f t="shared" si="5"/>
        <v>-0.26666666666666666</v>
      </c>
      <c r="T41" s="5">
        <v>2</v>
      </c>
      <c r="U41" s="1"/>
      <c r="V41" s="1">
        <v>1.1200000000000001</v>
      </c>
      <c r="W41" s="1">
        <v>0</v>
      </c>
      <c r="X41" s="17">
        <f t="shared" si="9"/>
        <v>0</v>
      </c>
      <c r="Y41" s="1">
        <v>0</v>
      </c>
      <c r="Z41" s="20">
        <v>1839.71</v>
      </c>
      <c r="AA41" s="2">
        <v>0</v>
      </c>
      <c r="AB41" s="1">
        <v>0</v>
      </c>
      <c r="AC41" s="1">
        <v>0</v>
      </c>
      <c r="AD41" s="1">
        <v>8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8</v>
      </c>
      <c r="AY41" s="1">
        <v>8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10</v>
      </c>
      <c r="BI41" s="1">
        <v>7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</row>
    <row r="42" spans="1:67" x14ac:dyDescent="0.2">
      <c r="A42" s="1">
        <v>48056</v>
      </c>
      <c r="B42" s="1" t="s">
        <v>134</v>
      </c>
      <c r="C42" s="1">
        <v>12</v>
      </c>
      <c r="D42" s="1">
        <v>677</v>
      </c>
      <c r="E42" s="1" t="s">
        <v>64</v>
      </c>
      <c r="F42" s="1">
        <v>690</v>
      </c>
      <c r="G42" s="1" t="s">
        <v>101</v>
      </c>
      <c r="H42" s="2">
        <v>54.916699999999999</v>
      </c>
      <c r="I42" s="2">
        <v>659.00040000000001</v>
      </c>
      <c r="J42" s="14">
        <f t="shared" si="2"/>
        <v>1977.0012000000002</v>
      </c>
      <c r="K42" s="15">
        <f t="shared" si="3"/>
        <v>3</v>
      </c>
      <c r="L42" s="1">
        <v>1.04</v>
      </c>
      <c r="M42" s="1">
        <v>0</v>
      </c>
      <c r="N42" s="5">
        <v>1</v>
      </c>
      <c r="O42" s="1"/>
      <c r="P42" s="1">
        <v>0.75</v>
      </c>
      <c r="Q42" s="1">
        <v>0</v>
      </c>
      <c r="R42" s="5">
        <f t="shared" si="4"/>
        <v>0.2</v>
      </c>
      <c r="S42" s="5">
        <f t="shared" si="5"/>
        <v>-0.2</v>
      </c>
      <c r="T42" s="5">
        <v>2</v>
      </c>
      <c r="U42" s="1"/>
      <c r="V42" s="1">
        <v>0.96</v>
      </c>
      <c r="W42" s="1">
        <v>0</v>
      </c>
      <c r="X42" s="17">
        <f t="shared" si="9"/>
        <v>0</v>
      </c>
      <c r="Y42" s="1">
        <v>0</v>
      </c>
      <c r="Z42" s="20">
        <v>1812.25</v>
      </c>
      <c r="AA42" s="2">
        <v>0</v>
      </c>
      <c r="AB42" s="1">
        <v>0</v>
      </c>
      <c r="AC42" s="1">
        <v>0</v>
      </c>
      <c r="AD42" s="1">
        <v>11</v>
      </c>
      <c r="AE42" s="1">
        <v>3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8</v>
      </c>
      <c r="AY42" s="1">
        <v>2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9</v>
      </c>
      <c r="BI42" s="1">
        <v>5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</row>
    <row r="43" spans="1:67" x14ac:dyDescent="0.2">
      <c r="A43" s="1">
        <v>47210</v>
      </c>
      <c r="B43" s="1" t="s">
        <v>127</v>
      </c>
      <c r="C43" s="1">
        <v>12</v>
      </c>
      <c r="D43" s="1">
        <v>677</v>
      </c>
      <c r="E43" s="1" t="s">
        <v>64</v>
      </c>
      <c r="F43" s="1">
        <v>61</v>
      </c>
      <c r="G43" s="1" t="s">
        <v>66</v>
      </c>
      <c r="H43" s="2">
        <v>48.1554</v>
      </c>
      <c r="I43" s="2">
        <v>577.86479999999995</v>
      </c>
      <c r="J43" s="14">
        <f t="shared" si="2"/>
        <v>0</v>
      </c>
      <c r="K43" s="15">
        <f t="shared" si="3"/>
        <v>0</v>
      </c>
      <c r="L43" s="1">
        <v>0.21</v>
      </c>
      <c r="M43" s="1">
        <v>0</v>
      </c>
      <c r="N43" s="17">
        <f>MAX(0,(TRUNC((L43*0.8)-M43)))</f>
        <v>0</v>
      </c>
      <c r="O43" s="1"/>
      <c r="P43" s="1">
        <v>1.96</v>
      </c>
      <c r="Q43" s="1">
        <v>3.42</v>
      </c>
      <c r="R43" s="5">
        <f t="shared" si="4"/>
        <v>0.52266666666666661</v>
      </c>
      <c r="S43" s="5">
        <f t="shared" si="5"/>
        <v>2.8973333333333331</v>
      </c>
      <c r="T43" s="5">
        <v>0</v>
      </c>
      <c r="U43" s="1"/>
      <c r="V43" s="1">
        <v>0</v>
      </c>
      <c r="W43" s="1">
        <v>0</v>
      </c>
      <c r="X43" s="17">
        <f t="shared" si="9"/>
        <v>0</v>
      </c>
      <c r="Y43" s="1">
        <v>0</v>
      </c>
      <c r="Z43" s="20">
        <v>1252.04</v>
      </c>
      <c r="AA43" s="2">
        <v>1974.37</v>
      </c>
      <c r="AB43" s="1">
        <v>0</v>
      </c>
      <c r="AC43" s="1">
        <v>0</v>
      </c>
      <c r="AD43" s="1">
        <v>2</v>
      </c>
      <c r="AE43" s="1">
        <v>1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18</v>
      </c>
      <c r="AW43" s="1">
        <v>1</v>
      </c>
      <c r="AX43" s="1">
        <v>5</v>
      </c>
      <c r="AY43" s="1">
        <v>0</v>
      </c>
      <c r="AZ43" s="1">
        <v>41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</row>
    <row r="44" spans="1:67" x14ac:dyDescent="0.2">
      <c r="A44" s="1">
        <v>560</v>
      </c>
      <c r="B44" s="1" t="s">
        <v>133</v>
      </c>
      <c r="C44" s="1">
        <v>96</v>
      </c>
      <c r="D44" s="1">
        <v>677</v>
      </c>
      <c r="E44" s="1" t="s">
        <v>64</v>
      </c>
      <c r="F44" s="1">
        <v>690</v>
      </c>
      <c r="G44" s="1" t="s">
        <v>101</v>
      </c>
      <c r="H44" s="2">
        <v>6.8646000000000003</v>
      </c>
      <c r="I44" s="2">
        <v>659.00160000000005</v>
      </c>
      <c r="J44" s="14">
        <f t="shared" si="2"/>
        <v>0</v>
      </c>
      <c r="K44" s="4">
        <v>0</v>
      </c>
      <c r="L44" s="1">
        <v>0.61</v>
      </c>
      <c r="M44" s="1">
        <v>-0.76</v>
      </c>
      <c r="N44" s="5">
        <v>0</v>
      </c>
      <c r="O44" s="1"/>
      <c r="P44" s="1">
        <v>0</v>
      </c>
      <c r="Q44" s="1">
        <v>0</v>
      </c>
      <c r="R44" s="5">
        <f t="shared" si="4"/>
        <v>0</v>
      </c>
      <c r="S44" s="5">
        <f t="shared" si="5"/>
        <v>0</v>
      </c>
      <c r="T44" s="5">
        <v>0</v>
      </c>
      <c r="U44" s="1"/>
      <c r="V44" s="1">
        <v>0</v>
      </c>
      <c r="W44" s="1">
        <v>0</v>
      </c>
      <c r="X44" s="17">
        <f t="shared" si="9"/>
        <v>0</v>
      </c>
      <c r="Y44" s="1">
        <v>0</v>
      </c>
      <c r="Z44" s="20">
        <v>405.01</v>
      </c>
      <c r="AA44" s="2">
        <v>-501.12</v>
      </c>
      <c r="AB44" s="1">
        <v>0</v>
      </c>
      <c r="AC44" s="1">
        <v>0</v>
      </c>
      <c r="AD44" s="1">
        <v>46</v>
      </c>
      <c r="AE44" s="1">
        <v>26</v>
      </c>
      <c r="AF44" s="1">
        <v>-73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</row>
    <row r="45" spans="1:67" x14ac:dyDescent="0.2">
      <c r="A45" s="1">
        <v>561</v>
      </c>
      <c r="B45" s="1" t="s">
        <v>132</v>
      </c>
      <c r="C45" s="1">
        <v>96</v>
      </c>
      <c r="D45" s="1">
        <v>677</v>
      </c>
      <c r="E45" s="1" t="s">
        <v>64</v>
      </c>
      <c r="F45" s="1">
        <v>690</v>
      </c>
      <c r="G45" s="1" t="s">
        <v>101</v>
      </c>
      <c r="H45" s="2">
        <v>6.8646000000000003</v>
      </c>
      <c r="I45" s="2">
        <v>659.00160000000005</v>
      </c>
      <c r="J45" s="14">
        <f t="shared" si="2"/>
        <v>0</v>
      </c>
      <c r="K45" s="4">
        <v>0</v>
      </c>
      <c r="L45" s="1">
        <v>0.53</v>
      </c>
      <c r="M45" s="1">
        <v>-1.21</v>
      </c>
      <c r="N45" s="5">
        <v>0</v>
      </c>
      <c r="O45" s="1"/>
      <c r="P45" s="1">
        <v>0</v>
      </c>
      <c r="Q45" s="1">
        <v>0</v>
      </c>
      <c r="R45" s="5">
        <f t="shared" si="4"/>
        <v>0</v>
      </c>
      <c r="S45" s="5">
        <f t="shared" si="5"/>
        <v>0</v>
      </c>
      <c r="T45" s="5">
        <v>0</v>
      </c>
      <c r="U45" s="1"/>
      <c r="V45" s="1">
        <v>0.04</v>
      </c>
      <c r="W45" s="1">
        <v>0.06</v>
      </c>
      <c r="X45" s="17">
        <f t="shared" si="9"/>
        <v>0</v>
      </c>
      <c r="Y45" s="1">
        <v>0</v>
      </c>
      <c r="Z45" s="20">
        <v>377.55</v>
      </c>
      <c r="AA45" s="2">
        <v>-755.11</v>
      </c>
      <c r="AB45" s="1">
        <v>8</v>
      </c>
      <c r="AC45" s="1">
        <v>19</v>
      </c>
      <c r="AD45" s="1">
        <v>19</v>
      </c>
      <c r="AE45" s="1">
        <v>29</v>
      </c>
      <c r="AF45" s="1">
        <v>-116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4</v>
      </c>
      <c r="BG45" s="1">
        <v>0</v>
      </c>
      <c r="BH45" s="1">
        <v>0</v>
      </c>
      <c r="BI45" s="1">
        <v>0</v>
      </c>
      <c r="BJ45" s="1">
        <v>6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</row>
    <row r="46" spans="1:67" x14ac:dyDescent="0.2">
      <c r="A46" s="1">
        <v>564</v>
      </c>
      <c r="B46" s="1" t="s">
        <v>136</v>
      </c>
      <c r="C46" s="1">
        <v>96</v>
      </c>
      <c r="D46" s="1">
        <v>677</v>
      </c>
      <c r="E46" s="1" t="s">
        <v>64</v>
      </c>
      <c r="F46" s="1">
        <v>690</v>
      </c>
      <c r="G46" s="1" t="s">
        <v>101</v>
      </c>
      <c r="H46" s="2">
        <v>6.8646000000000003</v>
      </c>
      <c r="I46" s="2">
        <v>659.00160000000005</v>
      </c>
      <c r="J46" s="14">
        <f t="shared" si="2"/>
        <v>0</v>
      </c>
      <c r="K46" s="4">
        <v>0</v>
      </c>
      <c r="L46" s="1">
        <v>0.53</v>
      </c>
      <c r="M46" s="1">
        <v>-1.19</v>
      </c>
      <c r="N46" s="5">
        <v>0</v>
      </c>
      <c r="O46" s="1"/>
      <c r="P46" s="1">
        <v>0</v>
      </c>
      <c r="Q46" s="1">
        <v>0</v>
      </c>
      <c r="R46" s="5">
        <f t="shared" si="4"/>
        <v>0</v>
      </c>
      <c r="S46" s="5">
        <f t="shared" si="5"/>
        <v>0</v>
      </c>
      <c r="T46" s="5">
        <v>0</v>
      </c>
      <c r="U46" s="1"/>
      <c r="V46" s="1">
        <v>0.01</v>
      </c>
      <c r="W46" s="1">
        <v>0.11</v>
      </c>
      <c r="X46" s="17">
        <f t="shared" si="9"/>
        <v>0</v>
      </c>
      <c r="Y46" s="1">
        <v>0</v>
      </c>
      <c r="Z46" s="20">
        <v>356.96</v>
      </c>
      <c r="AA46" s="2">
        <v>-707.05</v>
      </c>
      <c r="AB46" s="1">
        <v>0</v>
      </c>
      <c r="AC46" s="1">
        <v>38</v>
      </c>
      <c r="AD46" s="1">
        <v>20</v>
      </c>
      <c r="AE46" s="1">
        <v>24</v>
      </c>
      <c r="AF46" s="1">
        <v>-114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1</v>
      </c>
      <c r="BI46" s="1">
        <v>0</v>
      </c>
      <c r="BJ46" s="1">
        <v>11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</row>
    <row r="47" spans="1:67" x14ac:dyDescent="0.2">
      <c r="A47" s="1">
        <v>562</v>
      </c>
      <c r="B47" s="1" t="s">
        <v>131</v>
      </c>
      <c r="C47" s="1">
        <v>96</v>
      </c>
      <c r="D47" s="1">
        <v>677</v>
      </c>
      <c r="E47" s="1" t="s">
        <v>64</v>
      </c>
      <c r="F47" s="1">
        <v>690</v>
      </c>
      <c r="G47" s="1" t="s">
        <v>101</v>
      </c>
      <c r="H47" s="2">
        <v>6.8646000000000003</v>
      </c>
      <c r="I47" s="2">
        <v>659.00160000000005</v>
      </c>
      <c r="J47" s="14">
        <f t="shared" si="2"/>
        <v>0</v>
      </c>
      <c r="K47" s="4">
        <v>0</v>
      </c>
      <c r="L47" s="1">
        <v>0.49</v>
      </c>
      <c r="M47" s="1">
        <v>-1.08</v>
      </c>
      <c r="N47" s="5">
        <v>0</v>
      </c>
      <c r="O47" s="1"/>
      <c r="P47" s="1">
        <v>0</v>
      </c>
      <c r="Q47" s="1">
        <v>0</v>
      </c>
      <c r="R47" s="5">
        <f t="shared" si="4"/>
        <v>0</v>
      </c>
      <c r="S47" s="5">
        <f t="shared" si="5"/>
        <v>0</v>
      </c>
      <c r="T47" s="5">
        <v>0</v>
      </c>
      <c r="U47" s="1"/>
      <c r="V47" s="1">
        <v>0</v>
      </c>
      <c r="W47" s="1">
        <v>-0.03</v>
      </c>
      <c r="X47" s="17">
        <f t="shared" si="9"/>
        <v>0</v>
      </c>
      <c r="Y47" s="1">
        <v>0</v>
      </c>
      <c r="Z47" s="20">
        <v>326.07</v>
      </c>
      <c r="AA47" s="2">
        <v>-734.51</v>
      </c>
      <c r="AB47" s="1">
        <v>9</v>
      </c>
      <c r="AC47" s="1">
        <v>35</v>
      </c>
      <c r="AD47" s="1">
        <v>17</v>
      </c>
      <c r="AE47" s="1">
        <v>8</v>
      </c>
      <c r="AF47" s="1">
        <v>-104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-3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</row>
    <row r="48" spans="1:67" x14ac:dyDescent="0.2">
      <c r="A48" s="1">
        <v>565</v>
      </c>
      <c r="B48" s="1" t="s">
        <v>137</v>
      </c>
      <c r="C48" s="1">
        <v>96</v>
      </c>
      <c r="D48" s="1">
        <v>677</v>
      </c>
      <c r="E48" s="1" t="s">
        <v>64</v>
      </c>
      <c r="F48" s="1">
        <v>690</v>
      </c>
      <c r="G48" s="1" t="s">
        <v>101</v>
      </c>
      <c r="H48" s="2">
        <v>6.8646000000000003</v>
      </c>
      <c r="I48" s="2">
        <v>659.00160000000005</v>
      </c>
      <c r="J48" s="14">
        <f t="shared" si="2"/>
        <v>0</v>
      </c>
      <c r="K48" s="4">
        <v>0</v>
      </c>
      <c r="L48" s="1">
        <v>0.35</v>
      </c>
      <c r="M48" s="1">
        <v>-0.76</v>
      </c>
      <c r="N48" s="5">
        <v>0</v>
      </c>
      <c r="O48" s="1"/>
      <c r="P48" s="1">
        <v>0</v>
      </c>
      <c r="Q48" s="1">
        <v>0</v>
      </c>
      <c r="R48" s="5">
        <f t="shared" si="4"/>
        <v>0</v>
      </c>
      <c r="S48" s="5">
        <f t="shared" si="5"/>
        <v>0</v>
      </c>
      <c r="T48" s="5">
        <v>0</v>
      </c>
      <c r="U48" s="1"/>
      <c r="V48" s="1">
        <v>0.06</v>
      </c>
      <c r="W48" s="1">
        <v>-0.01</v>
      </c>
      <c r="X48" s="17">
        <f t="shared" si="9"/>
        <v>0</v>
      </c>
      <c r="Y48" s="1">
        <v>0</v>
      </c>
      <c r="Z48" s="20">
        <v>271.14999999999998</v>
      </c>
      <c r="AA48" s="2">
        <v>-507.98</v>
      </c>
      <c r="AB48" s="1">
        <v>0</v>
      </c>
      <c r="AC48" s="1">
        <v>9</v>
      </c>
      <c r="AD48" s="1">
        <v>19</v>
      </c>
      <c r="AE48" s="1">
        <v>21</v>
      </c>
      <c r="AF48" s="1">
        <v>-73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5</v>
      </c>
      <c r="BG48" s="1">
        <v>1</v>
      </c>
      <c r="BH48" s="1">
        <v>0</v>
      </c>
      <c r="BI48" s="1">
        <v>0</v>
      </c>
      <c r="BJ48" s="1">
        <v>-1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</row>
    <row r="49" spans="1:67" x14ac:dyDescent="0.2">
      <c r="A49" s="1">
        <v>567</v>
      </c>
      <c r="B49" s="1" t="s">
        <v>135</v>
      </c>
      <c r="C49" s="1">
        <v>96</v>
      </c>
      <c r="D49" s="1">
        <v>677</v>
      </c>
      <c r="E49" s="1" t="s">
        <v>64</v>
      </c>
      <c r="F49" s="1">
        <v>690</v>
      </c>
      <c r="G49" s="1" t="s">
        <v>101</v>
      </c>
      <c r="H49" s="2">
        <v>6.8646000000000003</v>
      </c>
      <c r="I49" s="2">
        <v>659.00160000000005</v>
      </c>
      <c r="J49" s="14">
        <f t="shared" si="2"/>
        <v>0</v>
      </c>
      <c r="K49" s="4">
        <v>0</v>
      </c>
      <c r="L49" s="1">
        <v>0.39</v>
      </c>
      <c r="M49" s="1">
        <v>-0.4</v>
      </c>
      <c r="N49" s="5">
        <v>0</v>
      </c>
      <c r="O49" s="1"/>
      <c r="P49" s="1">
        <v>0</v>
      </c>
      <c r="Q49" s="1">
        <v>0</v>
      </c>
      <c r="R49" s="5">
        <f t="shared" si="4"/>
        <v>0</v>
      </c>
      <c r="S49" s="5">
        <f t="shared" si="5"/>
        <v>0</v>
      </c>
      <c r="T49" s="5">
        <v>0</v>
      </c>
      <c r="U49" s="1"/>
      <c r="V49" s="1">
        <v>0.02</v>
      </c>
      <c r="W49" s="1">
        <v>0.01</v>
      </c>
      <c r="X49" s="17">
        <f t="shared" si="9"/>
        <v>0</v>
      </c>
      <c r="Y49" s="1">
        <v>0</v>
      </c>
      <c r="Z49" s="20">
        <v>267.72000000000003</v>
      </c>
      <c r="AA49" s="2">
        <v>-253.99</v>
      </c>
      <c r="AB49" s="1">
        <v>0</v>
      </c>
      <c r="AC49" s="1">
        <v>6</v>
      </c>
      <c r="AD49" s="1">
        <v>27</v>
      </c>
      <c r="AE49" s="1">
        <v>14</v>
      </c>
      <c r="AF49" s="1">
        <v>-38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2</v>
      </c>
      <c r="BI49" s="1">
        <v>0</v>
      </c>
      <c r="BJ49" s="1">
        <v>1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</row>
    <row r="50" spans="1:67" x14ac:dyDescent="0.2">
      <c r="A50" s="1">
        <v>519</v>
      </c>
      <c r="B50" s="1" t="s">
        <v>143</v>
      </c>
      <c r="C50" s="1">
        <v>96</v>
      </c>
      <c r="D50" s="1">
        <v>677</v>
      </c>
      <c r="E50" s="1" t="s">
        <v>64</v>
      </c>
      <c r="F50" s="1">
        <v>690</v>
      </c>
      <c r="G50" s="1" t="s">
        <v>101</v>
      </c>
      <c r="H50" s="2">
        <v>6.8646000000000003</v>
      </c>
      <c r="I50" s="2">
        <v>659.00160000000005</v>
      </c>
      <c r="J50" s="14">
        <f t="shared" si="2"/>
        <v>0</v>
      </c>
      <c r="K50" s="15">
        <f t="shared" ref="K50:K93" si="11">SUM(N50+T50+X50)</f>
        <v>0</v>
      </c>
      <c r="L50" s="1">
        <v>0.27</v>
      </c>
      <c r="M50" s="1">
        <v>-0.6</v>
      </c>
      <c r="N50" s="17">
        <f t="shared" ref="N50:N93" si="12">MAX(0,(TRUNC((L50*0.8)-M50)))</f>
        <v>0</v>
      </c>
      <c r="O50" s="1"/>
      <c r="P50" s="1">
        <v>0</v>
      </c>
      <c r="Q50" s="1">
        <v>0</v>
      </c>
      <c r="R50" s="5">
        <f t="shared" si="4"/>
        <v>0</v>
      </c>
      <c r="S50" s="5">
        <f t="shared" si="5"/>
        <v>0</v>
      </c>
      <c r="T50" s="5">
        <v>0</v>
      </c>
      <c r="U50" s="1"/>
      <c r="V50" s="1">
        <v>0</v>
      </c>
      <c r="W50" s="1">
        <v>0</v>
      </c>
      <c r="X50" s="17">
        <f t="shared" si="9"/>
        <v>0</v>
      </c>
      <c r="Y50" s="1">
        <v>0</v>
      </c>
      <c r="Z50" s="20">
        <v>175.05</v>
      </c>
      <c r="AA50" s="2">
        <v>-398.15</v>
      </c>
      <c r="AB50" s="1">
        <v>0</v>
      </c>
      <c r="AC50" s="1">
        <v>28</v>
      </c>
      <c r="AD50" s="1">
        <v>9</v>
      </c>
      <c r="AE50" s="1">
        <v>5</v>
      </c>
      <c r="AF50" s="1">
        <v>-58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</row>
    <row r="51" spans="1:67" x14ac:dyDescent="0.2">
      <c r="A51" s="1">
        <v>566</v>
      </c>
      <c r="B51" s="1" t="s">
        <v>140</v>
      </c>
      <c r="C51" s="1">
        <v>96</v>
      </c>
      <c r="D51" s="1">
        <v>677</v>
      </c>
      <c r="E51" s="1" t="s">
        <v>64</v>
      </c>
      <c r="F51" s="1">
        <v>690</v>
      </c>
      <c r="G51" s="1" t="s">
        <v>101</v>
      </c>
      <c r="H51" s="2">
        <v>6.8646000000000003</v>
      </c>
      <c r="I51" s="2">
        <v>659.00160000000005</v>
      </c>
      <c r="J51" s="14">
        <f t="shared" si="2"/>
        <v>0</v>
      </c>
      <c r="K51" s="15">
        <f t="shared" si="11"/>
        <v>0</v>
      </c>
      <c r="L51" s="1">
        <v>0.2</v>
      </c>
      <c r="M51" s="1">
        <v>-0.38</v>
      </c>
      <c r="N51" s="17">
        <f t="shared" si="12"/>
        <v>0</v>
      </c>
      <c r="O51" s="1"/>
      <c r="P51" s="1">
        <v>0</v>
      </c>
      <c r="Q51" s="1">
        <v>0</v>
      </c>
      <c r="R51" s="5">
        <f t="shared" si="4"/>
        <v>0</v>
      </c>
      <c r="S51" s="5">
        <f t="shared" si="5"/>
        <v>0</v>
      </c>
      <c r="T51" s="17">
        <f>P51-Q51</f>
        <v>0</v>
      </c>
      <c r="U51" s="1"/>
      <c r="V51" s="1">
        <v>0</v>
      </c>
      <c r="W51" s="1">
        <v>0</v>
      </c>
      <c r="X51" s="17">
        <f t="shared" si="9"/>
        <v>0</v>
      </c>
      <c r="Y51" s="1">
        <v>0</v>
      </c>
      <c r="Z51" s="20">
        <v>133.86000000000001</v>
      </c>
      <c r="AA51" s="2">
        <v>-247.13</v>
      </c>
      <c r="AB51" s="1">
        <v>0</v>
      </c>
      <c r="AC51" s="1">
        <v>0</v>
      </c>
      <c r="AD51" s="1">
        <v>16</v>
      </c>
      <c r="AE51" s="1">
        <v>7</v>
      </c>
      <c r="AF51" s="1">
        <v>-36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</row>
    <row r="52" spans="1:67" x14ac:dyDescent="0.2">
      <c r="A52" s="1">
        <v>509</v>
      </c>
      <c r="B52" s="1" t="s">
        <v>141</v>
      </c>
      <c r="C52" s="1">
        <v>96</v>
      </c>
      <c r="D52" s="1">
        <v>677</v>
      </c>
      <c r="E52" s="1" t="s">
        <v>64</v>
      </c>
      <c r="F52" s="1">
        <v>690</v>
      </c>
      <c r="G52" s="1" t="s">
        <v>101</v>
      </c>
      <c r="H52" s="2">
        <v>6.8646000000000003</v>
      </c>
      <c r="I52" s="2">
        <v>659.00160000000005</v>
      </c>
      <c r="J52" s="14">
        <f t="shared" si="2"/>
        <v>0</v>
      </c>
      <c r="K52" s="15">
        <f t="shared" si="11"/>
        <v>0</v>
      </c>
      <c r="L52" s="1">
        <v>0.11</v>
      </c>
      <c r="M52" s="1">
        <v>0</v>
      </c>
      <c r="N52" s="17">
        <f t="shared" si="12"/>
        <v>0</v>
      </c>
      <c r="O52" s="1"/>
      <c r="P52" s="1">
        <v>0</v>
      </c>
      <c r="Q52" s="1">
        <v>0</v>
      </c>
      <c r="R52" s="5">
        <f t="shared" si="4"/>
        <v>0</v>
      </c>
      <c r="S52" s="5">
        <f t="shared" si="5"/>
        <v>0</v>
      </c>
      <c r="T52" s="17"/>
      <c r="U52" s="1"/>
      <c r="V52" s="1">
        <v>0</v>
      </c>
      <c r="W52" s="1">
        <v>0</v>
      </c>
      <c r="X52" s="17">
        <f t="shared" si="9"/>
        <v>0</v>
      </c>
      <c r="Y52" s="1">
        <v>0</v>
      </c>
      <c r="Z52" s="20">
        <v>75.510000000000005</v>
      </c>
      <c r="AA52" s="2">
        <v>0</v>
      </c>
      <c r="AB52" s="1">
        <v>0</v>
      </c>
      <c r="AC52" s="1">
        <v>0</v>
      </c>
      <c r="AD52" s="1">
        <v>5</v>
      </c>
      <c r="AE52" s="1">
        <v>12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</row>
    <row r="53" spans="1:67" x14ac:dyDescent="0.2">
      <c r="A53" s="1">
        <v>510</v>
      </c>
      <c r="B53" s="1" t="s">
        <v>146</v>
      </c>
      <c r="C53" s="1">
        <v>96</v>
      </c>
      <c r="D53" s="1">
        <v>677</v>
      </c>
      <c r="E53" s="1" t="s">
        <v>64</v>
      </c>
      <c r="F53" s="1">
        <v>690</v>
      </c>
      <c r="G53" s="1" t="s">
        <v>101</v>
      </c>
      <c r="H53" s="2">
        <v>6.8646000000000003</v>
      </c>
      <c r="I53" s="2">
        <v>659.00160000000005</v>
      </c>
      <c r="J53" s="14">
        <f t="shared" si="2"/>
        <v>0</v>
      </c>
      <c r="K53" s="15">
        <f t="shared" si="11"/>
        <v>0</v>
      </c>
      <c r="L53" s="1">
        <v>0.11</v>
      </c>
      <c r="M53" s="1">
        <v>-0.42</v>
      </c>
      <c r="N53" s="17">
        <f t="shared" si="12"/>
        <v>0</v>
      </c>
      <c r="O53" s="1"/>
      <c r="P53" s="1">
        <v>0</v>
      </c>
      <c r="Q53" s="1">
        <v>0</v>
      </c>
      <c r="R53" s="5">
        <f t="shared" si="4"/>
        <v>0</v>
      </c>
      <c r="S53" s="5">
        <f t="shared" si="5"/>
        <v>0</v>
      </c>
      <c r="T53" s="17"/>
      <c r="U53" s="1"/>
      <c r="V53" s="1">
        <v>0</v>
      </c>
      <c r="W53" s="1">
        <v>0</v>
      </c>
      <c r="X53" s="17">
        <f t="shared" si="9"/>
        <v>0</v>
      </c>
      <c r="Y53" s="1">
        <v>0</v>
      </c>
      <c r="Z53" s="20">
        <v>72.08</v>
      </c>
      <c r="AA53" s="2">
        <v>-274.58</v>
      </c>
      <c r="AB53" s="1">
        <v>0</v>
      </c>
      <c r="AC53" s="1">
        <v>0</v>
      </c>
      <c r="AD53" s="1">
        <v>7</v>
      </c>
      <c r="AE53" s="1">
        <v>7</v>
      </c>
      <c r="AF53" s="1">
        <v>-40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</row>
    <row r="54" spans="1:67" x14ac:dyDescent="0.2">
      <c r="A54" s="1">
        <v>504</v>
      </c>
      <c r="B54" s="1" t="s">
        <v>138</v>
      </c>
      <c r="C54" s="1">
        <v>96</v>
      </c>
      <c r="D54" s="1">
        <v>677</v>
      </c>
      <c r="E54" s="1" t="s">
        <v>64</v>
      </c>
      <c r="F54" s="1">
        <v>690</v>
      </c>
      <c r="G54" s="1" t="s">
        <v>101</v>
      </c>
      <c r="H54" s="2">
        <v>6.8646000000000003</v>
      </c>
      <c r="I54" s="2">
        <v>659.00160000000005</v>
      </c>
      <c r="J54" s="14">
        <f t="shared" si="2"/>
        <v>0</v>
      </c>
      <c r="K54" s="15">
        <f t="shared" si="11"/>
        <v>0</v>
      </c>
      <c r="L54" s="1">
        <v>0.1</v>
      </c>
      <c r="M54" s="1">
        <v>-0.43</v>
      </c>
      <c r="N54" s="17">
        <f t="shared" si="12"/>
        <v>0</v>
      </c>
      <c r="O54" s="1"/>
      <c r="P54" s="1">
        <v>0</v>
      </c>
      <c r="Q54" s="1">
        <v>0</v>
      </c>
      <c r="R54" s="5">
        <f t="shared" si="4"/>
        <v>0</v>
      </c>
      <c r="S54" s="5">
        <f t="shared" si="5"/>
        <v>0</v>
      </c>
      <c r="T54" s="17"/>
      <c r="U54" s="1"/>
      <c r="V54" s="1">
        <v>0</v>
      </c>
      <c r="W54" s="1">
        <v>0</v>
      </c>
      <c r="X54" s="17">
        <f t="shared" si="9"/>
        <v>0</v>
      </c>
      <c r="Y54" s="1">
        <v>0</v>
      </c>
      <c r="Z54" s="20">
        <v>68.650000000000006</v>
      </c>
      <c r="AA54" s="2">
        <v>-281.45</v>
      </c>
      <c r="AB54" s="1">
        <v>0</v>
      </c>
      <c r="AC54" s="1">
        <v>0</v>
      </c>
      <c r="AD54" s="1">
        <v>10</v>
      </c>
      <c r="AE54" s="1">
        <v>0</v>
      </c>
      <c r="AF54" s="1">
        <v>-41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</row>
    <row r="55" spans="1:67" x14ac:dyDescent="0.2">
      <c r="A55" s="1">
        <v>48083</v>
      </c>
      <c r="B55" s="1" t="s">
        <v>142</v>
      </c>
      <c r="C55" s="1">
        <v>12</v>
      </c>
      <c r="D55" s="1">
        <v>677</v>
      </c>
      <c r="E55" s="1" t="s">
        <v>64</v>
      </c>
      <c r="F55" s="1">
        <v>690</v>
      </c>
      <c r="G55" s="1" t="s">
        <v>101</v>
      </c>
      <c r="H55" s="2">
        <v>54.916699999999999</v>
      </c>
      <c r="I55" s="2">
        <v>659.00040000000001</v>
      </c>
      <c r="J55" s="14">
        <f t="shared" si="2"/>
        <v>0</v>
      </c>
      <c r="K55" s="15">
        <f t="shared" si="11"/>
        <v>0</v>
      </c>
      <c r="L55" s="1">
        <v>0</v>
      </c>
      <c r="M55" s="1">
        <v>0</v>
      </c>
      <c r="N55" s="17">
        <f t="shared" si="12"/>
        <v>0</v>
      </c>
      <c r="O55" s="1"/>
      <c r="P55" s="1">
        <v>0</v>
      </c>
      <c r="Q55" s="1">
        <v>0</v>
      </c>
      <c r="R55" s="5">
        <f t="shared" si="4"/>
        <v>0</v>
      </c>
      <c r="S55" s="5">
        <f t="shared" si="5"/>
        <v>0</v>
      </c>
      <c r="T55" s="17"/>
      <c r="U55" s="1"/>
      <c r="V55" s="1">
        <v>0.08</v>
      </c>
      <c r="W55" s="1">
        <v>0</v>
      </c>
      <c r="X55" s="17">
        <f t="shared" si="9"/>
        <v>0</v>
      </c>
      <c r="Y55" s="1">
        <v>0</v>
      </c>
      <c r="Z55" s="20">
        <v>54.92</v>
      </c>
      <c r="AA55" s="2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1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</row>
    <row r="56" spans="1:67" x14ac:dyDescent="0.2">
      <c r="A56" s="1">
        <v>47025</v>
      </c>
      <c r="B56" s="1" t="s">
        <v>162</v>
      </c>
      <c r="C56" s="1">
        <v>24</v>
      </c>
      <c r="D56" s="1">
        <v>677</v>
      </c>
      <c r="E56" s="1" t="s">
        <v>64</v>
      </c>
      <c r="F56" s="1">
        <v>677</v>
      </c>
      <c r="G56" s="1" t="s">
        <v>84</v>
      </c>
      <c r="H56" s="2">
        <v>48.56</v>
      </c>
      <c r="I56" s="2">
        <v>1165.44</v>
      </c>
      <c r="J56" s="14">
        <f t="shared" si="2"/>
        <v>0</v>
      </c>
      <c r="K56" s="15">
        <f t="shared" si="11"/>
        <v>0</v>
      </c>
      <c r="L56" s="1">
        <v>0</v>
      </c>
      <c r="M56" s="1">
        <v>0</v>
      </c>
      <c r="N56" s="17">
        <f t="shared" si="12"/>
        <v>0</v>
      </c>
      <c r="O56" s="1"/>
      <c r="P56" s="1">
        <v>0.04</v>
      </c>
      <c r="Q56" s="1">
        <v>0</v>
      </c>
      <c r="R56" s="5">
        <f t="shared" si="4"/>
        <v>1.0666666666666666E-2</v>
      </c>
      <c r="S56" s="5">
        <f t="shared" si="5"/>
        <v>-1.0666666666666666E-2</v>
      </c>
      <c r="T56" s="17"/>
      <c r="U56" s="1"/>
      <c r="V56" s="1">
        <v>0</v>
      </c>
      <c r="W56" s="1">
        <v>0</v>
      </c>
      <c r="X56" s="17">
        <f t="shared" si="9"/>
        <v>0</v>
      </c>
      <c r="Y56" s="1">
        <v>0</v>
      </c>
      <c r="Z56" s="20">
        <v>48.56</v>
      </c>
      <c r="AA56" s="2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1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</row>
    <row r="57" spans="1:67" x14ac:dyDescent="0.2">
      <c r="A57" s="1">
        <v>501</v>
      </c>
      <c r="B57" s="1" t="s">
        <v>145</v>
      </c>
      <c r="C57" s="1">
        <v>96</v>
      </c>
      <c r="D57" s="1">
        <v>677</v>
      </c>
      <c r="E57" s="1" t="s">
        <v>64</v>
      </c>
      <c r="F57" s="1">
        <v>690</v>
      </c>
      <c r="G57" s="1" t="s">
        <v>101</v>
      </c>
      <c r="H57" s="2">
        <v>6.8646000000000003</v>
      </c>
      <c r="I57" s="2">
        <v>659.00160000000005</v>
      </c>
      <c r="J57" s="14">
        <f t="shared" si="2"/>
        <v>0</v>
      </c>
      <c r="K57" s="15">
        <f t="shared" si="11"/>
        <v>0</v>
      </c>
      <c r="L57" s="1">
        <v>7.0000000000000007E-2</v>
      </c>
      <c r="M57" s="1">
        <v>-0.65</v>
      </c>
      <c r="N57" s="17">
        <f t="shared" si="12"/>
        <v>0</v>
      </c>
      <c r="O57" s="1"/>
      <c r="P57" s="1">
        <v>0</v>
      </c>
      <c r="Q57" s="1">
        <v>0</v>
      </c>
      <c r="R57" s="5">
        <f t="shared" si="4"/>
        <v>0</v>
      </c>
      <c r="S57" s="5">
        <f t="shared" si="5"/>
        <v>0</v>
      </c>
      <c r="T57" s="17"/>
      <c r="U57" s="1"/>
      <c r="V57" s="1">
        <v>0</v>
      </c>
      <c r="W57" s="1">
        <v>0</v>
      </c>
      <c r="X57" s="17">
        <f t="shared" si="9"/>
        <v>0</v>
      </c>
      <c r="Y57" s="1">
        <v>0</v>
      </c>
      <c r="Z57" s="20">
        <v>48.05</v>
      </c>
      <c r="AA57" s="2">
        <v>-425.61</v>
      </c>
      <c r="AB57" s="1">
        <v>0</v>
      </c>
      <c r="AC57" s="1">
        <v>0</v>
      </c>
      <c r="AD57" s="1">
        <v>5</v>
      </c>
      <c r="AE57" s="1">
        <v>4</v>
      </c>
      <c r="AF57" s="1">
        <v>-62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</row>
    <row r="58" spans="1:67" x14ac:dyDescent="0.2">
      <c r="A58" s="1">
        <v>526</v>
      </c>
      <c r="B58" s="1" t="s">
        <v>144</v>
      </c>
      <c r="C58" s="1">
        <v>96</v>
      </c>
      <c r="D58" s="1">
        <v>677</v>
      </c>
      <c r="E58" s="1" t="s">
        <v>64</v>
      </c>
      <c r="F58" s="1">
        <v>690</v>
      </c>
      <c r="G58" s="1" t="s">
        <v>101</v>
      </c>
      <c r="H58" s="2">
        <v>6.8646000000000003</v>
      </c>
      <c r="I58" s="2">
        <v>659.00160000000005</v>
      </c>
      <c r="J58" s="14">
        <f t="shared" si="2"/>
        <v>0</v>
      </c>
      <c r="K58" s="15">
        <f t="shared" si="11"/>
        <v>0</v>
      </c>
      <c r="L58" s="1">
        <v>7.0000000000000007E-2</v>
      </c>
      <c r="M58" s="1">
        <v>0</v>
      </c>
      <c r="N58" s="17">
        <f t="shared" si="12"/>
        <v>0</v>
      </c>
      <c r="O58" s="1"/>
      <c r="P58" s="1">
        <v>0</v>
      </c>
      <c r="Q58" s="1">
        <v>0</v>
      </c>
      <c r="R58" s="5">
        <f t="shared" si="4"/>
        <v>0</v>
      </c>
      <c r="S58" s="5">
        <f t="shared" si="5"/>
        <v>0</v>
      </c>
      <c r="T58" s="17"/>
      <c r="U58" s="1"/>
      <c r="V58" s="1">
        <v>0</v>
      </c>
      <c r="W58" s="1">
        <v>0</v>
      </c>
      <c r="X58" s="17">
        <f t="shared" si="9"/>
        <v>0</v>
      </c>
      <c r="Y58" s="1">
        <v>0</v>
      </c>
      <c r="Z58" s="20">
        <v>44.62</v>
      </c>
      <c r="AA58" s="2">
        <v>0</v>
      </c>
      <c r="AB58" s="1">
        <v>0</v>
      </c>
      <c r="AC58" s="1">
        <v>0</v>
      </c>
      <c r="AD58" s="1">
        <v>6</v>
      </c>
      <c r="AE58" s="1">
        <v>1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</row>
    <row r="59" spans="1:67" x14ac:dyDescent="0.2">
      <c r="A59" s="1">
        <v>506</v>
      </c>
      <c r="B59" s="1" t="s">
        <v>139</v>
      </c>
      <c r="C59" s="1">
        <v>96</v>
      </c>
      <c r="D59" s="1">
        <v>677</v>
      </c>
      <c r="E59" s="1" t="s">
        <v>64</v>
      </c>
      <c r="F59" s="1">
        <v>690</v>
      </c>
      <c r="G59" s="1" t="s">
        <v>101</v>
      </c>
      <c r="H59" s="2">
        <v>6.8646000000000003</v>
      </c>
      <c r="I59" s="2">
        <v>659.00160000000005</v>
      </c>
      <c r="J59" s="14">
        <f t="shared" si="2"/>
        <v>0</v>
      </c>
      <c r="K59" s="15">
        <f t="shared" si="11"/>
        <v>0</v>
      </c>
      <c r="L59" s="1">
        <v>0.05</v>
      </c>
      <c r="M59" s="1">
        <v>-0.3</v>
      </c>
      <c r="N59" s="17">
        <f t="shared" si="12"/>
        <v>0</v>
      </c>
      <c r="O59" s="1"/>
      <c r="P59" s="1">
        <v>0</v>
      </c>
      <c r="Q59" s="1">
        <v>0</v>
      </c>
      <c r="R59" s="5">
        <f t="shared" si="4"/>
        <v>0</v>
      </c>
      <c r="S59" s="5">
        <f t="shared" si="5"/>
        <v>0</v>
      </c>
      <c r="T59" s="17"/>
      <c r="U59" s="1"/>
      <c r="V59" s="1">
        <v>0</v>
      </c>
      <c r="W59" s="1">
        <v>0</v>
      </c>
      <c r="X59" s="17">
        <f t="shared" si="9"/>
        <v>0</v>
      </c>
      <c r="Y59" s="1">
        <v>0</v>
      </c>
      <c r="Z59" s="20">
        <v>30.89</v>
      </c>
      <c r="AA59" s="2">
        <v>-199.07</v>
      </c>
      <c r="AB59" s="1">
        <v>0</v>
      </c>
      <c r="AC59" s="1">
        <v>1</v>
      </c>
      <c r="AD59" s="1">
        <v>4</v>
      </c>
      <c r="AE59" s="1">
        <v>0</v>
      </c>
      <c r="AF59" s="1">
        <v>-29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</row>
    <row r="60" spans="1:67" x14ac:dyDescent="0.2">
      <c r="A60" s="1">
        <v>515</v>
      </c>
      <c r="B60" s="1" t="s">
        <v>152</v>
      </c>
      <c r="C60" s="1">
        <v>96</v>
      </c>
      <c r="D60" s="1">
        <v>677</v>
      </c>
      <c r="E60" s="1" t="s">
        <v>64</v>
      </c>
      <c r="F60" s="1">
        <v>690</v>
      </c>
      <c r="G60" s="1" t="s">
        <v>101</v>
      </c>
      <c r="H60" s="2">
        <v>6.8646000000000003</v>
      </c>
      <c r="I60" s="2">
        <v>659.00160000000005</v>
      </c>
      <c r="J60" s="14">
        <f t="shared" si="2"/>
        <v>0</v>
      </c>
      <c r="K60" s="15">
        <f t="shared" si="11"/>
        <v>0</v>
      </c>
      <c r="L60" s="1">
        <v>0.03</v>
      </c>
      <c r="M60" s="1">
        <v>0</v>
      </c>
      <c r="N60" s="17">
        <f t="shared" si="12"/>
        <v>0</v>
      </c>
      <c r="O60" s="1"/>
      <c r="P60" s="1">
        <v>0</v>
      </c>
      <c r="Q60" s="1">
        <v>0</v>
      </c>
      <c r="R60" s="5">
        <f t="shared" si="4"/>
        <v>0</v>
      </c>
      <c r="S60" s="5">
        <f t="shared" si="5"/>
        <v>0</v>
      </c>
      <c r="T60" s="17"/>
      <c r="U60" s="1"/>
      <c r="V60" s="1">
        <v>0</v>
      </c>
      <c r="W60" s="1">
        <v>0</v>
      </c>
      <c r="X60" s="17">
        <f t="shared" si="9"/>
        <v>0</v>
      </c>
      <c r="Y60" s="1">
        <v>0</v>
      </c>
      <c r="Z60" s="20">
        <v>20.59</v>
      </c>
      <c r="AA60" s="2">
        <v>0</v>
      </c>
      <c r="AB60" s="1">
        <v>0</v>
      </c>
      <c r="AC60" s="1">
        <v>0</v>
      </c>
      <c r="AD60" s="1">
        <v>2</v>
      </c>
      <c r="AE60" s="1">
        <v>2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</row>
    <row r="61" spans="1:67" x14ac:dyDescent="0.2">
      <c r="A61" s="1">
        <v>514</v>
      </c>
      <c r="B61" s="1" t="s">
        <v>147</v>
      </c>
      <c r="C61" s="1">
        <v>96</v>
      </c>
      <c r="D61" s="1">
        <v>677</v>
      </c>
      <c r="E61" s="1" t="s">
        <v>64</v>
      </c>
      <c r="F61" s="1">
        <v>690</v>
      </c>
      <c r="G61" s="1" t="s">
        <v>101</v>
      </c>
      <c r="H61" s="2">
        <v>6.8646000000000003</v>
      </c>
      <c r="I61" s="2">
        <v>659.00160000000005</v>
      </c>
      <c r="J61" s="14">
        <f t="shared" si="2"/>
        <v>0</v>
      </c>
      <c r="K61" s="15">
        <f t="shared" si="11"/>
        <v>0</v>
      </c>
      <c r="L61" s="1">
        <v>0.03</v>
      </c>
      <c r="M61" s="1">
        <v>0</v>
      </c>
      <c r="N61" s="17">
        <f t="shared" si="12"/>
        <v>0</v>
      </c>
      <c r="O61" s="1"/>
      <c r="P61" s="1">
        <v>0</v>
      </c>
      <c r="Q61" s="1">
        <v>0</v>
      </c>
      <c r="R61" s="5">
        <f t="shared" si="4"/>
        <v>0</v>
      </c>
      <c r="S61" s="5">
        <f t="shared" si="5"/>
        <v>0</v>
      </c>
      <c r="T61" s="17"/>
      <c r="U61" s="1"/>
      <c r="V61" s="1">
        <v>0</v>
      </c>
      <c r="W61" s="1">
        <v>0</v>
      </c>
      <c r="X61" s="17">
        <f t="shared" si="9"/>
        <v>0</v>
      </c>
      <c r="Y61" s="1">
        <v>0</v>
      </c>
      <c r="Z61" s="20">
        <v>17.16</v>
      </c>
      <c r="AA61" s="2">
        <v>0</v>
      </c>
      <c r="AB61" s="1">
        <v>0</v>
      </c>
      <c r="AC61" s="1">
        <v>0</v>
      </c>
      <c r="AD61" s="1">
        <v>1</v>
      </c>
      <c r="AE61" s="1">
        <v>3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</row>
    <row r="62" spans="1:67" x14ac:dyDescent="0.2">
      <c r="A62" s="1">
        <v>85</v>
      </c>
      <c r="B62" s="1" t="s">
        <v>148</v>
      </c>
      <c r="C62" s="1">
        <v>192</v>
      </c>
      <c r="D62" s="1">
        <v>677</v>
      </c>
      <c r="E62" s="1" t="s">
        <v>64</v>
      </c>
      <c r="F62" s="1">
        <v>1</v>
      </c>
      <c r="G62" s="1" t="s">
        <v>149</v>
      </c>
      <c r="H62" s="2">
        <v>6</v>
      </c>
      <c r="I62" s="2">
        <v>1152</v>
      </c>
      <c r="J62" s="14">
        <f t="shared" si="2"/>
        <v>0</v>
      </c>
      <c r="K62" s="15">
        <f t="shared" si="11"/>
        <v>0</v>
      </c>
      <c r="L62" s="1">
        <v>0</v>
      </c>
      <c r="M62" s="1">
        <v>0</v>
      </c>
      <c r="N62" s="17">
        <f t="shared" si="12"/>
        <v>0</v>
      </c>
      <c r="O62" s="1"/>
      <c r="P62" s="1">
        <v>0</v>
      </c>
      <c r="Q62" s="1">
        <v>0</v>
      </c>
      <c r="R62" s="5">
        <f t="shared" si="4"/>
        <v>0</v>
      </c>
      <c r="S62" s="5">
        <f t="shared" si="5"/>
        <v>0</v>
      </c>
      <c r="T62" s="17">
        <f t="shared" ref="T62:T93" si="13">P62-Q62</f>
        <v>0</v>
      </c>
      <c r="U62" s="1"/>
      <c r="V62" s="1">
        <v>0</v>
      </c>
      <c r="W62" s="1">
        <v>0</v>
      </c>
      <c r="X62" s="17">
        <f t="shared" si="9"/>
        <v>0</v>
      </c>
      <c r="Y62" s="1">
        <v>0</v>
      </c>
      <c r="Z62" s="20">
        <v>0</v>
      </c>
      <c r="AA62" s="2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</row>
    <row r="63" spans="1:67" x14ac:dyDescent="0.2">
      <c r="A63" s="1">
        <v>511</v>
      </c>
      <c r="B63" s="1" t="s">
        <v>150</v>
      </c>
      <c r="C63" s="1">
        <v>96</v>
      </c>
      <c r="D63" s="1">
        <v>677</v>
      </c>
      <c r="E63" s="1" t="s">
        <v>64</v>
      </c>
      <c r="F63" s="1">
        <v>690</v>
      </c>
      <c r="G63" s="1" t="s">
        <v>101</v>
      </c>
      <c r="H63" s="2">
        <v>6.8646000000000003</v>
      </c>
      <c r="I63" s="2">
        <v>659.00160000000005</v>
      </c>
      <c r="J63" s="14">
        <f t="shared" si="2"/>
        <v>0</v>
      </c>
      <c r="K63" s="15">
        <f t="shared" si="11"/>
        <v>0</v>
      </c>
      <c r="L63" s="1">
        <v>0</v>
      </c>
      <c r="M63" s="1">
        <v>0</v>
      </c>
      <c r="N63" s="17">
        <f t="shared" si="12"/>
        <v>0</v>
      </c>
      <c r="O63" s="1"/>
      <c r="P63" s="1">
        <v>0</v>
      </c>
      <c r="Q63" s="1">
        <v>0</v>
      </c>
      <c r="R63" s="5">
        <f t="shared" si="4"/>
        <v>0</v>
      </c>
      <c r="S63" s="5">
        <f t="shared" si="5"/>
        <v>0</v>
      </c>
      <c r="T63" s="17">
        <f t="shared" si="13"/>
        <v>0</v>
      </c>
      <c r="U63" s="1"/>
      <c r="V63" s="1">
        <v>0</v>
      </c>
      <c r="W63" s="1">
        <v>0</v>
      </c>
      <c r="X63" s="17">
        <f t="shared" si="9"/>
        <v>0</v>
      </c>
      <c r="Y63" s="1">
        <v>0</v>
      </c>
      <c r="Z63" s="20">
        <v>0</v>
      </c>
      <c r="AA63" s="2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</row>
    <row r="64" spans="1:67" x14ac:dyDescent="0.2">
      <c r="A64" s="1">
        <v>512</v>
      </c>
      <c r="B64" s="1" t="s">
        <v>151</v>
      </c>
      <c r="C64" s="1">
        <v>96</v>
      </c>
      <c r="D64" s="1">
        <v>677</v>
      </c>
      <c r="E64" s="1" t="s">
        <v>64</v>
      </c>
      <c r="F64" s="1">
        <v>690</v>
      </c>
      <c r="G64" s="1" t="s">
        <v>101</v>
      </c>
      <c r="H64" s="2">
        <v>6.8646000000000003</v>
      </c>
      <c r="I64" s="2">
        <v>659.00160000000005</v>
      </c>
      <c r="J64" s="14">
        <f t="shared" si="2"/>
        <v>0</v>
      </c>
      <c r="K64" s="15">
        <f t="shared" si="11"/>
        <v>0</v>
      </c>
      <c r="L64" s="1">
        <v>0</v>
      </c>
      <c r="M64" s="1">
        <v>0</v>
      </c>
      <c r="N64" s="17">
        <f t="shared" si="12"/>
        <v>0</v>
      </c>
      <c r="O64" s="1"/>
      <c r="P64" s="1">
        <v>0</v>
      </c>
      <c r="Q64" s="1">
        <v>0</v>
      </c>
      <c r="R64" s="5">
        <f t="shared" si="4"/>
        <v>0</v>
      </c>
      <c r="S64" s="5">
        <f t="shared" si="5"/>
        <v>0</v>
      </c>
      <c r="T64" s="17">
        <f t="shared" si="13"/>
        <v>0</v>
      </c>
      <c r="U64" s="1"/>
      <c r="V64" s="1">
        <v>0</v>
      </c>
      <c r="W64" s="1">
        <v>0</v>
      </c>
      <c r="X64" s="17">
        <f t="shared" si="9"/>
        <v>0</v>
      </c>
      <c r="Y64" s="1">
        <v>0</v>
      </c>
      <c r="Z64" s="20">
        <v>0</v>
      </c>
      <c r="AA64" s="2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</row>
    <row r="65" spans="1:67" x14ac:dyDescent="0.2">
      <c r="A65" s="1">
        <v>516</v>
      </c>
      <c r="B65" s="1" t="s">
        <v>153</v>
      </c>
      <c r="C65" s="1">
        <v>96</v>
      </c>
      <c r="D65" s="1">
        <v>677</v>
      </c>
      <c r="E65" s="1" t="s">
        <v>64</v>
      </c>
      <c r="F65" s="1">
        <v>690</v>
      </c>
      <c r="G65" s="1" t="s">
        <v>101</v>
      </c>
      <c r="H65" s="2">
        <v>6.8646000000000003</v>
      </c>
      <c r="I65" s="2">
        <v>659.00160000000005</v>
      </c>
      <c r="J65" s="14">
        <f t="shared" si="2"/>
        <v>0</v>
      </c>
      <c r="K65" s="15">
        <f t="shared" si="11"/>
        <v>0</v>
      </c>
      <c r="L65" s="1">
        <v>0</v>
      </c>
      <c r="M65" s="1">
        <v>0</v>
      </c>
      <c r="N65" s="17">
        <f t="shared" si="12"/>
        <v>0</v>
      </c>
      <c r="O65" s="1"/>
      <c r="P65" s="1">
        <v>0</v>
      </c>
      <c r="Q65" s="1">
        <v>0</v>
      </c>
      <c r="R65" s="5">
        <f t="shared" si="4"/>
        <v>0</v>
      </c>
      <c r="S65" s="5">
        <f t="shared" si="5"/>
        <v>0</v>
      </c>
      <c r="T65" s="17">
        <f t="shared" si="13"/>
        <v>0</v>
      </c>
      <c r="U65" s="1"/>
      <c r="V65" s="1">
        <v>0</v>
      </c>
      <c r="W65" s="1">
        <v>0</v>
      </c>
      <c r="X65" s="17">
        <f t="shared" si="9"/>
        <v>0</v>
      </c>
      <c r="Y65" s="1">
        <v>0</v>
      </c>
      <c r="Z65" s="20">
        <v>0</v>
      </c>
      <c r="AA65" s="2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</row>
    <row r="66" spans="1:67" x14ac:dyDescent="0.2">
      <c r="A66" s="1">
        <v>543</v>
      </c>
      <c r="B66" s="1" t="s">
        <v>154</v>
      </c>
      <c r="C66" s="1">
        <v>96</v>
      </c>
      <c r="D66" s="1">
        <v>677</v>
      </c>
      <c r="E66" s="1" t="s">
        <v>64</v>
      </c>
      <c r="F66" s="1">
        <v>690</v>
      </c>
      <c r="G66" s="1" t="s">
        <v>101</v>
      </c>
      <c r="H66" s="2">
        <v>6.8646000000000003</v>
      </c>
      <c r="I66" s="2">
        <v>659.00160000000005</v>
      </c>
      <c r="J66" s="14">
        <f t="shared" si="2"/>
        <v>0</v>
      </c>
      <c r="K66" s="15">
        <f t="shared" si="11"/>
        <v>0</v>
      </c>
      <c r="L66" s="1">
        <v>0</v>
      </c>
      <c r="M66" s="1">
        <v>0</v>
      </c>
      <c r="N66" s="17">
        <f t="shared" si="12"/>
        <v>0</v>
      </c>
      <c r="O66" s="1"/>
      <c r="P66" s="1">
        <v>0</v>
      </c>
      <c r="Q66" s="1">
        <v>0</v>
      </c>
      <c r="R66" s="5">
        <f t="shared" si="4"/>
        <v>0</v>
      </c>
      <c r="S66" s="5">
        <f t="shared" si="5"/>
        <v>0</v>
      </c>
      <c r="T66" s="17">
        <f t="shared" si="13"/>
        <v>0</v>
      </c>
      <c r="U66" s="1"/>
      <c r="V66" s="1">
        <v>0</v>
      </c>
      <c r="W66" s="1">
        <v>0</v>
      </c>
      <c r="X66" s="17">
        <f t="shared" si="9"/>
        <v>0</v>
      </c>
      <c r="Y66" s="1">
        <v>0</v>
      </c>
      <c r="Z66" s="20">
        <v>0</v>
      </c>
      <c r="AA66" s="2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</row>
    <row r="67" spans="1:67" x14ac:dyDescent="0.2">
      <c r="A67" s="1">
        <v>563</v>
      </c>
      <c r="B67" s="1" t="s">
        <v>155</v>
      </c>
      <c r="C67" s="1">
        <v>96</v>
      </c>
      <c r="D67" s="1">
        <v>677</v>
      </c>
      <c r="E67" s="1" t="s">
        <v>64</v>
      </c>
      <c r="F67" s="1">
        <v>690</v>
      </c>
      <c r="G67" s="1" t="s">
        <v>101</v>
      </c>
      <c r="H67" s="2">
        <v>6.8646000000000003</v>
      </c>
      <c r="I67" s="2">
        <v>659.00160000000005</v>
      </c>
      <c r="J67" s="14">
        <f t="shared" si="2"/>
        <v>0</v>
      </c>
      <c r="K67" s="15">
        <f t="shared" si="11"/>
        <v>0</v>
      </c>
      <c r="L67" s="1">
        <v>0</v>
      </c>
      <c r="M67" s="1">
        <v>0</v>
      </c>
      <c r="N67" s="17">
        <f t="shared" si="12"/>
        <v>0</v>
      </c>
      <c r="O67" s="1"/>
      <c r="P67" s="1">
        <v>0</v>
      </c>
      <c r="Q67" s="1">
        <v>0</v>
      </c>
      <c r="R67" s="5">
        <f t="shared" si="4"/>
        <v>0</v>
      </c>
      <c r="S67" s="5">
        <f t="shared" si="5"/>
        <v>0</v>
      </c>
      <c r="T67" s="17">
        <f t="shared" si="13"/>
        <v>0</v>
      </c>
      <c r="U67" s="1"/>
      <c r="V67" s="1">
        <v>0</v>
      </c>
      <c r="W67" s="1">
        <v>0</v>
      </c>
      <c r="X67" s="17">
        <f t="shared" si="9"/>
        <v>0</v>
      </c>
      <c r="Y67" s="1">
        <v>0</v>
      </c>
      <c r="Z67" s="20">
        <v>0</v>
      </c>
      <c r="AA67" s="2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</row>
    <row r="68" spans="1:67" x14ac:dyDescent="0.2">
      <c r="A68" s="1">
        <v>8038</v>
      </c>
      <c r="B68" s="1" t="s">
        <v>156</v>
      </c>
      <c r="C68" s="1">
        <v>6</v>
      </c>
      <c r="D68" s="1">
        <v>677</v>
      </c>
      <c r="E68" s="1" t="s">
        <v>64</v>
      </c>
      <c r="F68" s="1">
        <v>61</v>
      </c>
      <c r="G68" s="1" t="s">
        <v>66</v>
      </c>
      <c r="H68" s="2">
        <v>77</v>
      </c>
      <c r="I68" s="2">
        <v>462</v>
      </c>
      <c r="J68" s="14">
        <f t="shared" si="2"/>
        <v>0</v>
      </c>
      <c r="K68" s="15">
        <f t="shared" si="11"/>
        <v>0</v>
      </c>
      <c r="L68" s="1">
        <v>0</v>
      </c>
      <c r="M68" s="1">
        <v>0</v>
      </c>
      <c r="N68" s="17">
        <f t="shared" si="12"/>
        <v>0</v>
      </c>
      <c r="O68" s="1"/>
      <c r="P68" s="1">
        <v>0</v>
      </c>
      <c r="Q68" s="1">
        <v>0</v>
      </c>
      <c r="R68" s="5">
        <f t="shared" si="4"/>
        <v>0</v>
      </c>
      <c r="S68" s="5">
        <f t="shared" si="5"/>
        <v>0</v>
      </c>
      <c r="T68" s="17">
        <f t="shared" si="13"/>
        <v>0</v>
      </c>
      <c r="U68" s="1"/>
      <c r="V68" s="1">
        <v>0</v>
      </c>
      <c r="W68" s="1">
        <v>0</v>
      </c>
      <c r="X68" s="17">
        <f t="shared" si="9"/>
        <v>0</v>
      </c>
      <c r="Y68" s="1">
        <v>0</v>
      </c>
      <c r="Z68" s="20">
        <v>0</v>
      </c>
      <c r="AA68" s="2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</row>
    <row r="69" spans="1:67" x14ac:dyDescent="0.2">
      <c r="A69" s="1">
        <v>8041</v>
      </c>
      <c r="B69" s="1" t="s">
        <v>77</v>
      </c>
      <c r="C69" s="1">
        <v>72</v>
      </c>
      <c r="D69" s="1">
        <v>677</v>
      </c>
      <c r="E69" s="1" t="s">
        <v>64</v>
      </c>
      <c r="F69" s="1">
        <v>999</v>
      </c>
      <c r="G69" s="1" t="s">
        <v>67</v>
      </c>
      <c r="H69" s="2">
        <v>6.5368000000000004</v>
      </c>
      <c r="I69" s="2">
        <v>470.64960000000002</v>
      </c>
      <c r="J69" s="14">
        <f t="shared" si="2"/>
        <v>0</v>
      </c>
      <c r="K69" s="15">
        <f t="shared" si="11"/>
        <v>0</v>
      </c>
      <c r="L69" s="1">
        <v>0</v>
      </c>
      <c r="M69" s="1">
        <v>0</v>
      </c>
      <c r="N69" s="17">
        <f t="shared" si="12"/>
        <v>0</v>
      </c>
      <c r="O69" s="1"/>
      <c r="P69" s="1">
        <v>0</v>
      </c>
      <c r="Q69" s="1">
        <v>0</v>
      </c>
      <c r="R69" s="5">
        <f t="shared" si="4"/>
        <v>0</v>
      </c>
      <c r="S69" s="5">
        <f t="shared" si="5"/>
        <v>0</v>
      </c>
      <c r="T69" s="17">
        <f t="shared" si="13"/>
        <v>0</v>
      </c>
      <c r="U69" s="1"/>
      <c r="V69" s="1">
        <v>0</v>
      </c>
      <c r="W69" s="1">
        <v>0</v>
      </c>
      <c r="X69" s="17">
        <f t="shared" si="9"/>
        <v>0</v>
      </c>
      <c r="Y69" s="1">
        <v>0</v>
      </c>
      <c r="Z69" s="20">
        <v>0</v>
      </c>
      <c r="AA69" s="2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</row>
    <row r="70" spans="1:67" x14ac:dyDescent="0.2">
      <c r="A70" s="1">
        <v>8042</v>
      </c>
      <c r="B70" s="1" t="s">
        <v>77</v>
      </c>
      <c r="C70" s="1">
        <v>72</v>
      </c>
      <c r="D70" s="1">
        <v>677</v>
      </c>
      <c r="E70" s="1" t="s">
        <v>64</v>
      </c>
      <c r="F70" s="1">
        <v>999</v>
      </c>
      <c r="G70" s="1" t="s">
        <v>67</v>
      </c>
      <c r="H70" s="2">
        <v>6.5368000000000004</v>
      </c>
      <c r="I70" s="2">
        <v>470.64960000000002</v>
      </c>
      <c r="J70" s="14">
        <f t="shared" si="2"/>
        <v>0</v>
      </c>
      <c r="K70" s="15">
        <f t="shared" si="11"/>
        <v>0</v>
      </c>
      <c r="L70" s="1">
        <v>0</v>
      </c>
      <c r="M70" s="1">
        <v>0</v>
      </c>
      <c r="N70" s="17">
        <f t="shared" si="12"/>
        <v>0</v>
      </c>
      <c r="O70" s="1"/>
      <c r="P70" s="1">
        <v>0</v>
      </c>
      <c r="Q70" s="1">
        <v>0</v>
      </c>
      <c r="R70" s="5">
        <f t="shared" si="4"/>
        <v>0</v>
      </c>
      <c r="S70" s="5">
        <f t="shared" si="5"/>
        <v>0</v>
      </c>
      <c r="T70" s="17">
        <f t="shared" si="13"/>
        <v>0</v>
      </c>
      <c r="U70" s="1"/>
      <c r="V70" s="1">
        <v>0</v>
      </c>
      <c r="W70" s="1">
        <v>0</v>
      </c>
      <c r="X70" s="17">
        <f t="shared" si="9"/>
        <v>0</v>
      </c>
      <c r="Y70" s="1">
        <v>0</v>
      </c>
      <c r="Z70" s="20">
        <v>0</v>
      </c>
      <c r="AA70" s="2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</row>
    <row r="71" spans="1:67" x14ac:dyDescent="0.2">
      <c r="A71" s="1">
        <v>9099</v>
      </c>
      <c r="B71" s="1" t="s">
        <v>77</v>
      </c>
      <c r="C71" s="1">
        <v>24</v>
      </c>
      <c r="D71" s="1">
        <v>677</v>
      </c>
      <c r="E71" s="1" t="s">
        <v>64</v>
      </c>
      <c r="F71" s="1">
        <v>999</v>
      </c>
      <c r="G71" s="1" t="s">
        <v>67</v>
      </c>
      <c r="H71" s="2">
        <v>15.6492</v>
      </c>
      <c r="I71" s="2">
        <v>375.58080000000001</v>
      </c>
      <c r="J71" s="14">
        <f t="shared" si="2"/>
        <v>0</v>
      </c>
      <c r="K71" s="15">
        <f t="shared" si="11"/>
        <v>0</v>
      </c>
      <c r="L71" s="1">
        <v>0</v>
      </c>
      <c r="M71" s="1">
        <v>0</v>
      </c>
      <c r="N71" s="17">
        <f t="shared" si="12"/>
        <v>0</v>
      </c>
      <c r="O71" s="1"/>
      <c r="P71" s="1">
        <v>0</v>
      </c>
      <c r="Q71" s="1">
        <v>0</v>
      </c>
      <c r="R71" s="5">
        <f t="shared" si="4"/>
        <v>0</v>
      </c>
      <c r="S71" s="5">
        <f t="shared" si="5"/>
        <v>0</v>
      </c>
      <c r="T71" s="17">
        <f t="shared" si="13"/>
        <v>0</v>
      </c>
      <c r="U71" s="1"/>
      <c r="V71" s="1">
        <v>0</v>
      </c>
      <c r="W71" s="1">
        <v>0</v>
      </c>
      <c r="X71" s="17">
        <f t="shared" si="9"/>
        <v>0</v>
      </c>
      <c r="Y71" s="1">
        <v>0</v>
      </c>
      <c r="Z71" s="20">
        <v>0</v>
      </c>
      <c r="AA71" s="2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</row>
    <row r="72" spans="1:67" x14ac:dyDescent="0.2">
      <c r="A72" s="1">
        <v>47006</v>
      </c>
      <c r="B72" s="1" t="s">
        <v>72</v>
      </c>
      <c r="C72" s="1">
        <v>24</v>
      </c>
      <c r="D72" s="1">
        <v>677</v>
      </c>
      <c r="E72" s="1" t="s">
        <v>64</v>
      </c>
      <c r="F72" s="1">
        <v>998</v>
      </c>
      <c r="G72" s="1" t="s">
        <v>73</v>
      </c>
      <c r="H72" s="2">
        <v>20.635100000000001</v>
      </c>
      <c r="I72" s="2">
        <v>495.24239999999998</v>
      </c>
      <c r="J72" s="14">
        <f t="shared" si="2"/>
        <v>0</v>
      </c>
      <c r="K72" s="15">
        <f t="shared" si="11"/>
        <v>0</v>
      </c>
      <c r="L72" s="1">
        <v>0</v>
      </c>
      <c r="M72" s="1">
        <v>0</v>
      </c>
      <c r="N72" s="17">
        <f t="shared" si="12"/>
        <v>0</v>
      </c>
      <c r="O72" s="1"/>
      <c r="P72" s="1">
        <v>0</v>
      </c>
      <c r="Q72" s="1">
        <v>0</v>
      </c>
      <c r="R72" s="5">
        <f t="shared" si="4"/>
        <v>0</v>
      </c>
      <c r="S72" s="5">
        <f t="shared" si="5"/>
        <v>0</v>
      </c>
      <c r="T72" s="17">
        <f t="shared" si="13"/>
        <v>0</v>
      </c>
      <c r="U72" s="1"/>
      <c r="V72" s="1">
        <v>0</v>
      </c>
      <c r="W72" s="1">
        <v>0</v>
      </c>
      <c r="X72" s="17">
        <f t="shared" si="9"/>
        <v>0</v>
      </c>
      <c r="Y72" s="1">
        <v>0</v>
      </c>
      <c r="Z72" s="20">
        <v>0</v>
      </c>
      <c r="AA72" s="2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</row>
    <row r="73" spans="1:67" x14ac:dyDescent="0.2">
      <c r="A73" s="1">
        <v>47007</v>
      </c>
      <c r="B73" s="1" t="s">
        <v>157</v>
      </c>
      <c r="C73" s="1">
        <v>12</v>
      </c>
      <c r="D73" s="1">
        <v>677</v>
      </c>
      <c r="E73" s="1" t="s">
        <v>64</v>
      </c>
      <c r="F73" s="1">
        <v>1</v>
      </c>
      <c r="G73" s="1" t="s">
        <v>149</v>
      </c>
      <c r="H73" s="2">
        <v>7.68</v>
      </c>
      <c r="I73" s="2">
        <v>92.16</v>
      </c>
      <c r="J73" s="14">
        <f t="shared" si="2"/>
        <v>0</v>
      </c>
      <c r="K73" s="15">
        <f t="shared" si="11"/>
        <v>0</v>
      </c>
      <c r="L73" s="1">
        <v>0</v>
      </c>
      <c r="M73" s="1">
        <v>0</v>
      </c>
      <c r="N73" s="17">
        <f t="shared" si="12"/>
        <v>0</v>
      </c>
      <c r="O73" s="1"/>
      <c r="P73" s="1">
        <v>0</v>
      </c>
      <c r="Q73" s="1">
        <v>0</v>
      </c>
      <c r="R73" s="5">
        <f t="shared" si="4"/>
        <v>0</v>
      </c>
      <c r="S73" s="5">
        <f t="shared" si="5"/>
        <v>0</v>
      </c>
      <c r="T73" s="17">
        <f t="shared" si="13"/>
        <v>0</v>
      </c>
      <c r="U73" s="1"/>
      <c r="V73" s="1">
        <v>0</v>
      </c>
      <c r="W73" s="1">
        <v>0</v>
      </c>
      <c r="X73" s="17">
        <f t="shared" si="9"/>
        <v>0</v>
      </c>
      <c r="Y73" s="1">
        <v>0</v>
      </c>
      <c r="Z73" s="20">
        <v>0</v>
      </c>
      <c r="AA73" s="2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</row>
    <row r="74" spans="1:67" x14ac:dyDescent="0.2">
      <c r="A74" s="1">
        <v>47009</v>
      </c>
      <c r="B74" s="1" t="s">
        <v>130</v>
      </c>
      <c r="C74" s="1">
        <v>12</v>
      </c>
      <c r="D74" s="1">
        <v>677</v>
      </c>
      <c r="E74" s="1" t="s">
        <v>64</v>
      </c>
      <c r="F74" s="1">
        <v>61</v>
      </c>
      <c r="G74" s="1" t="s">
        <v>66</v>
      </c>
      <c r="H74" s="2">
        <v>138.47</v>
      </c>
      <c r="I74" s="2">
        <v>1661.64</v>
      </c>
      <c r="J74" s="14">
        <f t="shared" si="2"/>
        <v>0</v>
      </c>
      <c r="K74" s="15">
        <f t="shared" si="11"/>
        <v>0</v>
      </c>
      <c r="L74" s="1">
        <v>0</v>
      </c>
      <c r="M74" s="1">
        <v>0</v>
      </c>
      <c r="N74" s="17">
        <f t="shared" si="12"/>
        <v>0</v>
      </c>
      <c r="O74" s="1"/>
      <c r="P74" s="1">
        <v>0</v>
      </c>
      <c r="Q74" s="1">
        <v>0</v>
      </c>
      <c r="R74" s="5">
        <f t="shared" si="4"/>
        <v>0</v>
      </c>
      <c r="S74" s="5">
        <f t="shared" si="5"/>
        <v>0</v>
      </c>
      <c r="T74" s="17">
        <f t="shared" si="13"/>
        <v>0</v>
      </c>
      <c r="U74" s="1"/>
      <c r="V74" s="1">
        <v>0</v>
      </c>
      <c r="W74" s="1">
        <v>0</v>
      </c>
      <c r="X74" s="17">
        <f t="shared" si="9"/>
        <v>0</v>
      </c>
      <c r="Y74" s="1">
        <v>0</v>
      </c>
      <c r="Z74" s="20">
        <v>0</v>
      </c>
      <c r="AA74" s="2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</row>
    <row r="75" spans="1:67" x14ac:dyDescent="0.2">
      <c r="A75" s="1">
        <v>47011</v>
      </c>
      <c r="B75" s="1" t="s">
        <v>158</v>
      </c>
      <c r="C75" s="1">
        <v>24</v>
      </c>
      <c r="D75" s="1">
        <v>677</v>
      </c>
      <c r="E75" s="1" t="s">
        <v>64</v>
      </c>
      <c r="F75" s="1">
        <v>677</v>
      </c>
      <c r="G75" s="1" t="s">
        <v>84</v>
      </c>
      <c r="H75" s="2">
        <v>21.65</v>
      </c>
      <c r="I75" s="2">
        <v>519.6</v>
      </c>
      <c r="J75" s="14">
        <f t="shared" si="2"/>
        <v>0</v>
      </c>
      <c r="K75" s="15">
        <f t="shared" si="11"/>
        <v>0</v>
      </c>
      <c r="L75" s="1">
        <v>0</v>
      </c>
      <c r="M75" s="1">
        <v>0</v>
      </c>
      <c r="N75" s="17">
        <f t="shared" si="12"/>
        <v>0</v>
      </c>
      <c r="O75" s="1"/>
      <c r="P75" s="1">
        <v>0</v>
      </c>
      <c r="Q75" s="1">
        <v>0</v>
      </c>
      <c r="R75" s="5">
        <f t="shared" si="4"/>
        <v>0</v>
      </c>
      <c r="S75" s="5">
        <f t="shared" si="5"/>
        <v>0</v>
      </c>
      <c r="T75" s="17">
        <f t="shared" si="13"/>
        <v>0</v>
      </c>
      <c r="U75" s="1"/>
      <c r="V75" s="1">
        <v>0</v>
      </c>
      <c r="W75" s="1">
        <v>0</v>
      </c>
      <c r="X75" s="17">
        <f t="shared" si="9"/>
        <v>0</v>
      </c>
      <c r="Y75" s="1">
        <v>0</v>
      </c>
      <c r="Z75" s="20">
        <v>0</v>
      </c>
      <c r="AA75" s="2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</row>
    <row r="76" spans="1:67" x14ac:dyDescent="0.2">
      <c r="A76" s="1">
        <v>47013</v>
      </c>
      <c r="B76" s="1" t="s">
        <v>159</v>
      </c>
      <c r="C76" s="1">
        <v>4</v>
      </c>
      <c r="D76" s="1">
        <v>677</v>
      </c>
      <c r="E76" s="1" t="s">
        <v>64</v>
      </c>
      <c r="F76" s="1">
        <v>61</v>
      </c>
      <c r="G76" s="1" t="s">
        <v>66</v>
      </c>
      <c r="H76" s="2">
        <v>92.19</v>
      </c>
      <c r="I76" s="2">
        <v>368.76</v>
      </c>
      <c r="J76" s="14">
        <f t="shared" si="2"/>
        <v>0</v>
      </c>
      <c r="K76" s="15">
        <f t="shared" si="11"/>
        <v>0</v>
      </c>
      <c r="L76" s="1">
        <v>0</v>
      </c>
      <c r="M76" s="1">
        <v>0</v>
      </c>
      <c r="N76" s="17">
        <f t="shared" si="12"/>
        <v>0</v>
      </c>
      <c r="O76" s="1"/>
      <c r="P76" s="1">
        <v>0</v>
      </c>
      <c r="Q76" s="1">
        <v>0</v>
      </c>
      <c r="R76" s="5">
        <f t="shared" si="4"/>
        <v>0</v>
      </c>
      <c r="S76" s="5">
        <f t="shared" si="5"/>
        <v>0</v>
      </c>
      <c r="T76" s="17">
        <f t="shared" si="13"/>
        <v>0</v>
      </c>
      <c r="U76" s="1"/>
      <c r="V76" s="1">
        <v>0</v>
      </c>
      <c r="W76" s="1">
        <v>0</v>
      </c>
      <c r="X76" s="17">
        <f t="shared" si="9"/>
        <v>0</v>
      </c>
      <c r="Y76" s="1">
        <v>0</v>
      </c>
      <c r="Z76" s="20">
        <v>0</v>
      </c>
      <c r="AA76" s="2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</row>
    <row r="77" spans="1:67" x14ac:dyDescent="0.2">
      <c r="A77" s="1">
        <v>47016</v>
      </c>
      <c r="B77" s="1" t="s">
        <v>160</v>
      </c>
      <c r="C77" s="1">
        <v>12</v>
      </c>
      <c r="D77" s="1">
        <v>677</v>
      </c>
      <c r="E77" s="1" t="s">
        <v>64</v>
      </c>
      <c r="F77" s="1">
        <v>1</v>
      </c>
      <c r="G77" s="1" t="s">
        <v>149</v>
      </c>
      <c r="H77" s="2">
        <v>7.68</v>
      </c>
      <c r="I77" s="2">
        <v>92.16</v>
      </c>
      <c r="J77" s="14">
        <f t="shared" si="2"/>
        <v>0</v>
      </c>
      <c r="K77" s="15">
        <f t="shared" si="11"/>
        <v>0</v>
      </c>
      <c r="L77" s="1">
        <v>0</v>
      </c>
      <c r="M77" s="1">
        <v>0</v>
      </c>
      <c r="N77" s="17">
        <f t="shared" si="12"/>
        <v>0</v>
      </c>
      <c r="O77" s="1"/>
      <c r="P77" s="1">
        <v>0</v>
      </c>
      <c r="Q77" s="1">
        <v>0</v>
      </c>
      <c r="R77" s="5">
        <f t="shared" si="4"/>
        <v>0</v>
      </c>
      <c r="S77" s="5">
        <f t="shared" si="5"/>
        <v>0</v>
      </c>
      <c r="T77" s="17">
        <f t="shared" si="13"/>
        <v>0</v>
      </c>
      <c r="U77" s="1"/>
      <c r="V77" s="1">
        <v>0</v>
      </c>
      <c r="W77" s="1">
        <v>0</v>
      </c>
      <c r="X77" s="17">
        <f t="shared" si="9"/>
        <v>0</v>
      </c>
      <c r="Y77" s="1">
        <v>0</v>
      </c>
      <c r="Z77" s="20">
        <v>0</v>
      </c>
      <c r="AA77" s="2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</row>
    <row r="78" spans="1:67" x14ac:dyDescent="0.2">
      <c r="A78" s="1">
        <v>47018</v>
      </c>
      <c r="B78" s="1" t="s">
        <v>161</v>
      </c>
      <c r="C78" s="1">
        <v>6</v>
      </c>
      <c r="D78" s="1">
        <v>677</v>
      </c>
      <c r="E78" s="1" t="s">
        <v>64</v>
      </c>
      <c r="F78" s="1">
        <v>61</v>
      </c>
      <c r="G78" s="1" t="s">
        <v>66</v>
      </c>
      <c r="H78" s="2">
        <v>77.28</v>
      </c>
      <c r="I78" s="2">
        <v>463.68</v>
      </c>
      <c r="J78" s="14">
        <f t="shared" si="2"/>
        <v>0</v>
      </c>
      <c r="K78" s="15">
        <f t="shared" si="11"/>
        <v>0</v>
      </c>
      <c r="L78" s="1">
        <v>0</v>
      </c>
      <c r="M78" s="1">
        <v>0</v>
      </c>
      <c r="N78" s="17">
        <f t="shared" si="12"/>
        <v>0</v>
      </c>
      <c r="O78" s="1"/>
      <c r="P78" s="1">
        <v>0</v>
      </c>
      <c r="Q78" s="1">
        <v>0</v>
      </c>
      <c r="R78" s="5">
        <f t="shared" si="4"/>
        <v>0</v>
      </c>
      <c r="S78" s="5">
        <f t="shared" si="5"/>
        <v>0</v>
      </c>
      <c r="T78" s="17">
        <f t="shared" si="13"/>
        <v>0</v>
      </c>
      <c r="U78" s="1"/>
      <c r="V78" s="1">
        <v>0</v>
      </c>
      <c r="W78" s="1">
        <v>0</v>
      </c>
      <c r="X78" s="17">
        <f t="shared" si="9"/>
        <v>0</v>
      </c>
      <c r="Y78" s="1">
        <v>0</v>
      </c>
      <c r="Z78" s="20">
        <v>0</v>
      </c>
      <c r="AA78" s="2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</row>
    <row r="79" spans="1:67" x14ac:dyDescent="0.2">
      <c r="A79" s="1">
        <v>47021</v>
      </c>
      <c r="B79" s="1" t="s">
        <v>81</v>
      </c>
      <c r="C79" s="1">
        <v>10</v>
      </c>
      <c r="D79" s="1">
        <v>677</v>
      </c>
      <c r="E79" s="1" t="s">
        <v>64</v>
      </c>
      <c r="F79" s="1">
        <v>999</v>
      </c>
      <c r="G79" s="1" t="s">
        <v>67</v>
      </c>
      <c r="H79" s="2">
        <v>34.318800000000003</v>
      </c>
      <c r="I79" s="2">
        <v>343.18799999999999</v>
      </c>
      <c r="J79" s="14">
        <f t="shared" si="2"/>
        <v>0</v>
      </c>
      <c r="K79" s="15">
        <f t="shared" si="11"/>
        <v>0</v>
      </c>
      <c r="L79" s="1">
        <v>0</v>
      </c>
      <c r="M79" s="1">
        <v>0</v>
      </c>
      <c r="N79" s="17">
        <f t="shared" si="12"/>
        <v>0</v>
      </c>
      <c r="O79" s="1"/>
      <c r="P79" s="1">
        <v>0</v>
      </c>
      <c r="Q79" s="1">
        <v>0</v>
      </c>
      <c r="R79" s="5">
        <f t="shared" si="4"/>
        <v>0</v>
      </c>
      <c r="S79" s="5">
        <f t="shared" si="5"/>
        <v>0</v>
      </c>
      <c r="T79" s="17">
        <f t="shared" si="13"/>
        <v>0</v>
      </c>
      <c r="U79" s="1"/>
      <c r="V79" s="1">
        <v>0</v>
      </c>
      <c r="W79" s="1">
        <v>0</v>
      </c>
      <c r="X79" s="17">
        <f t="shared" si="9"/>
        <v>0</v>
      </c>
      <c r="Y79" s="1">
        <v>0</v>
      </c>
      <c r="Z79" s="20">
        <v>0</v>
      </c>
      <c r="AA79" s="2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</row>
    <row r="80" spans="1:67" x14ac:dyDescent="0.2">
      <c r="A80" s="1">
        <v>47022</v>
      </c>
      <c r="B80" s="1" t="s">
        <v>75</v>
      </c>
      <c r="C80" s="1">
        <v>10</v>
      </c>
      <c r="D80" s="1">
        <v>677</v>
      </c>
      <c r="E80" s="1" t="s">
        <v>64</v>
      </c>
      <c r="F80" s="1">
        <v>998</v>
      </c>
      <c r="G80" s="1" t="s">
        <v>73</v>
      </c>
      <c r="H80" s="2">
        <v>127.43</v>
      </c>
      <c r="I80" s="2">
        <v>1274.3</v>
      </c>
      <c r="J80" s="14">
        <f t="shared" si="2"/>
        <v>0</v>
      </c>
      <c r="K80" s="15">
        <f t="shared" si="11"/>
        <v>0</v>
      </c>
      <c r="L80" s="1">
        <v>0</v>
      </c>
      <c r="M80" s="1">
        <v>0</v>
      </c>
      <c r="N80" s="17">
        <f t="shared" si="12"/>
        <v>0</v>
      </c>
      <c r="O80" s="1"/>
      <c r="P80" s="1">
        <v>0</v>
      </c>
      <c r="Q80" s="1">
        <v>0</v>
      </c>
      <c r="R80" s="5">
        <f t="shared" si="4"/>
        <v>0</v>
      </c>
      <c r="S80" s="5">
        <f t="shared" si="5"/>
        <v>0</v>
      </c>
      <c r="T80" s="17">
        <f t="shared" si="13"/>
        <v>0</v>
      </c>
      <c r="U80" s="1"/>
      <c r="V80" s="1">
        <v>0</v>
      </c>
      <c r="W80" s="1">
        <v>0</v>
      </c>
      <c r="X80" s="17">
        <f t="shared" si="9"/>
        <v>0</v>
      </c>
      <c r="Y80" s="1">
        <v>0</v>
      </c>
      <c r="Z80" s="20">
        <v>0</v>
      </c>
      <c r="AA80" s="2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</row>
    <row r="81" spans="1:67" x14ac:dyDescent="0.2">
      <c r="A81" s="1">
        <v>47028</v>
      </c>
      <c r="B81" s="1" t="s">
        <v>81</v>
      </c>
      <c r="C81" s="1">
        <v>24</v>
      </c>
      <c r="D81" s="1">
        <v>677</v>
      </c>
      <c r="E81" s="1" t="s">
        <v>64</v>
      </c>
      <c r="F81" s="1">
        <v>999</v>
      </c>
      <c r="G81" s="1" t="s">
        <v>67</v>
      </c>
      <c r="H81" s="2">
        <v>37.9</v>
      </c>
      <c r="I81" s="2">
        <v>909.6</v>
      </c>
      <c r="J81" s="14">
        <f t="shared" si="2"/>
        <v>0</v>
      </c>
      <c r="K81" s="15">
        <f t="shared" si="11"/>
        <v>0</v>
      </c>
      <c r="L81" s="1">
        <v>0</v>
      </c>
      <c r="M81" s="1">
        <v>0</v>
      </c>
      <c r="N81" s="17">
        <f t="shared" si="12"/>
        <v>0</v>
      </c>
      <c r="O81" s="1"/>
      <c r="P81" s="1">
        <v>0</v>
      </c>
      <c r="Q81" s="1">
        <v>0</v>
      </c>
      <c r="R81" s="5">
        <f t="shared" si="4"/>
        <v>0</v>
      </c>
      <c r="S81" s="5">
        <f t="shared" si="5"/>
        <v>0</v>
      </c>
      <c r="T81" s="17">
        <f t="shared" si="13"/>
        <v>0</v>
      </c>
      <c r="U81" s="1"/>
      <c r="V81" s="1">
        <v>0</v>
      </c>
      <c r="W81" s="1">
        <v>0</v>
      </c>
      <c r="X81" s="17">
        <f t="shared" si="9"/>
        <v>0</v>
      </c>
      <c r="Y81" s="1">
        <v>0</v>
      </c>
      <c r="Z81" s="20">
        <v>0</v>
      </c>
      <c r="AA81" s="2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</row>
    <row r="82" spans="1:67" x14ac:dyDescent="0.2">
      <c r="A82" s="1">
        <v>47030</v>
      </c>
      <c r="B82" s="1" t="s">
        <v>163</v>
      </c>
      <c r="C82" s="1">
        <v>12</v>
      </c>
      <c r="D82" s="1">
        <v>677</v>
      </c>
      <c r="E82" s="1" t="s">
        <v>64</v>
      </c>
      <c r="F82" s="1">
        <v>999</v>
      </c>
      <c r="G82" s="1" t="s">
        <v>67</v>
      </c>
      <c r="H82" s="2">
        <v>109.64</v>
      </c>
      <c r="I82" s="2">
        <v>1315.68</v>
      </c>
      <c r="J82" s="14">
        <f t="shared" si="2"/>
        <v>0</v>
      </c>
      <c r="K82" s="15">
        <f t="shared" si="11"/>
        <v>0</v>
      </c>
      <c r="L82" s="1">
        <v>0</v>
      </c>
      <c r="M82" s="1">
        <v>0</v>
      </c>
      <c r="N82" s="17">
        <f t="shared" si="12"/>
        <v>0</v>
      </c>
      <c r="O82" s="1"/>
      <c r="P82" s="1">
        <v>0</v>
      </c>
      <c r="Q82" s="1">
        <v>0</v>
      </c>
      <c r="R82" s="5">
        <f t="shared" si="4"/>
        <v>0</v>
      </c>
      <c r="S82" s="5">
        <f t="shared" si="5"/>
        <v>0</v>
      </c>
      <c r="T82" s="17">
        <f t="shared" si="13"/>
        <v>0</v>
      </c>
      <c r="U82" s="1"/>
      <c r="V82" s="1">
        <v>0</v>
      </c>
      <c r="W82" s="1">
        <v>0</v>
      </c>
      <c r="X82" s="17">
        <f t="shared" si="9"/>
        <v>0</v>
      </c>
      <c r="Y82" s="1">
        <v>0</v>
      </c>
      <c r="Z82" s="20">
        <v>0</v>
      </c>
      <c r="AA82" s="2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</row>
    <row r="83" spans="1:67" x14ac:dyDescent="0.2">
      <c r="A83" s="1">
        <v>47031</v>
      </c>
      <c r="B83" s="1" t="s">
        <v>164</v>
      </c>
      <c r="C83" s="1">
        <v>4</v>
      </c>
      <c r="D83" s="1">
        <v>677</v>
      </c>
      <c r="E83" s="1" t="s">
        <v>64</v>
      </c>
      <c r="F83" s="1">
        <v>61</v>
      </c>
      <c r="G83" s="1" t="s">
        <v>66</v>
      </c>
      <c r="H83" s="2">
        <v>92.19</v>
      </c>
      <c r="I83" s="2">
        <v>368.76</v>
      </c>
      <c r="J83" s="14">
        <f t="shared" si="2"/>
        <v>0</v>
      </c>
      <c r="K83" s="15">
        <f t="shared" si="11"/>
        <v>0</v>
      </c>
      <c r="L83" s="1">
        <v>0</v>
      </c>
      <c r="M83" s="1">
        <v>0</v>
      </c>
      <c r="N83" s="17">
        <f t="shared" si="12"/>
        <v>0</v>
      </c>
      <c r="O83" s="1"/>
      <c r="P83" s="1">
        <v>0</v>
      </c>
      <c r="Q83" s="1">
        <v>0</v>
      </c>
      <c r="R83" s="5">
        <f t="shared" si="4"/>
        <v>0</v>
      </c>
      <c r="S83" s="5">
        <f t="shared" si="5"/>
        <v>0</v>
      </c>
      <c r="T83" s="17">
        <f t="shared" si="13"/>
        <v>0</v>
      </c>
      <c r="U83" s="1"/>
      <c r="V83" s="1">
        <v>0</v>
      </c>
      <c r="W83" s="1">
        <v>0</v>
      </c>
      <c r="X83" s="17">
        <f t="shared" si="9"/>
        <v>0</v>
      </c>
      <c r="Y83" s="1">
        <v>0</v>
      </c>
      <c r="Z83" s="20">
        <v>0</v>
      </c>
      <c r="AA83" s="2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</row>
    <row r="84" spans="1:67" x14ac:dyDescent="0.2">
      <c r="A84" s="1">
        <v>47032</v>
      </c>
      <c r="B84" s="1" t="s">
        <v>81</v>
      </c>
      <c r="C84" s="1">
        <v>12</v>
      </c>
      <c r="D84" s="1">
        <v>677</v>
      </c>
      <c r="E84" s="1" t="s">
        <v>64</v>
      </c>
      <c r="F84" s="1">
        <v>999</v>
      </c>
      <c r="G84" s="1" t="s">
        <v>67</v>
      </c>
      <c r="H84" s="2">
        <v>22.49</v>
      </c>
      <c r="I84" s="2">
        <v>269.88</v>
      </c>
      <c r="J84" s="14">
        <f t="shared" si="2"/>
        <v>0</v>
      </c>
      <c r="K84" s="15">
        <f t="shared" si="11"/>
        <v>0</v>
      </c>
      <c r="L84" s="1">
        <v>0</v>
      </c>
      <c r="M84" s="1">
        <v>0</v>
      </c>
      <c r="N84" s="17">
        <f t="shared" si="12"/>
        <v>0</v>
      </c>
      <c r="O84" s="1"/>
      <c r="P84" s="1">
        <v>0</v>
      </c>
      <c r="Q84" s="1">
        <v>0</v>
      </c>
      <c r="R84" s="5">
        <f t="shared" si="4"/>
        <v>0</v>
      </c>
      <c r="S84" s="5">
        <f t="shared" si="5"/>
        <v>0</v>
      </c>
      <c r="T84" s="17">
        <f t="shared" si="13"/>
        <v>0</v>
      </c>
      <c r="U84" s="1"/>
      <c r="V84" s="1">
        <v>0</v>
      </c>
      <c r="W84" s="1">
        <v>0</v>
      </c>
      <c r="X84" s="17">
        <f t="shared" si="9"/>
        <v>0</v>
      </c>
      <c r="Y84" s="1">
        <v>0</v>
      </c>
      <c r="Z84" s="20">
        <v>0</v>
      </c>
      <c r="AA84" s="2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</row>
    <row r="85" spans="1:67" x14ac:dyDescent="0.2">
      <c r="A85" s="1">
        <v>47034</v>
      </c>
      <c r="B85" s="1" t="s">
        <v>81</v>
      </c>
      <c r="C85" s="1">
        <v>12</v>
      </c>
      <c r="D85" s="1">
        <v>677</v>
      </c>
      <c r="E85" s="1" t="s">
        <v>64</v>
      </c>
      <c r="F85" s="1">
        <v>999</v>
      </c>
      <c r="G85" s="1" t="s">
        <v>67</v>
      </c>
      <c r="H85" s="2">
        <v>25.038699999999999</v>
      </c>
      <c r="I85" s="2">
        <v>300.46440000000001</v>
      </c>
      <c r="J85" s="14">
        <f t="shared" si="2"/>
        <v>0</v>
      </c>
      <c r="K85" s="15">
        <f t="shared" si="11"/>
        <v>0</v>
      </c>
      <c r="L85" s="1">
        <v>0</v>
      </c>
      <c r="M85" s="1">
        <v>0</v>
      </c>
      <c r="N85" s="17">
        <f t="shared" si="12"/>
        <v>0</v>
      </c>
      <c r="O85" s="1"/>
      <c r="P85" s="1">
        <v>0</v>
      </c>
      <c r="Q85" s="1">
        <v>0</v>
      </c>
      <c r="R85" s="5">
        <f t="shared" si="4"/>
        <v>0</v>
      </c>
      <c r="S85" s="5">
        <f t="shared" si="5"/>
        <v>0</v>
      </c>
      <c r="T85" s="17">
        <f t="shared" si="13"/>
        <v>0</v>
      </c>
      <c r="U85" s="1"/>
      <c r="V85" s="1">
        <v>0</v>
      </c>
      <c r="W85" s="1">
        <v>0</v>
      </c>
      <c r="X85" s="17">
        <f t="shared" si="9"/>
        <v>0</v>
      </c>
      <c r="Y85" s="1">
        <v>0</v>
      </c>
      <c r="Z85" s="20">
        <v>0</v>
      </c>
      <c r="AA85" s="2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</row>
    <row r="86" spans="1:67" x14ac:dyDescent="0.2">
      <c r="A86" s="1">
        <v>47036</v>
      </c>
      <c r="B86" s="1" t="s">
        <v>117</v>
      </c>
      <c r="C86" s="1">
        <v>24</v>
      </c>
      <c r="D86" s="1">
        <v>677</v>
      </c>
      <c r="E86" s="1" t="s">
        <v>64</v>
      </c>
      <c r="F86" s="1">
        <v>61</v>
      </c>
      <c r="G86" s="1" t="s">
        <v>66</v>
      </c>
      <c r="H86" s="2">
        <v>38.6661</v>
      </c>
      <c r="I86" s="2">
        <v>927.9864</v>
      </c>
      <c r="J86" s="14">
        <f t="shared" si="2"/>
        <v>0</v>
      </c>
      <c r="K86" s="15">
        <f t="shared" si="11"/>
        <v>0</v>
      </c>
      <c r="L86" s="1">
        <v>0</v>
      </c>
      <c r="M86" s="1">
        <v>0</v>
      </c>
      <c r="N86" s="17">
        <f t="shared" si="12"/>
        <v>0</v>
      </c>
      <c r="O86" s="1"/>
      <c r="P86" s="1">
        <v>0</v>
      </c>
      <c r="Q86" s="1">
        <v>0</v>
      </c>
      <c r="R86" s="5">
        <f t="shared" si="4"/>
        <v>0</v>
      </c>
      <c r="S86" s="5">
        <f t="shared" si="5"/>
        <v>0</v>
      </c>
      <c r="T86" s="17">
        <f t="shared" si="13"/>
        <v>0</v>
      </c>
      <c r="U86" s="1"/>
      <c r="V86" s="1">
        <v>0</v>
      </c>
      <c r="W86" s="1">
        <v>0</v>
      </c>
      <c r="X86" s="17">
        <f t="shared" si="9"/>
        <v>0</v>
      </c>
      <c r="Y86" s="1">
        <v>0</v>
      </c>
      <c r="Z86" s="20">
        <v>0</v>
      </c>
      <c r="AA86" s="2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</row>
    <row r="87" spans="1:67" x14ac:dyDescent="0.2">
      <c r="A87" s="1">
        <v>47037</v>
      </c>
      <c r="B87" s="1" t="s">
        <v>81</v>
      </c>
      <c r="C87" s="1">
        <v>24</v>
      </c>
      <c r="D87" s="1">
        <v>677</v>
      </c>
      <c r="E87" s="1" t="s">
        <v>64</v>
      </c>
      <c r="F87" s="1">
        <v>999</v>
      </c>
      <c r="G87" s="1" t="s">
        <v>67</v>
      </c>
      <c r="H87" s="2">
        <v>20.088100000000001</v>
      </c>
      <c r="I87" s="2">
        <v>482.11439999999999</v>
      </c>
      <c r="J87" s="14">
        <f t="shared" si="2"/>
        <v>0</v>
      </c>
      <c r="K87" s="15">
        <f t="shared" si="11"/>
        <v>0</v>
      </c>
      <c r="L87" s="1">
        <v>0</v>
      </c>
      <c r="M87" s="1">
        <v>0</v>
      </c>
      <c r="N87" s="17">
        <f t="shared" si="12"/>
        <v>0</v>
      </c>
      <c r="O87" s="1"/>
      <c r="P87" s="1">
        <v>0</v>
      </c>
      <c r="Q87" s="1">
        <v>0</v>
      </c>
      <c r="R87" s="5">
        <f t="shared" si="4"/>
        <v>0</v>
      </c>
      <c r="S87" s="5">
        <f t="shared" si="5"/>
        <v>0</v>
      </c>
      <c r="T87" s="17">
        <f t="shared" si="13"/>
        <v>0</v>
      </c>
      <c r="U87" s="1"/>
      <c r="V87" s="1">
        <v>0</v>
      </c>
      <c r="W87" s="1">
        <v>0</v>
      </c>
      <c r="X87" s="17">
        <f t="shared" si="9"/>
        <v>0</v>
      </c>
      <c r="Y87" s="1">
        <v>0</v>
      </c>
      <c r="Z87" s="20">
        <v>0</v>
      </c>
      <c r="AA87" s="2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</row>
    <row r="88" spans="1:67" x14ac:dyDescent="0.2">
      <c r="A88" s="1">
        <v>47044</v>
      </c>
      <c r="B88" s="1" t="s">
        <v>81</v>
      </c>
      <c r="C88" s="1">
        <v>12</v>
      </c>
      <c r="D88" s="1">
        <v>677</v>
      </c>
      <c r="E88" s="1" t="s">
        <v>64</v>
      </c>
      <c r="F88" s="1">
        <v>999</v>
      </c>
      <c r="G88" s="1" t="s">
        <v>67</v>
      </c>
      <c r="H88" s="2">
        <v>18.04</v>
      </c>
      <c r="I88" s="2">
        <v>216.48</v>
      </c>
      <c r="J88" s="14">
        <f t="shared" si="2"/>
        <v>0</v>
      </c>
      <c r="K88" s="15">
        <f t="shared" si="11"/>
        <v>0</v>
      </c>
      <c r="L88" s="1">
        <v>0</v>
      </c>
      <c r="M88" s="1">
        <v>0</v>
      </c>
      <c r="N88" s="17">
        <f t="shared" si="12"/>
        <v>0</v>
      </c>
      <c r="O88" s="1"/>
      <c r="P88" s="1">
        <v>0</v>
      </c>
      <c r="Q88" s="1">
        <v>0</v>
      </c>
      <c r="R88" s="5">
        <f t="shared" si="4"/>
        <v>0</v>
      </c>
      <c r="S88" s="5">
        <f t="shared" si="5"/>
        <v>0</v>
      </c>
      <c r="T88" s="17">
        <f t="shared" si="13"/>
        <v>0</v>
      </c>
      <c r="U88" s="1"/>
      <c r="V88" s="1">
        <v>0</v>
      </c>
      <c r="W88" s="1">
        <v>0</v>
      </c>
      <c r="X88" s="17">
        <f t="shared" si="9"/>
        <v>0</v>
      </c>
      <c r="Y88" s="1">
        <v>0</v>
      </c>
      <c r="Z88" s="20">
        <v>0</v>
      </c>
      <c r="AA88" s="2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</row>
    <row r="89" spans="1:67" x14ac:dyDescent="0.2">
      <c r="A89" s="1">
        <v>47047</v>
      </c>
      <c r="B89" s="1">
        <v>47047</v>
      </c>
      <c r="C89" s="1">
        <v>15</v>
      </c>
      <c r="D89" s="1">
        <v>677</v>
      </c>
      <c r="E89" s="1" t="s">
        <v>64</v>
      </c>
      <c r="F89" s="1">
        <v>999</v>
      </c>
      <c r="G89" s="1" t="s">
        <v>67</v>
      </c>
      <c r="H89" s="2">
        <v>20.947700000000001</v>
      </c>
      <c r="I89" s="2">
        <v>314.21550000000002</v>
      </c>
      <c r="J89" s="14">
        <f t="shared" si="2"/>
        <v>0</v>
      </c>
      <c r="K89" s="15">
        <f t="shared" si="11"/>
        <v>0</v>
      </c>
      <c r="L89" s="1">
        <v>0</v>
      </c>
      <c r="M89" s="1">
        <v>0</v>
      </c>
      <c r="N89" s="17">
        <f t="shared" si="12"/>
        <v>0</v>
      </c>
      <c r="O89" s="1"/>
      <c r="P89" s="1">
        <v>0</v>
      </c>
      <c r="Q89" s="1">
        <v>0</v>
      </c>
      <c r="R89" s="5">
        <f t="shared" si="4"/>
        <v>0</v>
      </c>
      <c r="S89" s="5">
        <f t="shared" si="5"/>
        <v>0</v>
      </c>
      <c r="T89" s="17">
        <f t="shared" si="13"/>
        <v>0</v>
      </c>
      <c r="U89" s="1"/>
      <c r="V89" s="1">
        <v>0</v>
      </c>
      <c r="W89" s="1">
        <v>0</v>
      </c>
      <c r="X89" s="17">
        <f t="shared" si="9"/>
        <v>0</v>
      </c>
      <c r="Y89" s="1">
        <v>0</v>
      </c>
      <c r="Z89" s="20">
        <v>0</v>
      </c>
      <c r="AA89" s="2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</row>
    <row r="90" spans="1:67" x14ac:dyDescent="0.2">
      <c r="A90" s="1">
        <v>47048</v>
      </c>
      <c r="B90" s="1" t="s">
        <v>166</v>
      </c>
      <c r="C90" s="1">
        <v>4</v>
      </c>
      <c r="D90" s="1">
        <v>677</v>
      </c>
      <c r="E90" s="1" t="s">
        <v>64</v>
      </c>
      <c r="F90" s="1">
        <v>677</v>
      </c>
      <c r="G90" s="1" t="s">
        <v>84</v>
      </c>
      <c r="H90" s="2">
        <v>119.16</v>
      </c>
      <c r="I90" s="2">
        <v>476.64</v>
      </c>
      <c r="J90" s="14">
        <f t="shared" si="2"/>
        <v>0</v>
      </c>
      <c r="K90" s="15">
        <f t="shared" si="11"/>
        <v>0</v>
      </c>
      <c r="L90" s="1">
        <v>0</v>
      </c>
      <c r="M90" s="1">
        <v>0</v>
      </c>
      <c r="N90" s="17">
        <f t="shared" si="12"/>
        <v>0</v>
      </c>
      <c r="O90" s="1"/>
      <c r="P90" s="1">
        <v>0</v>
      </c>
      <c r="Q90" s="1">
        <v>0</v>
      </c>
      <c r="R90" s="5">
        <f t="shared" si="4"/>
        <v>0</v>
      </c>
      <c r="S90" s="5">
        <f t="shared" si="5"/>
        <v>0</v>
      </c>
      <c r="T90" s="17">
        <f t="shared" si="13"/>
        <v>0</v>
      </c>
      <c r="U90" s="1"/>
      <c r="V90" s="1">
        <v>0</v>
      </c>
      <c r="W90" s="1">
        <v>0</v>
      </c>
      <c r="X90" s="17">
        <f t="shared" si="9"/>
        <v>0</v>
      </c>
      <c r="Y90" s="1">
        <v>0</v>
      </c>
      <c r="Z90" s="20">
        <v>0</v>
      </c>
      <c r="AA90" s="2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</row>
    <row r="91" spans="1:67" x14ac:dyDescent="0.2">
      <c r="A91" s="1">
        <v>47049</v>
      </c>
      <c r="B91" s="1" t="s">
        <v>165</v>
      </c>
      <c r="C91" s="1">
        <v>12</v>
      </c>
      <c r="D91" s="1">
        <v>677</v>
      </c>
      <c r="E91" s="1" t="s">
        <v>64</v>
      </c>
      <c r="F91" s="1">
        <v>999</v>
      </c>
      <c r="G91" s="1" t="s">
        <v>67</v>
      </c>
      <c r="H91" s="2">
        <v>34.17</v>
      </c>
      <c r="I91" s="2">
        <v>410.04</v>
      </c>
      <c r="J91" s="14">
        <f t="shared" si="2"/>
        <v>0</v>
      </c>
      <c r="K91" s="15">
        <f t="shared" si="11"/>
        <v>0</v>
      </c>
      <c r="L91" s="1">
        <v>0</v>
      </c>
      <c r="M91" s="1">
        <v>0</v>
      </c>
      <c r="N91" s="17">
        <f t="shared" si="12"/>
        <v>0</v>
      </c>
      <c r="O91" s="1"/>
      <c r="P91" s="1">
        <v>0</v>
      </c>
      <c r="Q91" s="1">
        <v>0</v>
      </c>
      <c r="R91" s="5">
        <f t="shared" si="4"/>
        <v>0</v>
      </c>
      <c r="S91" s="5">
        <f t="shared" si="5"/>
        <v>0</v>
      </c>
      <c r="T91" s="17">
        <f t="shared" si="13"/>
        <v>0</v>
      </c>
      <c r="U91" s="1"/>
      <c r="V91" s="1">
        <v>0</v>
      </c>
      <c r="W91" s="1">
        <v>0</v>
      </c>
      <c r="X91" s="17">
        <f t="shared" si="9"/>
        <v>0</v>
      </c>
      <c r="Y91" s="1">
        <v>0</v>
      </c>
      <c r="Z91" s="20">
        <v>0</v>
      </c>
      <c r="AA91" s="2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</row>
    <row r="92" spans="1:67" x14ac:dyDescent="0.2">
      <c r="A92" s="1">
        <v>47050</v>
      </c>
      <c r="B92" s="1" t="s">
        <v>81</v>
      </c>
      <c r="C92" s="1">
        <v>24</v>
      </c>
      <c r="D92" s="1">
        <v>677</v>
      </c>
      <c r="E92" s="1" t="s">
        <v>64</v>
      </c>
      <c r="F92" s="1">
        <v>999</v>
      </c>
      <c r="G92" s="1" t="s">
        <v>67</v>
      </c>
      <c r="H92" s="2">
        <v>16.470099999999999</v>
      </c>
      <c r="I92" s="2">
        <v>395.2824</v>
      </c>
      <c r="J92" s="14">
        <f t="shared" si="2"/>
        <v>0</v>
      </c>
      <c r="K92" s="15">
        <f t="shared" si="11"/>
        <v>0</v>
      </c>
      <c r="L92" s="1">
        <v>0</v>
      </c>
      <c r="M92" s="1">
        <v>0</v>
      </c>
      <c r="N92" s="17">
        <f t="shared" si="12"/>
        <v>0</v>
      </c>
      <c r="O92" s="1"/>
      <c r="P92" s="1">
        <v>0</v>
      </c>
      <c r="Q92" s="1">
        <v>0</v>
      </c>
      <c r="R92" s="5">
        <f t="shared" si="4"/>
        <v>0</v>
      </c>
      <c r="S92" s="5">
        <f t="shared" si="5"/>
        <v>0</v>
      </c>
      <c r="T92" s="17">
        <f t="shared" si="13"/>
        <v>0</v>
      </c>
      <c r="U92" s="1"/>
      <c r="V92" s="1">
        <v>0</v>
      </c>
      <c r="W92" s="1">
        <v>0</v>
      </c>
      <c r="X92" s="17">
        <f t="shared" si="9"/>
        <v>0</v>
      </c>
      <c r="Y92" s="1">
        <v>0</v>
      </c>
      <c r="Z92" s="20">
        <v>0</v>
      </c>
      <c r="AA92" s="2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</row>
    <row r="93" spans="1:67" x14ac:dyDescent="0.2">
      <c r="A93" s="1">
        <v>47125</v>
      </c>
      <c r="B93" s="1" t="s">
        <v>81</v>
      </c>
      <c r="C93" s="1">
        <v>15</v>
      </c>
      <c r="D93" s="1">
        <v>677</v>
      </c>
      <c r="E93" s="1" t="s">
        <v>64</v>
      </c>
      <c r="F93" s="1">
        <v>999</v>
      </c>
      <c r="G93" s="1" t="s">
        <v>67</v>
      </c>
      <c r="H93" s="2">
        <v>37.9</v>
      </c>
      <c r="I93" s="2">
        <v>568.5</v>
      </c>
      <c r="J93" s="14">
        <f t="shared" si="2"/>
        <v>0</v>
      </c>
      <c r="K93" s="15">
        <f t="shared" si="11"/>
        <v>0</v>
      </c>
      <c r="L93" s="1">
        <v>0</v>
      </c>
      <c r="M93" s="1">
        <v>0</v>
      </c>
      <c r="N93" s="17">
        <f t="shared" si="12"/>
        <v>0</v>
      </c>
      <c r="O93" s="1"/>
      <c r="P93" s="1">
        <v>0</v>
      </c>
      <c r="Q93" s="1">
        <v>0</v>
      </c>
      <c r="R93" s="5">
        <f t="shared" si="4"/>
        <v>0</v>
      </c>
      <c r="S93" s="5">
        <f t="shared" si="5"/>
        <v>0</v>
      </c>
      <c r="T93" s="17">
        <f t="shared" si="13"/>
        <v>0</v>
      </c>
      <c r="U93" s="1"/>
      <c r="V93" s="1">
        <v>0</v>
      </c>
      <c r="W93" s="1">
        <v>0</v>
      </c>
      <c r="X93" s="17">
        <f t="shared" si="9"/>
        <v>0</v>
      </c>
      <c r="Y93" s="1">
        <v>0</v>
      </c>
      <c r="Z93" s="20">
        <v>0</v>
      </c>
      <c r="AA93" s="2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</row>
    <row r="94" spans="1:67" x14ac:dyDescent="0.2">
      <c r="H94" s="26"/>
      <c r="I94" s="26"/>
      <c r="J94" s="26"/>
      <c r="Z94" s="26"/>
      <c r="AA94" s="26"/>
    </row>
    <row r="95" spans="1:67" x14ac:dyDescent="0.2">
      <c r="B95" s="1" t="s">
        <v>176</v>
      </c>
      <c r="H95" s="26"/>
      <c r="I95" s="26"/>
      <c r="J95" s="26"/>
      <c r="Z95" s="26"/>
      <c r="AA95" s="26"/>
    </row>
    <row r="96" spans="1:67" x14ac:dyDescent="0.2">
      <c r="B96" s="1" t="s">
        <v>177</v>
      </c>
      <c r="H96" s="26"/>
      <c r="I96" s="26"/>
      <c r="J96" s="26"/>
      <c r="Z96" s="26"/>
      <c r="AA96" s="26"/>
    </row>
    <row r="97" spans="2:27" x14ac:dyDescent="0.2">
      <c r="B97" s="1" t="s">
        <v>178</v>
      </c>
      <c r="H97" s="26"/>
      <c r="I97" s="26"/>
      <c r="J97" s="26"/>
      <c r="Z97" s="26"/>
      <c r="AA97" s="26"/>
    </row>
    <row r="98" spans="2:27" x14ac:dyDescent="0.2">
      <c r="B98" s="1" t="s">
        <v>179</v>
      </c>
      <c r="H98" s="26"/>
      <c r="I98" s="26"/>
      <c r="J98" s="26"/>
      <c r="Z98" s="26"/>
      <c r="AA98" s="26"/>
    </row>
    <row r="99" spans="2:27" x14ac:dyDescent="0.2">
      <c r="B99" s="1" t="s">
        <v>180</v>
      </c>
      <c r="H99" s="26"/>
      <c r="I99" s="26"/>
      <c r="J99" s="26"/>
      <c r="Z99" s="26"/>
      <c r="AA99" s="26"/>
    </row>
    <row r="100" spans="2:27" x14ac:dyDescent="0.2">
      <c r="H100" s="26"/>
      <c r="I100" s="26"/>
      <c r="J100" s="26"/>
      <c r="Z100" s="26"/>
      <c r="AA100" s="26"/>
    </row>
    <row r="101" spans="2:27" x14ac:dyDescent="0.2">
      <c r="H101" s="26"/>
      <c r="I101" s="26"/>
      <c r="J101" s="26"/>
      <c r="Z101" s="26"/>
      <c r="AA101" s="26"/>
    </row>
    <row r="102" spans="2:27" x14ac:dyDescent="0.2">
      <c r="H102" s="26"/>
      <c r="I102" s="26"/>
      <c r="J102" s="26"/>
      <c r="Z102" s="26"/>
      <c r="AA102" s="26"/>
    </row>
    <row r="103" spans="2:27" x14ac:dyDescent="0.2">
      <c r="H103" s="26"/>
      <c r="I103" s="26"/>
      <c r="J103" s="26"/>
      <c r="Z103" s="26"/>
      <c r="AA103" s="26"/>
    </row>
    <row r="104" spans="2:27" x14ac:dyDescent="0.2">
      <c r="H104" s="26"/>
      <c r="I104" s="26"/>
      <c r="J104" s="26"/>
      <c r="Z104" s="26"/>
      <c r="AA104" s="26"/>
    </row>
    <row r="105" spans="2:27" x14ac:dyDescent="0.2">
      <c r="H105" s="26"/>
      <c r="I105" s="26"/>
      <c r="J105" s="26"/>
      <c r="Z105" s="26"/>
      <c r="AA105" s="26"/>
    </row>
    <row r="106" spans="2:27" x14ac:dyDescent="0.2">
      <c r="H106" s="26"/>
      <c r="I106" s="26"/>
      <c r="J106" s="26"/>
      <c r="Z106" s="26"/>
      <c r="AA106" s="26"/>
    </row>
    <row r="107" spans="2:27" x14ac:dyDescent="0.2">
      <c r="H107" s="26"/>
      <c r="I107" s="26"/>
      <c r="J107" s="26"/>
      <c r="Z107" s="26"/>
      <c r="AA107" s="26"/>
    </row>
    <row r="108" spans="2:27" x14ac:dyDescent="0.2">
      <c r="H108" s="26"/>
      <c r="I108" s="26"/>
      <c r="J108" s="26"/>
      <c r="Z108" s="26"/>
      <c r="AA108" s="26"/>
    </row>
    <row r="109" spans="2:27" x14ac:dyDescent="0.2">
      <c r="H109" s="26"/>
      <c r="I109" s="26"/>
      <c r="J109" s="26"/>
      <c r="Z109" s="26"/>
      <c r="AA109" s="26"/>
    </row>
    <row r="110" spans="2:27" x14ac:dyDescent="0.2">
      <c r="H110" s="26"/>
      <c r="I110" s="26"/>
      <c r="J110" s="26"/>
      <c r="Z110" s="26"/>
      <c r="AA110" s="26"/>
    </row>
    <row r="111" spans="2:27" x14ac:dyDescent="0.2">
      <c r="H111" s="26"/>
      <c r="I111" s="26"/>
      <c r="J111" s="26"/>
      <c r="Z111" s="26"/>
      <c r="AA111" s="26"/>
    </row>
    <row r="112" spans="2:27" x14ac:dyDescent="0.2">
      <c r="H112" s="26"/>
      <c r="I112" s="26"/>
      <c r="J112" s="26"/>
      <c r="Z112" s="26"/>
      <c r="AA112" s="26"/>
    </row>
    <row r="113" spans="8:27" x14ac:dyDescent="0.2">
      <c r="H113" s="26"/>
      <c r="I113" s="26"/>
      <c r="J113" s="26"/>
      <c r="Z113" s="26"/>
      <c r="AA113" s="26"/>
    </row>
    <row r="114" spans="8:27" x14ac:dyDescent="0.2">
      <c r="H114" s="26"/>
      <c r="I114" s="26"/>
      <c r="J114" s="26"/>
      <c r="Z114" s="26"/>
      <c r="AA114" s="26"/>
    </row>
    <row r="115" spans="8:27" x14ac:dyDescent="0.2">
      <c r="H115" s="26"/>
      <c r="I115" s="26"/>
      <c r="J115" s="26"/>
      <c r="Z115" s="26"/>
      <c r="AA115" s="26"/>
    </row>
    <row r="116" spans="8:27" x14ac:dyDescent="0.2">
      <c r="H116" s="26"/>
      <c r="I116" s="26"/>
      <c r="J116" s="26"/>
      <c r="Z116" s="26"/>
      <c r="AA116" s="26"/>
    </row>
    <row r="117" spans="8:27" x14ac:dyDescent="0.2">
      <c r="H117" s="26"/>
      <c r="I117" s="26"/>
      <c r="J117" s="26"/>
      <c r="Z117" s="26"/>
      <c r="AA117" s="26"/>
    </row>
    <row r="118" spans="8:27" x14ac:dyDescent="0.2">
      <c r="H118" s="26"/>
      <c r="I118" s="26"/>
      <c r="J118" s="26"/>
      <c r="Z118" s="26"/>
      <c r="AA118" s="26"/>
    </row>
    <row r="119" spans="8:27" x14ac:dyDescent="0.2">
      <c r="H119" s="26"/>
      <c r="I119" s="26"/>
      <c r="J119" s="26"/>
      <c r="Z119" s="26"/>
      <c r="AA119" s="26"/>
    </row>
    <row r="120" spans="8:27" x14ac:dyDescent="0.2">
      <c r="H120" s="26"/>
      <c r="I120" s="26"/>
      <c r="J120" s="26"/>
      <c r="Z120" s="26"/>
      <c r="AA120" s="26"/>
    </row>
    <row r="121" spans="8:27" x14ac:dyDescent="0.2">
      <c r="H121" s="26"/>
      <c r="I121" s="26"/>
      <c r="J121" s="26"/>
      <c r="Z121" s="26"/>
      <c r="AA121" s="26"/>
    </row>
    <row r="122" spans="8:27" x14ac:dyDescent="0.2">
      <c r="H122" s="26"/>
      <c r="I122" s="26"/>
      <c r="J122" s="26"/>
      <c r="Z122" s="26"/>
      <c r="AA122" s="26"/>
    </row>
    <row r="123" spans="8:27" x14ac:dyDescent="0.2">
      <c r="H123" s="26"/>
      <c r="I123" s="26"/>
      <c r="J123" s="26"/>
      <c r="Z123" s="26"/>
      <c r="AA123" s="26"/>
    </row>
    <row r="124" spans="8:27" x14ac:dyDescent="0.2">
      <c r="H124" s="26"/>
      <c r="I124" s="26"/>
      <c r="J124" s="26"/>
      <c r="Z124" s="26"/>
      <c r="AA124" s="26"/>
    </row>
    <row r="125" spans="8:27" x14ac:dyDescent="0.2">
      <c r="H125" s="26"/>
      <c r="I125" s="26"/>
      <c r="J125" s="26"/>
      <c r="Z125" s="26"/>
      <c r="AA125" s="26"/>
    </row>
    <row r="126" spans="8:27" x14ac:dyDescent="0.2">
      <c r="H126" s="26"/>
      <c r="I126" s="26"/>
      <c r="J126" s="26"/>
      <c r="Z126" s="26"/>
      <c r="AA126" s="26"/>
    </row>
    <row r="127" spans="8:27" x14ac:dyDescent="0.2">
      <c r="H127" s="26"/>
      <c r="I127" s="26"/>
      <c r="J127" s="26"/>
      <c r="Z127" s="26"/>
      <c r="AA127" s="26"/>
    </row>
    <row r="128" spans="8:27" x14ac:dyDescent="0.2">
      <c r="H128" s="26"/>
      <c r="I128" s="26"/>
      <c r="J128" s="26"/>
      <c r="Z128" s="26"/>
      <c r="AA128" s="26"/>
    </row>
    <row r="129" spans="8:27" x14ac:dyDescent="0.2">
      <c r="H129" s="26"/>
      <c r="I129" s="26"/>
      <c r="J129" s="26"/>
      <c r="Z129" s="26"/>
      <c r="AA129" s="26"/>
    </row>
    <row r="130" spans="8:27" x14ac:dyDescent="0.2">
      <c r="H130" s="26"/>
      <c r="I130" s="26"/>
      <c r="J130" s="26"/>
      <c r="Z130" s="26"/>
      <c r="AA130" s="26"/>
    </row>
    <row r="131" spans="8:27" x14ac:dyDescent="0.2">
      <c r="H131" s="26"/>
      <c r="I131" s="26"/>
      <c r="J131" s="26"/>
      <c r="Z131" s="26"/>
      <c r="AA131" s="26"/>
    </row>
    <row r="132" spans="8:27" x14ac:dyDescent="0.2">
      <c r="H132" s="26"/>
      <c r="I132" s="26"/>
      <c r="J132" s="26"/>
      <c r="Z132" s="26"/>
      <c r="AA132" s="26"/>
    </row>
    <row r="133" spans="8:27" x14ac:dyDescent="0.2">
      <c r="H133" s="26"/>
      <c r="I133" s="26"/>
      <c r="J133" s="26"/>
      <c r="Z133" s="26"/>
      <c r="AA133" s="26"/>
    </row>
    <row r="134" spans="8:27" x14ac:dyDescent="0.2">
      <c r="H134" s="26"/>
      <c r="I134" s="26"/>
      <c r="J134" s="26"/>
      <c r="Z134" s="26"/>
      <c r="AA134" s="26"/>
    </row>
    <row r="135" spans="8:27" x14ac:dyDescent="0.2">
      <c r="H135" s="26"/>
      <c r="I135" s="26"/>
      <c r="J135" s="26"/>
      <c r="Z135" s="26"/>
      <c r="AA135" s="26"/>
    </row>
    <row r="136" spans="8:27" x14ac:dyDescent="0.2">
      <c r="H136" s="26"/>
      <c r="I136" s="26"/>
      <c r="J136" s="26"/>
      <c r="Z136" s="26"/>
      <c r="AA136" s="26"/>
    </row>
    <row r="137" spans="8:27" x14ac:dyDescent="0.2">
      <c r="H137" s="26"/>
      <c r="I137" s="26"/>
      <c r="J137" s="26"/>
      <c r="Z137" s="26"/>
      <c r="AA137" s="26"/>
    </row>
    <row r="138" spans="8:27" x14ac:dyDescent="0.2">
      <c r="H138" s="26"/>
      <c r="I138" s="26"/>
      <c r="J138" s="26"/>
      <c r="Z138" s="26"/>
      <c r="AA138" s="26"/>
    </row>
    <row r="139" spans="8:27" x14ac:dyDescent="0.2">
      <c r="H139" s="26"/>
      <c r="I139" s="26"/>
      <c r="J139" s="26"/>
      <c r="Z139" s="26"/>
      <c r="AA139" s="26"/>
    </row>
    <row r="140" spans="8:27" x14ac:dyDescent="0.2">
      <c r="H140" s="26"/>
      <c r="I140" s="26"/>
      <c r="J140" s="26"/>
      <c r="Z140" s="26"/>
      <c r="AA140" s="26"/>
    </row>
    <row r="141" spans="8:27" x14ac:dyDescent="0.2">
      <c r="H141" s="26"/>
      <c r="I141" s="26"/>
      <c r="J141" s="26"/>
      <c r="Z141" s="26"/>
      <c r="AA141" s="26"/>
    </row>
    <row r="142" spans="8:27" x14ac:dyDescent="0.2">
      <c r="H142" s="26"/>
      <c r="I142" s="26"/>
      <c r="J142" s="26"/>
      <c r="Z142" s="26"/>
      <c r="AA142" s="26"/>
    </row>
    <row r="143" spans="8:27" x14ac:dyDescent="0.2">
      <c r="H143" s="26"/>
      <c r="I143" s="26"/>
      <c r="J143" s="26"/>
      <c r="Z143" s="26"/>
      <c r="AA143" s="26"/>
    </row>
    <row r="144" spans="8:27" x14ac:dyDescent="0.2">
      <c r="H144" s="26"/>
      <c r="I144" s="26"/>
      <c r="J144" s="26"/>
      <c r="Z144" s="26"/>
      <c r="AA144" s="26"/>
    </row>
    <row r="145" spans="8:27" x14ac:dyDescent="0.2">
      <c r="H145" s="26"/>
      <c r="I145" s="26"/>
      <c r="J145" s="26"/>
      <c r="Z145" s="26"/>
      <c r="AA145" s="26"/>
    </row>
    <row r="146" spans="8:27" x14ac:dyDescent="0.2">
      <c r="H146" s="26"/>
      <c r="I146" s="26"/>
      <c r="J146" s="26"/>
      <c r="Z146" s="26"/>
      <c r="AA146" s="26"/>
    </row>
    <row r="147" spans="8:27" x14ac:dyDescent="0.2">
      <c r="H147" s="26"/>
      <c r="I147" s="26"/>
      <c r="J147" s="26"/>
      <c r="Z147" s="26"/>
      <c r="AA147" s="26"/>
    </row>
    <row r="148" spans="8:27" x14ac:dyDescent="0.2">
      <c r="H148" s="26"/>
      <c r="I148" s="26"/>
      <c r="J148" s="26"/>
      <c r="Z148" s="26"/>
      <c r="AA148" s="26"/>
    </row>
    <row r="149" spans="8:27" x14ac:dyDescent="0.2">
      <c r="H149" s="26"/>
      <c r="I149" s="26"/>
      <c r="J149" s="26"/>
      <c r="Z149" s="26"/>
      <c r="AA149" s="26"/>
    </row>
    <row r="150" spans="8:27" x14ac:dyDescent="0.2">
      <c r="H150" s="26"/>
      <c r="I150" s="26"/>
      <c r="J150" s="26"/>
      <c r="Z150" s="26"/>
      <c r="AA150" s="26"/>
    </row>
    <row r="151" spans="8:27" x14ac:dyDescent="0.2">
      <c r="H151" s="26"/>
      <c r="I151" s="26"/>
      <c r="J151" s="26"/>
      <c r="Z151" s="26"/>
      <c r="AA151" s="26"/>
    </row>
    <row r="152" spans="8:27" x14ac:dyDescent="0.2">
      <c r="H152" s="26"/>
      <c r="I152" s="26"/>
      <c r="J152" s="26"/>
      <c r="Z152" s="26"/>
      <c r="AA152" s="26"/>
    </row>
    <row r="153" spans="8:27" x14ac:dyDescent="0.2">
      <c r="H153" s="26"/>
      <c r="I153" s="26"/>
      <c r="J153" s="26"/>
      <c r="Z153" s="26"/>
      <c r="AA153" s="26"/>
    </row>
    <row r="154" spans="8:27" x14ac:dyDescent="0.2">
      <c r="H154" s="26"/>
      <c r="I154" s="26"/>
      <c r="J154" s="26"/>
      <c r="Z154" s="26"/>
      <c r="AA154" s="26"/>
    </row>
    <row r="155" spans="8:27" x14ac:dyDescent="0.2">
      <c r="H155" s="26"/>
      <c r="I155" s="26"/>
      <c r="J155" s="26"/>
      <c r="Z155" s="26"/>
      <c r="AA155" s="26"/>
    </row>
    <row r="156" spans="8:27" x14ac:dyDescent="0.2">
      <c r="H156" s="26"/>
      <c r="I156" s="26"/>
      <c r="J156" s="26"/>
      <c r="Z156" s="26"/>
      <c r="AA156" s="26"/>
    </row>
    <row r="157" spans="8:27" x14ac:dyDescent="0.2">
      <c r="H157" s="26"/>
      <c r="I157" s="26"/>
      <c r="J157" s="26"/>
      <c r="Z157" s="26"/>
      <c r="AA157" s="26"/>
    </row>
    <row r="158" spans="8:27" x14ac:dyDescent="0.2">
      <c r="H158" s="26"/>
      <c r="I158" s="26"/>
      <c r="J158" s="26"/>
      <c r="Z158" s="26"/>
      <c r="AA158" s="26"/>
    </row>
    <row r="159" spans="8:27" x14ac:dyDescent="0.2">
      <c r="H159" s="26"/>
      <c r="I159" s="26"/>
      <c r="J159" s="26"/>
      <c r="Z159" s="26"/>
      <c r="AA159" s="26"/>
    </row>
    <row r="160" spans="8:27" x14ac:dyDescent="0.2">
      <c r="H160" s="26"/>
      <c r="I160" s="26"/>
      <c r="J160" s="26"/>
      <c r="Z160" s="26"/>
      <c r="AA160" s="26"/>
    </row>
    <row r="161" spans="8:27" x14ac:dyDescent="0.2">
      <c r="H161" s="26"/>
      <c r="I161" s="26"/>
      <c r="J161" s="26"/>
      <c r="Z161" s="26"/>
      <c r="AA161" s="26"/>
    </row>
    <row r="162" spans="8:27" x14ac:dyDescent="0.2">
      <c r="H162" s="26"/>
      <c r="I162" s="26"/>
      <c r="J162" s="26"/>
      <c r="Z162" s="26"/>
      <c r="AA162" s="26"/>
    </row>
    <row r="163" spans="8:27" x14ac:dyDescent="0.2">
      <c r="H163" s="26"/>
      <c r="I163" s="26"/>
      <c r="J163" s="26"/>
      <c r="Z163" s="26"/>
      <c r="AA163" s="26"/>
    </row>
    <row r="164" spans="8:27" x14ac:dyDescent="0.2">
      <c r="H164" s="26"/>
      <c r="I164" s="26"/>
      <c r="J164" s="26"/>
      <c r="Z164" s="26"/>
      <c r="AA164" s="26"/>
    </row>
    <row r="165" spans="8:27" x14ac:dyDescent="0.2">
      <c r="H165" s="26"/>
      <c r="I165" s="26"/>
      <c r="J165" s="26"/>
      <c r="Z165" s="26"/>
      <c r="AA165" s="26"/>
    </row>
    <row r="166" spans="8:27" x14ac:dyDescent="0.2">
      <c r="H166" s="26"/>
      <c r="I166" s="26"/>
      <c r="J166" s="26"/>
      <c r="Z166" s="26"/>
      <c r="AA166" s="26"/>
    </row>
    <row r="167" spans="8:27" x14ac:dyDescent="0.2">
      <c r="H167" s="26"/>
      <c r="I167" s="26"/>
      <c r="J167" s="26"/>
      <c r="Z167" s="26"/>
      <c r="AA167" s="26"/>
    </row>
    <row r="168" spans="8:27" x14ac:dyDescent="0.2">
      <c r="H168" s="26"/>
      <c r="I168" s="26"/>
      <c r="J168" s="26"/>
      <c r="Z168" s="26"/>
      <c r="AA168" s="26"/>
    </row>
    <row r="169" spans="8:27" x14ac:dyDescent="0.2">
      <c r="H169" s="26"/>
      <c r="I169" s="26"/>
      <c r="J169" s="26"/>
      <c r="Z169" s="26"/>
      <c r="AA169" s="26"/>
    </row>
    <row r="170" spans="8:27" x14ac:dyDescent="0.2">
      <c r="H170" s="26"/>
      <c r="I170" s="26"/>
      <c r="J170" s="26"/>
      <c r="Z170" s="26"/>
      <c r="AA170" s="26"/>
    </row>
    <row r="171" spans="8:27" x14ac:dyDescent="0.2">
      <c r="H171" s="26"/>
      <c r="I171" s="26"/>
      <c r="J171" s="26"/>
      <c r="Z171" s="26"/>
      <c r="AA171" s="26"/>
    </row>
    <row r="172" spans="8:27" x14ac:dyDescent="0.2">
      <c r="H172" s="26"/>
      <c r="I172" s="26"/>
      <c r="J172" s="26"/>
      <c r="Z172" s="26"/>
      <c r="AA172" s="26"/>
    </row>
    <row r="173" spans="8:27" x14ac:dyDescent="0.2">
      <c r="H173" s="26"/>
      <c r="I173" s="26"/>
      <c r="J173" s="26"/>
      <c r="Z173" s="26"/>
      <c r="AA173" s="26"/>
    </row>
    <row r="174" spans="8:27" x14ac:dyDescent="0.2">
      <c r="H174" s="26"/>
      <c r="I174" s="26"/>
      <c r="J174" s="26"/>
      <c r="Z174" s="26"/>
      <c r="AA174" s="26"/>
    </row>
    <row r="175" spans="8:27" x14ac:dyDescent="0.2">
      <c r="H175" s="26"/>
      <c r="I175" s="26"/>
      <c r="J175" s="26"/>
      <c r="Z175" s="26"/>
      <c r="AA175" s="26"/>
    </row>
    <row r="176" spans="8:27" x14ac:dyDescent="0.2">
      <c r="H176" s="26"/>
      <c r="I176" s="26"/>
      <c r="J176" s="26"/>
      <c r="Z176" s="26"/>
      <c r="AA176" s="26"/>
    </row>
    <row r="177" spans="8:27" x14ac:dyDescent="0.2">
      <c r="H177" s="26"/>
      <c r="I177" s="26"/>
      <c r="J177" s="26"/>
      <c r="Z177" s="26"/>
      <c r="AA177" s="26"/>
    </row>
    <row r="178" spans="8:27" x14ac:dyDescent="0.2">
      <c r="H178" s="26"/>
      <c r="I178" s="26"/>
      <c r="J178" s="26"/>
      <c r="Z178" s="26"/>
      <c r="AA178" s="26"/>
    </row>
    <row r="179" spans="8:27" x14ac:dyDescent="0.2">
      <c r="H179" s="26"/>
      <c r="I179" s="26"/>
      <c r="J179" s="26"/>
      <c r="Z179" s="26"/>
      <c r="AA179" s="26"/>
    </row>
    <row r="180" spans="8:27" x14ac:dyDescent="0.2">
      <c r="H180" s="26"/>
      <c r="I180" s="26"/>
      <c r="J180" s="26"/>
      <c r="Z180" s="26"/>
      <c r="AA180" s="26"/>
    </row>
    <row r="181" spans="8:27" x14ac:dyDescent="0.2">
      <c r="H181" s="26"/>
      <c r="I181" s="26"/>
      <c r="J181" s="26"/>
      <c r="Z181" s="26"/>
      <c r="AA181" s="26"/>
    </row>
    <row r="182" spans="8:27" x14ac:dyDescent="0.2">
      <c r="H182" s="26"/>
      <c r="I182" s="26"/>
      <c r="J182" s="26"/>
      <c r="Z182" s="26"/>
      <c r="AA182" s="26"/>
    </row>
    <row r="183" spans="8:27" x14ac:dyDescent="0.2">
      <c r="H183" s="26"/>
      <c r="I183" s="26"/>
      <c r="J183" s="26"/>
      <c r="Z183" s="26"/>
      <c r="AA183" s="26"/>
    </row>
    <row r="184" spans="8:27" x14ac:dyDescent="0.2">
      <c r="H184" s="26"/>
      <c r="I184" s="26"/>
      <c r="J184" s="26"/>
      <c r="Z184" s="26"/>
      <c r="AA184" s="26"/>
    </row>
    <row r="185" spans="8:27" x14ac:dyDescent="0.2">
      <c r="H185" s="26"/>
      <c r="I185" s="26"/>
      <c r="J185" s="26"/>
      <c r="Z185" s="26"/>
      <c r="AA185" s="26"/>
    </row>
    <row r="186" spans="8:27" x14ac:dyDescent="0.2">
      <c r="H186" s="26"/>
      <c r="I186" s="26"/>
      <c r="J186" s="26"/>
      <c r="Z186" s="26"/>
      <c r="AA186" s="26"/>
    </row>
    <row r="187" spans="8:27" x14ac:dyDescent="0.2">
      <c r="H187" s="26"/>
      <c r="I187" s="26"/>
      <c r="J187" s="26"/>
      <c r="Z187" s="26"/>
      <c r="AA187" s="26"/>
    </row>
    <row r="188" spans="8:27" x14ac:dyDescent="0.2">
      <c r="H188" s="26"/>
      <c r="I188" s="26"/>
      <c r="J188" s="26"/>
      <c r="Z188" s="26"/>
      <c r="AA188" s="26"/>
    </row>
    <row r="189" spans="8:27" x14ac:dyDescent="0.2">
      <c r="H189" s="26"/>
      <c r="I189" s="26"/>
      <c r="J189" s="26"/>
      <c r="Z189" s="26"/>
      <c r="AA189" s="26"/>
    </row>
    <row r="190" spans="8:27" x14ac:dyDescent="0.2">
      <c r="H190" s="26"/>
      <c r="I190" s="26"/>
      <c r="J190" s="26"/>
      <c r="Z190" s="26"/>
      <c r="AA190" s="26"/>
    </row>
    <row r="191" spans="8:27" x14ac:dyDescent="0.2">
      <c r="H191" s="26"/>
      <c r="I191" s="26"/>
      <c r="J191" s="26"/>
      <c r="Z191" s="26"/>
      <c r="AA191" s="26"/>
    </row>
    <row r="192" spans="8:27" x14ac:dyDescent="0.2">
      <c r="H192" s="26"/>
      <c r="I192" s="26"/>
      <c r="J192" s="26"/>
      <c r="Z192" s="26"/>
      <c r="AA192" s="26"/>
    </row>
    <row r="193" spans="8:27" x14ac:dyDescent="0.2">
      <c r="H193" s="26"/>
      <c r="I193" s="26"/>
      <c r="J193" s="26"/>
      <c r="Z193" s="26"/>
      <c r="AA193" s="26"/>
    </row>
    <row r="194" spans="8:27" x14ac:dyDescent="0.2">
      <c r="H194" s="26"/>
      <c r="I194" s="26"/>
      <c r="J194" s="26"/>
      <c r="Z194" s="26"/>
      <c r="AA194" s="26"/>
    </row>
    <row r="195" spans="8:27" x14ac:dyDescent="0.2">
      <c r="H195" s="26"/>
      <c r="I195" s="26"/>
      <c r="J195" s="26"/>
      <c r="Z195" s="26"/>
      <c r="AA195" s="26"/>
    </row>
    <row r="196" spans="8:27" x14ac:dyDescent="0.2">
      <c r="H196" s="26"/>
      <c r="I196" s="26"/>
      <c r="J196" s="26"/>
      <c r="Z196" s="26"/>
      <c r="AA196" s="26"/>
    </row>
    <row r="197" spans="8:27" x14ac:dyDescent="0.2">
      <c r="H197" s="26"/>
      <c r="I197" s="26"/>
      <c r="J197" s="26"/>
      <c r="Z197" s="26"/>
      <c r="AA197" s="26"/>
    </row>
    <row r="198" spans="8:27" x14ac:dyDescent="0.2">
      <c r="H198" s="26"/>
      <c r="I198" s="26"/>
      <c r="J198" s="26"/>
      <c r="Z198" s="26"/>
      <c r="AA198" s="26"/>
    </row>
    <row r="199" spans="8:27" x14ac:dyDescent="0.2">
      <c r="H199" s="26"/>
      <c r="I199" s="26"/>
      <c r="J199" s="26"/>
      <c r="Z199" s="26"/>
      <c r="AA199" s="26"/>
    </row>
    <row r="200" spans="8:27" x14ac:dyDescent="0.2">
      <c r="H200" s="26"/>
      <c r="I200" s="26"/>
      <c r="J200" s="26"/>
      <c r="Z200" s="26"/>
      <c r="AA200" s="26"/>
    </row>
    <row r="201" spans="8:27" x14ac:dyDescent="0.2">
      <c r="H201" s="26"/>
      <c r="I201" s="26"/>
      <c r="J201" s="26"/>
      <c r="Z201" s="26"/>
      <c r="AA201" s="26"/>
    </row>
    <row r="202" spans="8:27" x14ac:dyDescent="0.2">
      <c r="H202" s="26"/>
      <c r="I202" s="26"/>
      <c r="J202" s="26"/>
      <c r="Z202" s="26"/>
      <c r="AA202" s="26"/>
    </row>
    <row r="203" spans="8:27" x14ac:dyDescent="0.2">
      <c r="H203" s="26"/>
      <c r="I203" s="26"/>
      <c r="J203" s="26"/>
      <c r="Z203" s="26"/>
      <c r="AA203" s="26"/>
    </row>
    <row r="204" spans="8:27" x14ac:dyDescent="0.2">
      <c r="H204" s="26"/>
      <c r="I204" s="26"/>
      <c r="J204" s="26"/>
      <c r="Z204" s="26"/>
      <c r="AA204" s="26"/>
    </row>
    <row r="205" spans="8:27" x14ac:dyDescent="0.2">
      <c r="H205" s="26"/>
      <c r="I205" s="26"/>
      <c r="J205" s="26"/>
      <c r="Z205" s="26"/>
      <c r="AA205" s="26"/>
    </row>
    <row r="206" spans="8:27" x14ac:dyDescent="0.2">
      <c r="H206" s="26"/>
      <c r="I206" s="26"/>
      <c r="J206" s="26"/>
      <c r="Z206" s="26"/>
      <c r="AA206" s="26"/>
    </row>
    <row r="207" spans="8:27" x14ac:dyDescent="0.2">
      <c r="H207" s="26"/>
      <c r="I207" s="26"/>
      <c r="J207" s="26"/>
      <c r="Z207" s="26"/>
      <c r="AA207" s="26"/>
    </row>
    <row r="208" spans="8:27" x14ac:dyDescent="0.2">
      <c r="H208" s="26"/>
      <c r="I208" s="26"/>
      <c r="J208" s="26"/>
      <c r="Z208" s="26"/>
      <c r="AA208" s="26"/>
    </row>
    <row r="209" spans="8:27" x14ac:dyDescent="0.2">
      <c r="H209" s="26"/>
      <c r="I209" s="26"/>
      <c r="J209" s="26"/>
      <c r="Z209" s="26"/>
      <c r="AA209" s="26"/>
    </row>
    <row r="210" spans="8:27" x14ac:dyDescent="0.2">
      <c r="H210" s="26"/>
      <c r="I210" s="26"/>
      <c r="J210" s="26"/>
      <c r="Z210" s="26"/>
      <c r="AA210" s="26"/>
    </row>
    <row r="211" spans="8:27" x14ac:dyDescent="0.2">
      <c r="H211" s="26"/>
      <c r="I211" s="26"/>
      <c r="J211" s="26"/>
      <c r="Z211" s="26"/>
      <c r="AA211" s="26"/>
    </row>
    <row r="212" spans="8:27" x14ac:dyDescent="0.2">
      <c r="H212" s="26"/>
      <c r="I212" s="26"/>
      <c r="J212" s="26"/>
      <c r="Z212" s="26"/>
      <c r="AA212" s="26"/>
    </row>
    <row r="213" spans="8:27" x14ac:dyDescent="0.2">
      <c r="H213" s="26"/>
      <c r="I213" s="26"/>
      <c r="J213" s="26"/>
      <c r="Z213" s="26"/>
      <c r="AA213" s="26"/>
    </row>
    <row r="214" spans="8:27" x14ac:dyDescent="0.2">
      <c r="H214" s="26"/>
      <c r="I214" s="26"/>
      <c r="J214" s="26"/>
      <c r="Z214" s="26"/>
      <c r="AA214" s="26"/>
    </row>
    <row r="215" spans="8:27" x14ac:dyDescent="0.2">
      <c r="H215" s="26"/>
      <c r="I215" s="26"/>
      <c r="J215" s="26"/>
      <c r="Z215" s="26"/>
      <c r="AA215" s="26"/>
    </row>
    <row r="216" spans="8:27" x14ac:dyDescent="0.2">
      <c r="H216" s="26"/>
      <c r="I216" s="26"/>
      <c r="J216" s="26"/>
      <c r="Z216" s="26"/>
      <c r="AA216" s="26"/>
    </row>
    <row r="217" spans="8:27" x14ac:dyDescent="0.2">
      <c r="H217" s="26"/>
      <c r="I217" s="26"/>
      <c r="J217" s="26"/>
      <c r="Z217" s="26"/>
      <c r="AA217" s="26"/>
    </row>
    <row r="218" spans="8:27" x14ac:dyDescent="0.2">
      <c r="H218" s="26"/>
      <c r="I218" s="26"/>
      <c r="J218" s="26"/>
      <c r="Z218" s="26"/>
      <c r="AA218" s="26"/>
    </row>
    <row r="219" spans="8:27" x14ac:dyDescent="0.2">
      <c r="H219" s="26"/>
      <c r="I219" s="26"/>
      <c r="J219" s="26"/>
      <c r="Z219" s="26"/>
      <c r="AA219" s="26"/>
    </row>
    <row r="220" spans="8:27" x14ac:dyDescent="0.2">
      <c r="H220" s="26"/>
      <c r="I220" s="26"/>
      <c r="J220" s="26"/>
      <c r="Z220" s="26"/>
      <c r="AA220" s="26"/>
    </row>
    <row r="221" spans="8:27" x14ac:dyDescent="0.2">
      <c r="H221" s="26"/>
      <c r="I221" s="26"/>
      <c r="J221" s="26"/>
      <c r="Z221" s="26"/>
      <c r="AA221" s="26"/>
    </row>
    <row r="222" spans="8:27" x14ac:dyDescent="0.2">
      <c r="H222" s="26"/>
      <c r="I222" s="26"/>
      <c r="J222" s="26"/>
      <c r="Z222" s="26"/>
      <c r="AA222" s="26"/>
    </row>
    <row r="223" spans="8:27" x14ac:dyDescent="0.2">
      <c r="H223" s="26"/>
      <c r="I223" s="26"/>
      <c r="J223" s="26"/>
      <c r="Z223" s="26"/>
      <c r="AA223" s="26"/>
    </row>
    <row r="224" spans="8:27" x14ac:dyDescent="0.2">
      <c r="H224" s="26"/>
      <c r="I224" s="26"/>
      <c r="J224" s="26"/>
      <c r="Z224" s="26"/>
      <c r="AA224" s="26"/>
    </row>
    <row r="225" spans="8:27" x14ac:dyDescent="0.2">
      <c r="H225" s="26"/>
      <c r="I225" s="26"/>
      <c r="J225" s="26"/>
      <c r="Z225" s="26"/>
      <c r="AA225" s="26"/>
    </row>
    <row r="226" spans="8:27" x14ac:dyDescent="0.2">
      <c r="H226" s="26"/>
      <c r="I226" s="26"/>
      <c r="J226" s="26"/>
      <c r="Z226" s="26"/>
      <c r="AA226" s="26"/>
    </row>
    <row r="227" spans="8:27" x14ac:dyDescent="0.2">
      <c r="H227" s="26"/>
      <c r="I227" s="26"/>
      <c r="J227" s="26"/>
      <c r="Z227" s="26"/>
      <c r="AA227" s="26"/>
    </row>
    <row r="228" spans="8:27" x14ac:dyDescent="0.2">
      <c r="H228" s="26"/>
      <c r="I228" s="26"/>
      <c r="J228" s="26"/>
      <c r="Z228" s="26"/>
      <c r="AA228" s="26"/>
    </row>
    <row r="229" spans="8:27" x14ac:dyDescent="0.2">
      <c r="H229" s="26"/>
      <c r="I229" s="26"/>
      <c r="J229" s="26"/>
      <c r="Z229" s="26"/>
      <c r="AA229" s="26"/>
    </row>
    <row r="230" spans="8:27" x14ac:dyDescent="0.2">
      <c r="H230" s="26"/>
      <c r="I230" s="26"/>
      <c r="J230" s="26"/>
      <c r="Z230" s="26"/>
      <c r="AA230" s="26"/>
    </row>
    <row r="231" spans="8:27" x14ac:dyDescent="0.2">
      <c r="H231" s="26"/>
      <c r="I231" s="26"/>
      <c r="J231" s="26"/>
      <c r="Z231" s="26"/>
      <c r="AA231" s="26"/>
    </row>
    <row r="232" spans="8:27" x14ac:dyDescent="0.2">
      <c r="H232" s="26"/>
      <c r="I232" s="26"/>
      <c r="J232" s="26"/>
      <c r="Z232" s="26"/>
      <c r="AA232" s="26"/>
    </row>
    <row r="233" spans="8:27" x14ac:dyDescent="0.2">
      <c r="H233" s="26"/>
      <c r="I233" s="26"/>
      <c r="J233" s="26"/>
      <c r="Z233" s="26"/>
      <c r="AA233" s="26"/>
    </row>
    <row r="234" spans="8:27" x14ac:dyDescent="0.2">
      <c r="H234" s="26"/>
      <c r="I234" s="26"/>
      <c r="J234" s="26"/>
      <c r="Z234" s="26"/>
      <c r="AA234" s="26"/>
    </row>
    <row r="235" spans="8:27" x14ac:dyDescent="0.2">
      <c r="H235" s="26"/>
      <c r="I235" s="26"/>
      <c r="J235" s="26"/>
      <c r="Z235" s="26"/>
      <c r="AA235" s="26"/>
    </row>
    <row r="236" spans="8:27" x14ac:dyDescent="0.2">
      <c r="H236" s="26"/>
      <c r="I236" s="26"/>
      <c r="J236" s="26"/>
      <c r="Z236" s="26"/>
      <c r="AA236" s="26"/>
    </row>
    <row r="237" spans="8:27" x14ac:dyDescent="0.2">
      <c r="H237" s="26"/>
      <c r="I237" s="26"/>
      <c r="J237" s="26"/>
      <c r="Z237" s="26"/>
      <c r="AA237" s="26"/>
    </row>
    <row r="238" spans="8:27" x14ac:dyDescent="0.2">
      <c r="H238" s="26"/>
      <c r="I238" s="26"/>
      <c r="J238" s="26"/>
      <c r="Z238" s="26"/>
      <c r="AA238" s="26"/>
    </row>
    <row r="239" spans="8:27" x14ac:dyDescent="0.2">
      <c r="H239" s="26"/>
      <c r="I239" s="26"/>
      <c r="J239" s="26"/>
      <c r="Z239" s="26"/>
      <c r="AA239" s="26"/>
    </row>
    <row r="240" spans="8:27" x14ac:dyDescent="0.2">
      <c r="H240" s="26"/>
      <c r="I240" s="26"/>
      <c r="J240" s="26"/>
      <c r="Z240" s="26"/>
      <c r="AA240" s="26"/>
    </row>
    <row r="241" spans="8:27" x14ac:dyDescent="0.2">
      <c r="H241" s="26"/>
      <c r="I241" s="26"/>
      <c r="J241" s="26"/>
      <c r="Z241" s="26"/>
      <c r="AA241" s="26"/>
    </row>
    <row r="242" spans="8:27" x14ac:dyDescent="0.2">
      <c r="H242" s="26"/>
      <c r="I242" s="26"/>
      <c r="J242" s="26"/>
      <c r="Z242" s="26"/>
      <c r="AA242" s="26"/>
    </row>
    <row r="243" spans="8:27" x14ac:dyDescent="0.2">
      <c r="H243" s="26"/>
      <c r="I243" s="26"/>
      <c r="J243" s="26"/>
      <c r="Z243" s="26"/>
      <c r="AA243" s="26"/>
    </row>
    <row r="244" spans="8:27" x14ac:dyDescent="0.2">
      <c r="H244" s="26"/>
      <c r="I244" s="26"/>
      <c r="J244" s="26"/>
      <c r="Z244" s="26"/>
      <c r="AA244" s="26"/>
    </row>
    <row r="245" spans="8:27" x14ac:dyDescent="0.2">
      <c r="H245" s="26"/>
      <c r="I245" s="26"/>
      <c r="J245" s="26"/>
      <c r="Z245" s="26"/>
      <c r="AA245" s="26"/>
    </row>
    <row r="246" spans="8:27" x14ac:dyDescent="0.2">
      <c r="H246" s="26"/>
      <c r="I246" s="26"/>
      <c r="J246" s="26"/>
      <c r="Z246" s="26"/>
      <c r="AA246" s="26"/>
    </row>
    <row r="247" spans="8:27" x14ac:dyDescent="0.2">
      <c r="H247" s="26"/>
      <c r="I247" s="26"/>
      <c r="J247" s="26"/>
      <c r="Z247" s="26"/>
      <c r="AA247" s="26"/>
    </row>
    <row r="248" spans="8:27" x14ac:dyDescent="0.2">
      <c r="H248" s="26"/>
      <c r="I248" s="26"/>
      <c r="J248" s="26"/>
      <c r="Z248" s="26"/>
      <c r="AA248" s="26"/>
    </row>
    <row r="249" spans="8:27" x14ac:dyDescent="0.2">
      <c r="H249" s="26"/>
      <c r="I249" s="26"/>
      <c r="J249" s="26"/>
      <c r="Z249" s="26"/>
      <c r="AA249" s="26"/>
    </row>
    <row r="250" spans="8:27" x14ac:dyDescent="0.2">
      <c r="H250" s="26"/>
      <c r="I250" s="26"/>
      <c r="J250" s="26"/>
      <c r="Z250" s="26"/>
      <c r="AA250" s="26"/>
    </row>
    <row r="251" spans="8:27" x14ac:dyDescent="0.2">
      <c r="H251" s="26"/>
      <c r="I251" s="26"/>
      <c r="J251" s="26"/>
      <c r="Z251" s="26"/>
      <c r="AA251" s="26"/>
    </row>
    <row r="252" spans="8:27" x14ac:dyDescent="0.2">
      <c r="H252" s="26"/>
      <c r="I252" s="26"/>
      <c r="J252" s="26"/>
      <c r="Z252" s="26"/>
      <c r="AA252" s="26"/>
    </row>
    <row r="253" spans="8:27" x14ac:dyDescent="0.2">
      <c r="H253" s="26"/>
      <c r="I253" s="26"/>
      <c r="J253" s="26"/>
      <c r="Z253" s="26"/>
      <c r="AA253" s="26"/>
    </row>
    <row r="254" spans="8:27" x14ac:dyDescent="0.2">
      <c r="H254" s="26"/>
      <c r="I254" s="26"/>
      <c r="J254" s="26"/>
      <c r="Z254" s="26"/>
      <c r="AA254" s="26"/>
    </row>
    <row r="255" spans="8:27" x14ac:dyDescent="0.2">
      <c r="H255" s="26"/>
      <c r="I255" s="26"/>
      <c r="J255" s="26"/>
      <c r="Z255" s="26"/>
      <c r="AA255" s="26"/>
    </row>
    <row r="256" spans="8:27" x14ac:dyDescent="0.2">
      <c r="H256" s="26"/>
      <c r="I256" s="26"/>
      <c r="J256" s="26"/>
      <c r="Z256" s="26"/>
      <c r="AA256" s="26"/>
    </row>
    <row r="257" spans="8:27" x14ac:dyDescent="0.2">
      <c r="H257" s="26"/>
      <c r="I257" s="26"/>
      <c r="J257" s="26"/>
      <c r="Z257" s="26"/>
      <c r="AA257" s="26"/>
    </row>
    <row r="258" spans="8:27" x14ac:dyDescent="0.2">
      <c r="H258" s="26"/>
      <c r="I258" s="26"/>
      <c r="J258" s="26"/>
      <c r="Z258" s="26"/>
      <c r="AA258" s="26"/>
    </row>
    <row r="259" spans="8:27" x14ac:dyDescent="0.2">
      <c r="H259" s="26"/>
      <c r="I259" s="26"/>
      <c r="J259" s="26"/>
      <c r="Z259" s="26"/>
      <c r="AA259" s="26"/>
    </row>
    <row r="260" spans="8:27" x14ac:dyDescent="0.2">
      <c r="H260" s="26"/>
      <c r="I260" s="26"/>
      <c r="J260" s="26"/>
      <c r="Z260" s="26"/>
      <c r="AA260" s="26"/>
    </row>
    <row r="261" spans="8:27" x14ac:dyDescent="0.2">
      <c r="H261" s="26"/>
      <c r="I261" s="26"/>
      <c r="J261" s="26"/>
      <c r="Z261" s="26"/>
      <c r="AA261" s="26"/>
    </row>
    <row r="262" spans="8:27" x14ac:dyDescent="0.2">
      <c r="H262" s="26"/>
      <c r="I262" s="26"/>
      <c r="J262" s="26"/>
      <c r="Z262" s="26"/>
      <c r="AA262" s="26"/>
    </row>
    <row r="263" spans="8:27" x14ac:dyDescent="0.2">
      <c r="H263" s="26"/>
      <c r="I263" s="26"/>
      <c r="J263" s="26"/>
      <c r="Z263" s="26"/>
      <c r="AA263" s="26"/>
    </row>
    <row r="264" spans="8:27" x14ac:dyDescent="0.2">
      <c r="H264" s="26"/>
      <c r="I264" s="26"/>
      <c r="J264" s="26"/>
      <c r="Z264" s="26"/>
      <c r="AA264" s="26"/>
    </row>
    <row r="265" spans="8:27" x14ac:dyDescent="0.2">
      <c r="H265" s="26"/>
      <c r="I265" s="26"/>
      <c r="J265" s="26"/>
      <c r="Z265" s="26"/>
      <c r="AA265" s="26"/>
    </row>
    <row r="266" spans="8:27" x14ac:dyDescent="0.2">
      <c r="H266" s="26"/>
      <c r="I266" s="26"/>
      <c r="J266" s="26"/>
      <c r="Z266" s="26"/>
      <c r="AA266" s="26"/>
    </row>
    <row r="267" spans="8:27" x14ac:dyDescent="0.2">
      <c r="H267" s="26"/>
      <c r="I267" s="26"/>
      <c r="J267" s="26"/>
      <c r="Z267" s="26"/>
      <c r="AA267" s="26"/>
    </row>
    <row r="268" spans="8:27" x14ac:dyDescent="0.2">
      <c r="H268" s="26"/>
      <c r="I268" s="26"/>
      <c r="J268" s="26"/>
      <c r="Z268" s="26"/>
      <c r="AA268" s="26"/>
    </row>
    <row r="269" spans="8:27" x14ac:dyDescent="0.2">
      <c r="H269" s="26"/>
      <c r="I269" s="26"/>
      <c r="J269" s="26"/>
      <c r="Z269" s="26"/>
      <c r="AA269" s="26"/>
    </row>
    <row r="270" spans="8:27" x14ac:dyDescent="0.2">
      <c r="H270" s="26"/>
      <c r="I270" s="26"/>
      <c r="J270" s="26"/>
      <c r="Z270" s="26"/>
      <c r="AA270" s="26"/>
    </row>
    <row r="271" spans="8:27" x14ac:dyDescent="0.2">
      <c r="H271" s="26"/>
      <c r="I271" s="26"/>
      <c r="J271" s="26"/>
      <c r="Z271" s="26"/>
      <c r="AA271" s="26"/>
    </row>
    <row r="272" spans="8:27" x14ac:dyDescent="0.2">
      <c r="H272" s="26"/>
      <c r="I272" s="26"/>
      <c r="J272" s="26"/>
      <c r="Z272" s="26"/>
      <c r="AA272" s="26"/>
    </row>
    <row r="273" spans="8:27" x14ac:dyDescent="0.2">
      <c r="H273" s="26"/>
      <c r="I273" s="26"/>
      <c r="J273" s="26"/>
      <c r="Z273" s="26"/>
      <c r="AA273" s="26"/>
    </row>
    <row r="274" spans="8:27" x14ac:dyDescent="0.2">
      <c r="H274" s="26"/>
      <c r="I274" s="26"/>
      <c r="J274" s="26"/>
      <c r="Z274" s="26"/>
      <c r="AA274" s="26"/>
    </row>
    <row r="275" spans="8:27" x14ac:dyDescent="0.2">
      <c r="H275" s="26"/>
      <c r="I275" s="26"/>
      <c r="J275" s="26"/>
      <c r="Z275" s="26"/>
      <c r="AA275" s="26"/>
    </row>
    <row r="276" spans="8:27" x14ac:dyDescent="0.2">
      <c r="H276" s="26"/>
      <c r="I276" s="26"/>
      <c r="J276" s="26"/>
      <c r="Z276" s="26"/>
      <c r="AA276" s="26"/>
    </row>
    <row r="277" spans="8:27" x14ac:dyDescent="0.2">
      <c r="H277" s="26"/>
      <c r="I277" s="26"/>
      <c r="J277" s="26"/>
      <c r="Z277" s="26"/>
      <c r="AA277" s="26"/>
    </row>
    <row r="278" spans="8:27" x14ac:dyDescent="0.2">
      <c r="H278" s="26"/>
      <c r="I278" s="26"/>
      <c r="J278" s="26"/>
      <c r="Z278" s="26"/>
      <c r="AA278" s="26"/>
    </row>
    <row r="279" spans="8:27" x14ac:dyDescent="0.2">
      <c r="H279" s="26"/>
      <c r="I279" s="26"/>
      <c r="J279" s="26"/>
      <c r="Z279" s="26"/>
      <c r="AA279" s="26"/>
    </row>
    <row r="280" spans="8:27" x14ac:dyDescent="0.2">
      <c r="H280" s="26"/>
      <c r="I280" s="26"/>
      <c r="J280" s="26"/>
      <c r="Z280" s="26"/>
      <c r="AA280" s="26"/>
    </row>
    <row r="281" spans="8:27" x14ac:dyDescent="0.2">
      <c r="H281" s="26"/>
      <c r="I281" s="26"/>
      <c r="J281" s="26"/>
      <c r="Z281" s="26"/>
      <c r="AA281" s="26"/>
    </row>
    <row r="282" spans="8:27" x14ac:dyDescent="0.2">
      <c r="H282" s="26"/>
      <c r="I282" s="26"/>
      <c r="J282" s="26"/>
      <c r="Z282" s="26"/>
      <c r="AA282" s="26"/>
    </row>
    <row r="283" spans="8:27" x14ac:dyDescent="0.2">
      <c r="H283" s="26"/>
      <c r="I283" s="26"/>
      <c r="J283" s="26"/>
      <c r="Z283" s="26"/>
      <c r="AA283" s="26"/>
    </row>
    <row r="284" spans="8:27" x14ac:dyDescent="0.2">
      <c r="H284" s="26"/>
      <c r="I284" s="26"/>
      <c r="J284" s="26"/>
      <c r="Z284" s="26"/>
      <c r="AA284" s="26"/>
    </row>
    <row r="285" spans="8:27" x14ac:dyDescent="0.2">
      <c r="H285" s="26"/>
      <c r="I285" s="26"/>
      <c r="J285" s="26"/>
      <c r="Z285" s="26"/>
      <c r="AA285" s="26"/>
    </row>
    <row r="286" spans="8:27" x14ac:dyDescent="0.2">
      <c r="H286" s="26"/>
      <c r="I286" s="26"/>
      <c r="J286" s="26"/>
      <c r="Z286" s="26"/>
      <c r="AA286" s="26"/>
    </row>
    <row r="287" spans="8:27" x14ac:dyDescent="0.2">
      <c r="H287" s="26"/>
      <c r="I287" s="26"/>
      <c r="J287" s="26"/>
      <c r="Z287" s="26"/>
      <c r="AA287" s="26"/>
    </row>
    <row r="288" spans="8:27" x14ac:dyDescent="0.2">
      <c r="H288" s="26"/>
      <c r="I288" s="26"/>
      <c r="J288" s="26"/>
      <c r="Z288" s="26"/>
      <c r="AA288" s="26"/>
    </row>
    <row r="289" spans="8:27" x14ac:dyDescent="0.2">
      <c r="H289" s="26"/>
      <c r="I289" s="26"/>
      <c r="J289" s="26"/>
      <c r="Z289" s="26"/>
      <c r="AA289" s="26"/>
    </row>
    <row r="290" spans="8:27" x14ac:dyDescent="0.2">
      <c r="H290" s="26"/>
      <c r="I290" s="26"/>
      <c r="J290" s="26"/>
      <c r="Z290" s="26"/>
      <c r="AA290" s="26"/>
    </row>
    <row r="291" spans="8:27" x14ac:dyDescent="0.2">
      <c r="H291" s="26"/>
      <c r="I291" s="26"/>
      <c r="J291" s="26"/>
      <c r="Z291" s="26"/>
      <c r="AA291" s="26"/>
    </row>
    <row r="292" spans="8:27" x14ac:dyDescent="0.2">
      <c r="H292" s="26"/>
      <c r="I292" s="26"/>
      <c r="J292" s="26"/>
      <c r="Z292" s="26"/>
      <c r="AA292" s="26"/>
    </row>
    <row r="293" spans="8:27" x14ac:dyDescent="0.2">
      <c r="H293" s="26"/>
      <c r="I293" s="26"/>
      <c r="J293" s="26"/>
      <c r="Z293" s="26"/>
      <c r="AA293" s="26"/>
    </row>
    <row r="294" spans="8:27" x14ac:dyDescent="0.2">
      <c r="H294" s="26"/>
      <c r="I294" s="26"/>
      <c r="J294" s="26"/>
      <c r="Z294" s="26"/>
      <c r="AA294" s="26"/>
    </row>
    <row r="295" spans="8:27" x14ac:dyDescent="0.2">
      <c r="H295" s="26"/>
      <c r="I295" s="26"/>
      <c r="J295" s="26"/>
      <c r="Z295" s="26"/>
      <c r="AA295" s="26"/>
    </row>
    <row r="296" spans="8:27" x14ac:dyDescent="0.2">
      <c r="H296" s="26"/>
      <c r="I296" s="26"/>
      <c r="J296" s="26"/>
      <c r="Z296" s="26"/>
      <c r="AA296" s="26"/>
    </row>
    <row r="297" spans="8:27" x14ac:dyDescent="0.2">
      <c r="H297" s="26"/>
      <c r="I297" s="26"/>
      <c r="J297" s="26"/>
      <c r="Z297" s="26"/>
      <c r="AA297" s="26"/>
    </row>
    <row r="298" spans="8:27" x14ac:dyDescent="0.2">
      <c r="H298" s="26"/>
      <c r="I298" s="26"/>
      <c r="J298" s="26"/>
      <c r="Z298" s="26"/>
      <c r="AA298" s="26"/>
    </row>
    <row r="299" spans="8:27" x14ac:dyDescent="0.2">
      <c r="H299" s="26"/>
      <c r="I299" s="26"/>
      <c r="J299" s="26"/>
      <c r="Z299" s="26"/>
      <c r="AA299" s="26"/>
    </row>
    <row r="300" spans="8:27" x14ac:dyDescent="0.2">
      <c r="H300" s="26"/>
      <c r="I300" s="26"/>
      <c r="J300" s="26"/>
      <c r="Z300" s="26"/>
      <c r="AA300" s="26"/>
    </row>
    <row r="301" spans="8:27" x14ac:dyDescent="0.2">
      <c r="H301" s="26"/>
      <c r="I301" s="26"/>
      <c r="J301" s="26"/>
      <c r="Z301" s="26"/>
      <c r="AA301" s="26"/>
    </row>
    <row r="302" spans="8:27" x14ac:dyDescent="0.2">
      <c r="H302" s="26"/>
      <c r="I302" s="26"/>
      <c r="J302" s="26"/>
      <c r="Z302" s="26"/>
      <c r="AA302" s="26"/>
    </row>
    <row r="303" spans="8:27" x14ac:dyDescent="0.2">
      <c r="H303" s="26"/>
      <c r="I303" s="26"/>
      <c r="J303" s="26"/>
      <c r="Z303" s="26"/>
      <c r="AA303" s="26"/>
    </row>
    <row r="304" spans="8:27" x14ac:dyDescent="0.2">
      <c r="H304" s="26"/>
      <c r="I304" s="26"/>
      <c r="J304" s="26"/>
      <c r="Z304" s="26"/>
      <c r="AA304" s="26"/>
    </row>
    <row r="305" spans="8:27" x14ac:dyDescent="0.2">
      <c r="H305" s="26"/>
      <c r="I305" s="26"/>
      <c r="J305" s="26"/>
      <c r="Z305" s="26"/>
      <c r="AA305" s="26"/>
    </row>
    <row r="306" spans="8:27" x14ac:dyDescent="0.2">
      <c r="H306" s="26"/>
      <c r="I306" s="26"/>
      <c r="J306" s="26"/>
      <c r="Z306" s="26"/>
      <c r="AA306" s="26"/>
    </row>
    <row r="307" spans="8:27" x14ac:dyDescent="0.2">
      <c r="H307" s="26"/>
      <c r="I307" s="26"/>
      <c r="J307" s="26"/>
      <c r="Z307" s="26"/>
      <c r="AA307" s="26"/>
    </row>
    <row r="308" spans="8:27" x14ac:dyDescent="0.2">
      <c r="H308" s="26"/>
      <c r="I308" s="26"/>
      <c r="J308" s="26"/>
      <c r="Z308" s="26"/>
      <c r="AA308" s="26"/>
    </row>
    <row r="309" spans="8:27" x14ac:dyDescent="0.2">
      <c r="H309" s="26"/>
      <c r="I309" s="26"/>
      <c r="J309" s="26"/>
      <c r="Z309" s="26"/>
      <c r="AA309" s="26"/>
    </row>
    <row r="310" spans="8:27" x14ac:dyDescent="0.2">
      <c r="H310" s="26"/>
      <c r="I310" s="26"/>
      <c r="J310" s="26"/>
      <c r="Z310" s="26"/>
      <c r="AA310" s="26"/>
    </row>
    <row r="311" spans="8:27" x14ac:dyDescent="0.2">
      <c r="H311" s="26"/>
      <c r="I311" s="26"/>
      <c r="J311" s="26"/>
      <c r="Z311" s="26"/>
      <c r="AA311" s="26"/>
    </row>
    <row r="312" spans="8:27" x14ac:dyDescent="0.2">
      <c r="H312" s="26"/>
      <c r="I312" s="26"/>
      <c r="J312" s="26"/>
      <c r="Z312" s="26"/>
      <c r="AA312" s="26"/>
    </row>
    <row r="313" spans="8:27" x14ac:dyDescent="0.2">
      <c r="H313" s="26"/>
      <c r="I313" s="26"/>
      <c r="J313" s="26"/>
      <c r="Z313" s="26"/>
      <c r="AA313" s="26"/>
    </row>
    <row r="314" spans="8:27" x14ac:dyDescent="0.2">
      <c r="H314" s="26"/>
      <c r="I314" s="26"/>
      <c r="J314" s="26"/>
      <c r="Z314" s="26"/>
      <c r="AA314" s="26"/>
    </row>
    <row r="315" spans="8:27" x14ac:dyDescent="0.2">
      <c r="H315" s="26"/>
      <c r="I315" s="26"/>
      <c r="J315" s="26"/>
      <c r="Z315" s="26"/>
      <c r="AA315" s="26"/>
    </row>
    <row r="316" spans="8:27" x14ac:dyDescent="0.2">
      <c r="H316" s="26"/>
      <c r="I316" s="26"/>
      <c r="J316" s="26"/>
      <c r="Z316" s="26"/>
      <c r="AA316" s="26"/>
    </row>
    <row r="317" spans="8:27" x14ac:dyDescent="0.2">
      <c r="H317" s="26"/>
      <c r="I317" s="26"/>
      <c r="J317" s="26"/>
      <c r="Z317" s="26"/>
      <c r="AA317" s="26"/>
    </row>
    <row r="318" spans="8:27" x14ac:dyDescent="0.2">
      <c r="H318" s="26"/>
      <c r="I318" s="26"/>
      <c r="J318" s="26"/>
      <c r="Z318" s="26"/>
      <c r="AA318" s="26"/>
    </row>
    <row r="319" spans="8:27" x14ac:dyDescent="0.2">
      <c r="H319" s="26"/>
      <c r="I319" s="26"/>
      <c r="J319" s="26"/>
      <c r="Z319" s="26"/>
      <c r="AA319" s="26"/>
    </row>
    <row r="320" spans="8:27" x14ac:dyDescent="0.2">
      <c r="H320" s="26"/>
      <c r="I320" s="26"/>
      <c r="J320" s="26"/>
      <c r="Z320" s="26"/>
      <c r="AA320" s="26"/>
    </row>
    <row r="321" spans="8:27" x14ac:dyDescent="0.2">
      <c r="H321" s="26"/>
      <c r="I321" s="26"/>
      <c r="J321" s="26"/>
      <c r="Z321" s="26"/>
      <c r="AA321" s="26"/>
    </row>
    <row r="322" spans="8:27" x14ac:dyDescent="0.2">
      <c r="H322" s="26"/>
      <c r="I322" s="26"/>
      <c r="J322" s="26"/>
      <c r="Z322" s="26"/>
      <c r="AA322" s="26"/>
    </row>
    <row r="323" spans="8:27" x14ac:dyDescent="0.2">
      <c r="H323" s="26"/>
      <c r="I323" s="26"/>
      <c r="J323" s="26"/>
      <c r="Z323" s="26"/>
      <c r="AA323" s="26"/>
    </row>
    <row r="324" spans="8:27" x14ac:dyDescent="0.2">
      <c r="H324" s="26"/>
      <c r="I324" s="26"/>
      <c r="J324" s="26"/>
      <c r="Z324" s="26"/>
      <c r="AA324" s="26"/>
    </row>
    <row r="325" spans="8:27" x14ac:dyDescent="0.2">
      <c r="H325" s="26"/>
      <c r="I325" s="26"/>
      <c r="J325" s="26"/>
      <c r="Z325" s="26"/>
      <c r="AA325" s="26"/>
    </row>
    <row r="326" spans="8:27" x14ac:dyDescent="0.2">
      <c r="H326" s="26"/>
      <c r="I326" s="26"/>
      <c r="J326" s="26"/>
      <c r="Z326" s="26"/>
      <c r="AA326" s="26"/>
    </row>
    <row r="327" spans="8:27" x14ac:dyDescent="0.2">
      <c r="H327" s="26"/>
      <c r="I327" s="26"/>
      <c r="J327" s="26"/>
      <c r="Z327" s="26"/>
      <c r="AA327" s="26"/>
    </row>
    <row r="328" spans="8:27" x14ac:dyDescent="0.2">
      <c r="H328" s="26"/>
      <c r="I328" s="26"/>
      <c r="J328" s="26"/>
      <c r="Z328" s="26"/>
      <c r="AA328" s="26"/>
    </row>
    <row r="329" spans="8:27" x14ac:dyDescent="0.2">
      <c r="H329" s="26"/>
      <c r="I329" s="26"/>
      <c r="J329" s="26"/>
      <c r="Z329" s="26"/>
      <c r="AA329" s="26"/>
    </row>
    <row r="330" spans="8:27" x14ac:dyDescent="0.2">
      <c r="H330" s="26"/>
      <c r="I330" s="26"/>
      <c r="J330" s="26"/>
      <c r="Z330" s="26"/>
      <c r="AA330" s="26"/>
    </row>
    <row r="331" spans="8:27" x14ac:dyDescent="0.2">
      <c r="H331" s="26"/>
      <c r="I331" s="26"/>
      <c r="J331" s="26"/>
      <c r="Z331" s="26"/>
      <c r="AA331" s="26"/>
    </row>
    <row r="332" spans="8:27" x14ac:dyDescent="0.2">
      <c r="H332" s="26"/>
      <c r="I332" s="26"/>
      <c r="J332" s="26"/>
      <c r="Z332" s="26"/>
      <c r="AA332" s="26"/>
    </row>
    <row r="333" spans="8:27" x14ac:dyDescent="0.2">
      <c r="H333" s="26"/>
      <c r="I333" s="26"/>
      <c r="J333" s="26"/>
      <c r="Z333" s="26"/>
      <c r="AA333" s="26"/>
    </row>
    <row r="334" spans="8:27" x14ac:dyDescent="0.2">
      <c r="H334" s="26"/>
      <c r="I334" s="26"/>
      <c r="J334" s="26"/>
      <c r="Z334" s="26"/>
      <c r="AA334" s="26"/>
    </row>
    <row r="335" spans="8:27" x14ac:dyDescent="0.2">
      <c r="H335" s="26"/>
      <c r="I335" s="26"/>
      <c r="J335" s="26"/>
      <c r="Z335" s="26"/>
      <c r="AA335" s="26"/>
    </row>
    <row r="336" spans="8:27" x14ac:dyDescent="0.2">
      <c r="H336" s="26"/>
      <c r="I336" s="26"/>
      <c r="J336" s="26"/>
      <c r="Z336" s="26"/>
      <c r="AA336" s="26"/>
    </row>
    <row r="337" spans="8:27" x14ac:dyDescent="0.2">
      <c r="H337" s="26"/>
      <c r="I337" s="26"/>
      <c r="J337" s="26"/>
      <c r="Z337" s="26"/>
      <c r="AA337" s="26"/>
    </row>
    <row r="338" spans="8:27" x14ac:dyDescent="0.2">
      <c r="H338" s="26"/>
      <c r="I338" s="26"/>
      <c r="J338" s="26"/>
      <c r="Z338" s="26"/>
      <c r="AA338" s="26"/>
    </row>
    <row r="339" spans="8:27" x14ac:dyDescent="0.2">
      <c r="H339" s="26"/>
      <c r="I339" s="26"/>
      <c r="J339" s="26"/>
      <c r="Z339" s="26"/>
      <c r="AA339" s="26"/>
    </row>
    <row r="340" spans="8:27" x14ac:dyDescent="0.2">
      <c r="H340" s="26"/>
      <c r="I340" s="26"/>
      <c r="J340" s="26"/>
      <c r="Z340" s="26"/>
      <c r="AA340" s="26"/>
    </row>
    <row r="341" spans="8:27" x14ac:dyDescent="0.2">
      <c r="H341" s="26"/>
      <c r="I341" s="26"/>
      <c r="J341" s="26"/>
      <c r="Z341" s="26"/>
      <c r="AA341" s="26"/>
    </row>
    <row r="342" spans="8:27" x14ac:dyDescent="0.2">
      <c r="H342" s="26"/>
      <c r="I342" s="26"/>
      <c r="J342" s="26"/>
      <c r="Z342" s="26"/>
      <c r="AA342" s="26"/>
    </row>
    <row r="343" spans="8:27" x14ac:dyDescent="0.2">
      <c r="H343" s="26"/>
      <c r="I343" s="26"/>
      <c r="J343" s="26"/>
      <c r="Z343" s="26"/>
      <c r="AA343" s="26"/>
    </row>
    <row r="344" spans="8:27" x14ac:dyDescent="0.2">
      <c r="H344" s="26"/>
      <c r="I344" s="26"/>
      <c r="J344" s="26"/>
      <c r="Z344" s="26"/>
      <c r="AA344" s="26"/>
    </row>
    <row r="345" spans="8:27" x14ac:dyDescent="0.2">
      <c r="H345" s="26"/>
      <c r="I345" s="26"/>
      <c r="J345" s="26"/>
      <c r="Z345" s="26"/>
      <c r="AA345" s="26"/>
    </row>
    <row r="346" spans="8:27" x14ac:dyDescent="0.2">
      <c r="H346" s="26"/>
      <c r="I346" s="26"/>
      <c r="J346" s="26"/>
      <c r="Z346" s="26"/>
      <c r="AA346" s="26"/>
    </row>
    <row r="347" spans="8:27" x14ac:dyDescent="0.2">
      <c r="H347" s="26"/>
      <c r="I347" s="26"/>
      <c r="J347" s="26"/>
      <c r="Z347" s="26"/>
      <c r="AA347" s="26"/>
    </row>
    <row r="348" spans="8:27" x14ac:dyDescent="0.2">
      <c r="H348" s="26"/>
      <c r="I348" s="26"/>
      <c r="J348" s="26"/>
      <c r="Z348" s="26"/>
      <c r="AA348" s="26"/>
    </row>
    <row r="349" spans="8:27" x14ac:dyDescent="0.2">
      <c r="H349" s="26"/>
      <c r="I349" s="26"/>
      <c r="J349" s="26"/>
      <c r="Z349" s="26"/>
      <c r="AA349" s="26"/>
    </row>
    <row r="350" spans="8:27" x14ac:dyDescent="0.2">
      <c r="H350" s="26"/>
      <c r="I350" s="26"/>
      <c r="J350" s="26"/>
      <c r="Z350" s="26"/>
      <c r="AA350" s="26"/>
    </row>
    <row r="351" spans="8:27" x14ac:dyDescent="0.2">
      <c r="H351" s="26"/>
      <c r="I351" s="26"/>
      <c r="J351" s="26"/>
      <c r="Z351" s="26"/>
      <c r="AA351" s="26"/>
    </row>
    <row r="352" spans="8:27" x14ac:dyDescent="0.2">
      <c r="H352" s="26"/>
      <c r="I352" s="26"/>
      <c r="J352" s="26"/>
      <c r="Z352" s="26"/>
      <c r="AA352" s="26"/>
    </row>
    <row r="353" spans="8:27" x14ac:dyDescent="0.2">
      <c r="H353" s="26"/>
      <c r="I353" s="26"/>
      <c r="J353" s="26"/>
      <c r="Z353" s="26"/>
      <c r="AA353" s="26"/>
    </row>
    <row r="354" spans="8:27" x14ac:dyDescent="0.2">
      <c r="H354" s="26"/>
      <c r="I354" s="26"/>
      <c r="J354" s="26"/>
      <c r="Z354" s="26"/>
      <c r="AA354" s="26"/>
    </row>
    <row r="355" spans="8:27" x14ac:dyDescent="0.2">
      <c r="H355" s="26"/>
      <c r="I355" s="26"/>
      <c r="J355" s="26"/>
      <c r="Z355" s="26"/>
      <c r="AA355" s="26"/>
    </row>
    <row r="356" spans="8:27" x14ac:dyDescent="0.2">
      <c r="H356" s="26"/>
      <c r="I356" s="26"/>
      <c r="J356" s="26"/>
      <c r="Z356" s="26"/>
      <c r="AA356" s="26"/>
    </row>
    <row r="357" spans="8:27" x14ac:dyDescent="0.2">
      <c r="H357" s="26"/>
      <c r="I357" s="26"/>
      <c r="J357" s="26"/>
      <c r="Z357" s="26"/>
      <c r="AA357" s="26"/>
    </row>
    <row r="358" spans="8:27" x14ac:dyDescent="0.2">
      <c r="H358" s="26"/>
      <c r="I358" s="26"/>
      <c r="J358" s="26"/>
      <c r="Z358" s="26"/>
      <c r="AA358" s="26"/>
    </row>
    <row r="359" spans="8:27" x14ac:dyDescent="0.2">
      <c r="H359" s="26"/>
      <c r="I359" s="26"/>
      <c r="J359" s="26"/>
      <c r="Z359" s="26"/>
      <c r="AA359" s="26"/>
    </row>
    <row r="360" spans="8:27" x14ac:dyDescent="0.2">
      <c r="H360" s="26"/>
      <c r="I360" s="26"/>
      <c r="J360" s="26"/>
      <c r="Z360" s="26"/>
      <c r="AA360" s="26"/>
    </row>
    <row r="361" spans="8:27" x14ac:dyDescent="0.2">
      <c r="H361" s="26"/>
      <c r="I361" s="26"/>
      <c r="J361" s="26"/>
      <c r="Z361" s="26"/>
      <c r="AA361" s="26"/>
    </row>
    <row r="362" spans="8:27" x14ac:dyDescent="0.2">
      <c r="H362" s="26"/>
      <c r="I362" s="26"/>
      <c r="J362" s="26"/>
      <c r="Z362" s="26"/>
      <c r="AA362" s="26"/>
    </row>
    <row r="363" spans="8:27" x14ac:dyDescent="0.2">
      <c r="H363" s="26"/>
      <c r="I363" s="26"/>
      <c r="J363" s="26"/>
      <c r="Z363" s="26"/>
      <c r="AA363" s="26"/>
    </row>
    <row r="364" spans="8:27" x14ac:dyDescent="0.2">
      <c r="H364" s="26"/>
      <c r="I364" s="26"/>
      <c r="J364" s="26"/>
      <c r="Z364" s="26"/>
      <c r="AA364" s="26"/>
    </row>
    <row r="365" spans="8:27" x14ac:dyDescent="0.2">
      <c r="H365" s="26"/>
      <c r="I365" s="26"/>
      <c r="J365" s="26"/>
      <c r="Z365" s="26"/>
      <c r="AA365" s="26"/>
    </row>
    <row r="366" spans="8:27" x14ac:dyDescent="0.2">
      <c r="H366" s="26"/>
      <c r="I366" s="26"/>
      <c r="J366" s="26"/>
      <c r="Z366" s="26"/>
      <c r="AA366" s="26"/>
    </row>
    <row r="367" spans="8:27" x14ac:dyDescent="0.2">
      <c r="H367" s="26"/>
      <c r="I367" s="26"/>
      <c r="J367" s="26"/>
      <c r="Z367" s="26"/>
      <c r="AA367" s="26"/>
    </row>
    <row r="368" spans="8:27" x14ac:dyDescent="0.2">
      <c r="H368" s="26"/>
      <c r="I368" s="26"/>
      <c r="J368" s="26"/>
      <c r="Z368" s="26"/>
      <c r="AA368" s="26"/>
    </row>
    <row r="369" spans="8:27" x14ac:dyDescent="0.2">
      <c r="H369" s="26"/>
      <c r="I369" s="26"/>
      <c r="J369" s="26"/>
      <c r="Z369" s="26"/>
      <c r="AA369" s="26"/>
    </row>
    <row r="370" spans="8:27" x14ac:dyDescent="0.2">
      <c r="H370" s="26"/>
      <c r="I370" s="26"/>
      <c r="J370" s="26"/>
      <c r="Z370" s="26"/>
      <c r="AA370" s="26"/>
    </row>
    <row r="371" spans="8:27" x14ac:dyDescent="0.2">
      <c r="H371" s="26"/>
      <c r="I371" s="26"/>
      <c r="J371" s="26"/>
      <c r="Z371" s="26"/>
      <c r="AA371" s="26"/>
    </row>
    <row r="372" spans="8:27" x14ac:dyDescent="0.2">
      <c r="H372" s="26"/>
      <c r="I372" s="26"/>
      <c r="J372" s="26"/>
      <c r="Z372" s="26"/>
      <c r="AA372" s="26"/>
    </row>
    <row r="373" spans="8:27" x14ac:dyDescent="0.2">
      <c r="H373" s="26"/>
      <c r="I373" s="26"/>
      <c r="J373" s="26"/>
      <c r="Z373" s="26"/>
      <c r="AA373" s="26"/>
    </row>
    <row r="374" spans="8:27" x14ac:dyDescent="0.2">
      <c r="H374" s="26"/>
      <c r="I374" s="26"/>
      <c r="J374" s="26"/>
      <c r="Z374" s="26"/>
      <c r="AA374" s="26"/>
    </row>
    <row r="375" spans="8:27" x14ac:dyDescent="0.2">
      <c r="H375" s="26"/>
      <c r="I375" s="26"/>
      <c r="J375" s="26"/>
      <c r="Z375" s="26"/>
      <c r="AA375" s="26"/>
    </row>
    <row r="376" spans="8:27" x14ac:dyDescent="0.2">
      <c r="H376" s="26"/>
      <c r="I376" s="26"/>
      <c r="J376" s="26"/>
      <c r="Z376" s="26"/>
      <c r="AA376" s="26"/>
    </row>
    <row r="377" spans="8:27" x14ac:dyDescent="0.2">
      <c r="H377" s="26"/>
      <c r="I377" s="26"/>
      <c r="J377" s="26"/>
      <c r="Z377" s="26"/>
      <c r="AA377" s="26"/>
    </row>
    <row r="378" spans="8:27" x14ac:dyDescent="0.2">
      <c r="H378" s="26"/>
      <c r="I378" s="26"/>
      <c r="J378" s="26"/>
      <c r="Z378" s="26"/>
      <c r="AA378" s="26"/>
    </row>
    <row r="379" spans="8:27" x14ac:dyDescent="0.2">
      <c r="H379" s="26"/>
      <c r="I379" s="26"/>
      <c r="J379" s="26"/>
      <c r="Z379" s="26"/>
      <c r="AA379" s="26"/>
    </row>
    <row r="380" spans="8:27" x14ac:dyDescent="0.2">
      <c r="H380" s="26"/>
      <c r="I380" s="26"/>
      <c r="J380" s="26"/>
      <c r="Z380" s="26"/>
      <c r="AA380" s="26"/>
    </row>
    <row r="381" spans="8:27" x14ac:dyDescent="0.2">
      <c r="H381" s="26"/>
      <c r="I381" s="26"/>
      <c r="J381" s="26"/>
      <c r="Z381" s="26"/>
      <c r="AA381" s="26"/>
    </row>
    <row r="382" spans="8:27" x14ac:dyDescent="0.2">
      <c r="H382" s="26"/>
      <c r="I382" s="26"/>
      <c r="J382" s="26"/>
      <c r="Z382" s="26"/>
      <c r="AA382" s="26"/>
    </row>
    <row r="383" spans="8:27" x14ac:dyDescent="0.2">
      <c r="H383" s="26"/>
      <c r="I383" s="26"/>
      <c r="J383" s="26"/>
      <c r="Z383" s="26"/>
      <c r="AA383" s="26"/>
    </row>
    <row r="384" spans="8:27" x14ac:dyDescent="0.2">
      <c r="H384" s="26"/>
      <c r="I384" s="26"/>
      <c r="J384" s="26"/>
      <c r="Z384" s="26"/>
      <c r="AA384" s="26"/>
    </row>
    <row r="385" spans="8:27" x14ac:dyDescent="0.2">
      <c r="H385" s="26"/>
      <c r="I385" s="26"/>
      <c r="J385" s="26"/>
      <c r="Z385" s="26"/>
      <c r="AA385" s="26"/>
    </row>
    <row r="386" spans="8:27" x14ac:dyDescent="0.2">
      <c r="H386" s="26"/>
      <c r="I386" s="26"/>
      <c r="J386" s="26"/>
      <c r="Z386" s="26"/>
      <c r="AA386" s="26"/>
    </row>
    <row r="387" spans="8:27" x14ac:dyDescent="0.2">
      <c r="H387" s="26"/>
      <c r="I387" s="26"/>
      <c r="J387" s="26"/>
      <c r="Z387" s="26"/>
      <c r="AA387" s="26"/>
    </row>
    <row r="388" spans="8:27" x14ac:dyDescent="0.2">
      <c r="H388" s="26"/>
      <c r="I388" s="26"/>
      <c r="J388" s="26"/>
      <c r="Z388" s="26"/>
      <c r="AA388" s="26"/>
    </row>
    <row r="389" spans="8:27" x14ac:dyDescent="0.2">
      <c r="H389" s="26"/>
      <c r="I389" s="26"/>
      <c r="J389" s="26"/>
      <c r="Z389" s="26"/>
      <c r="AA389" s="26"/>
    </row>
    <row r="390" spans="8:27" x14ac:dyDescent="0.2">
      <c r="H390" s="26"/>
      <c r="I390" s="26"/>
      <c r="J390" s="26"/>
      <c r="Z390" s="26"/>
      <c r="AA390" s="26"/>
    </row>
    <row r="391" spans="8:27" x14ac:dyDescent="0.2">
      <c r="H391" s="26"/>
      <c r="I391" s="26"/>
      <c r="J391" s="26"/>
      <c r="Z391" s="26"/>
      <c r="AA391" s="26"/>
    </row>
    <row r="392" spans="8:27" x14ac:dyDescent="0.2">
      <c r="H392" s="26"/>
      <c r="I392" s="26"/>
      <c r="J392" s="26"/>
      <c r="Z392" s="26"/>
      <c r="AA392" s="26"/>
    </row>
    <row r="393" spans="8:27" x14ac:dyDescent="0.2">
      <c r="H393" s="26"/>
      <c r="I393" s="26"/>
      <c r="J393" s="26"/>
      <c r="Z393" s="26"/>
      <c r="AA393" s="26"/>
    </row>
    <row r="394" spans="8:27" x14ac:dyDescent="0.2">
      <c r="H394" s="26"/>
      <c r="I394" s="26"/>
      <c r="J394" s="26"/>
      <c r="Z394" s="26"/>
      <c r="AA394" s="26"/>
    </row>
    <row r="395" spans="8:27" x14ac:dyDescent="0.2">
      <c r="H395" s="26"/>
      <c r="I395" s="26"/>
      <c r="J395" s="26"/>
      <c r="Z395" s="26"/>
      <c r="AA395" s="26"/>
    </row>
    <row r="396" spans="8:27" x14ac:dyDescent="0.2">
      <c r="H396" s="26"/>
      <c r="I396" s="26"/>
      <c r="J396" s="26"/>
      <c r="Z396" s="26"/>
      <c r="AA396" s="26"/>
    </row>
    <row r="397" spans="8:27" x14ac:dyDescent="0.2">
      <c r="H397" s="26"/>
      <c r="I397" s="26"/>
      <c r="J397" s="26"/>
      <c r="Z397" s="26"/>
      <c r="AA397" s="26"/>
    </row>
    <row r="398" spans="8:27" x14ac:dyDescent="0.2">
      <c r="H398" s="26"/>
      <c r="I398" s="26"/>
      <c r="J398" s="26"/>
      <c r="Z398" s="26"/>
      <c r="AA398" s="26"/>
    </row>
    <row r="399" spans="8:27" x14ac:dyDescent="0.2">
      <c r="H399" s="26"/>
      <c r="I399" s="26"/>
      <c r="J399" s="26"/>
      <c r="Z399" s="26"/>
      <c r="AA399" s="26"/>
    </row>
    <row r="400" spans="8:27" x14ac:dyDescent="0.2">
      <c r="H400" s="26"/>
      <c r="I400" s="26"/>
      <c r="J400" s="26"/>
      <c r="Z400" s="26"/>
      <c r="AA400" s="26"/>
    </row>
    <row r="401" spans="8:27" x14ac:dyDescent="0.2">
      <c r="H401" s="26"/>
      <c r="I401" s="26"/>
      <c r="J401" s="26"/>
      <c r="Z401" s="26"/>
      <c r="AA401" s="26"/>
    </row>
    <row r="402" spans="8:27" x14ac:dyDescent="0.2">
      <c r="H402" s="26"/>
      <c r="I402" s="26"/>
      <c r="J402" s="26"/>
      <c r="Z402" s="26"/>
      <c r="AA402" s="26"/>
    </row>
    <row r="403" spans="8:27" x14ac:dyDescent="0.2">
      <c r="H403" s="26"/>
      <c r="I403" s="26"/>
      <c r="J403" s="26"/>
      <c r="Z403" s="26"/>
      <c r="AA403" s="26"/>
    </row>
    <row r="404" spans="8:27" x14ac:dyDescent="0.2">
      <c r="H404" s="26"/>
      <c r="I404" s="26"/>
      <c r="J404" s="26"/>
      <c r="Z404" s="26"/>
      <c r="AA404" s="26"/>
    </row>
    <row r="405" spans="8:27" x14ac:dyDescent="0.2">
      <c r="H405" s="26"/>
      <c r="I405" s="26"/>
      <c r="J405" s="26"/>
      <c r="Z405" s="26"/>
      <c r="AA405" s="26"/>
    </row>
    <row r="406" spans="8:27" x14ac:dyDescent="0.2">
      <c r="H406" s="26"/>
      <c r="I406" s="26"/>
      <c r="J406" s="26"/>
      <c r="Z406" s="26"/>
      <c r="AA406" s="26"/>
    </row>
    <row r="407" spans="8:27" x14ac:dyDescent="0.2">
      <c r="H407" s="26"/>
      <c r="I407" s="26"/>
      <c r="J407" s="26"/>
      <c r="Z407" s="26"/>
      <c r="AA407" s="26"/>
    </row>
    <row r="408" spans="8:27" x14ac:dyDescent="0.2">
      <c r="H408" s="26"/>
      <c r="I408" s="26"/>
      <c r="J408" s="26"/>
      <c r="Z408" s="26"/>
      <c r="AA408" s="26"/>
    </row>
    <row r="409" spans="8:27" x14ac:dyDescent="0.2">
      <c r="H409" s="26"/>
      <c r="I409" s="26"/>
      <c r="J409" s="26"/>
      <c r="Z409" s="26"/>
      <c r="AA409" s="26"/>
    </row>
    <row r="410" spans="8:27" x14ac:dyDescent="0.2">
      <c r="H410" s="26"/>
      <c r="I410" s="26"/>
      <c r="J410" s="26"/>
      <c r="Z410" s="26"/>
      <c r="AA410" s="26"/>
    </row>
    <row r="411" spans="8:27" x14ac:dyDescent="0.2">
      <c r="H411" s="26"/>
      <c r="I411" s="26"/>
      <c r="J411" s="26"/>
      <c r="Z411" s="26"/>
      <c r="AA411" s="26"/>
    </row>
    <row r="412" spans="8:27" x14ac:dyDescent="0.2">
      <c r="H412" s="26"/>
      <c r="I412" s="26"/>
      <c r="J412" s="26"/>
      <c r="Z412" s="26"/>
      <c r="AA412" s="26"/>
    </row>
    <row r="413" spans="8:27" x14ac:dyDescent="0.2">
      <c r="H413" s="26"/>
      <c r="I413" s="26"/>
      <c r="J413" s="26"/>
      <c r="Z413" s="26"/>
      <c r="AA413" s="26"/>
    </row>
    <row r="414" spans="8:27" x14ac:dyDescent="0.2">
      <c r="H414" s="26"/>
      <c r="I414" s="26"/>
      <c r="J414" s="26"/>
      <c r="Z414" s="26"/>
      <c r="AA414" s="26"/>
    </row>
    <row r="415" spans="8:27" x14ac:dyDescent="0.2">
      <c r="H415" s="26"/>
      <c r="I415" s="26"/>
      <c r="J415" s="26"/>
      <c r="Z415" s="26"/>
      <c r="AA415" s="26"/>
    </row>
    <row r="416" spans="8:27" x14ac:dyDescent="0.2">
      <c r="H416" s="26"/>
      <c r="I416" s="26"/>
      <c r="J416" s="26"/>
      <c r="Z416" s="26"/>
      <c r="AA416" s="26"/>
    </row>
    <row r="417" spans="8:27" x14ac:dyDescent="0.2">
      <c r="H417" s="26"/>
      <c r="I417" s="26"/>
      <c r="J417" s="26"/>
      <c r="Z417" s="26"/>
      <c r="AA417" s="26"/>
    </row>
    <row r="418" spans="8:27" x14ac:dyDescent="0.2">
      <c r="H418" s="26"/>
      <c r="I418" s="26"/>
      <c r="J418" s="26"/>
      <c r="Z418" s="26"/>
      <c r="AA418" s="26"/>
    </row>
    <row r="419" spans="8:27" x14ac:dyDescent="0.2">
      <c r="H419" s="26"/>
      <c r="I419" s="26"/>
      <c r="J419" s="26"/>
      <c r="Z419" s="26"/>
      <c r="AA419" s="26"/>
    </row>
    <row r="420" spans="8:27" x14ac:dyDescent="0.2">
      <c r="H420" s="26"/>
      <c r="I420" s="26"/>
      <c r="J420" s="26"/>
      <c r="Z420" s="26"/>
      <c r="AA420" s="26"/>
    </row>
    <row r="421" spans="8:27" x14ac:dyDescent="0.2">
      <c r="H421" s="26"/>
      <c r="I421" s="26"/>
      <c r="J421" s="26"/>
      <c r="Z421" s="26"/>
      <c r="AA421" s="26"/>
    </row>
    <row r="422" spans="8:27" x14ac:dyDescent="0.2">
      <c r="H422" s="26"/>
      <c r="I422" s="26"/>
      <c r="J422" s="26"/>
      <c r="Z422" s="26"/>
      <c r="AA422" s="26"/>
    </row>
    <row r="423" spans="8:27" x14ac:dyDescent="0.2">
      <c r="H423" s="26"/>
      <c r="I423" s="26"/>
      <c r="J423" s="26"/>
      <c r="Z423" s="26"/>
      <c r="AA423" s="26"/>
    </row>
    <row r="424" spans="8:27" x14ac:dyDescent="0.2">
      <c r="H424" s="26"/>
      <c r="I424" s="26"/>
      <c r="J424" s="26"/>
      <c r="Z424" s="26"/>
      <c r="AA424" s="26"/>
    </row>
    <row r="425" spans="8:27" x14ac:dyDescent="0.2">
      <c r="H425" s="26"/>
      <c r="I425" s="26"/>
      <c r="J425" s="26"/>
      <c r="Z425" s="26"/>
      <c r="AA425" s="26"/>
    </row>
    <row r="426" spans="8:27" x14ac:dyDescent="0.2">
      <c r="H426" s="26"/>
      <c r="I426" s="26"/>
      <c r="J426" s="26"/>
      <c r="Z426" s="26"/>
      <c r="AA426" s="26"/>
    </row>
    <row r="427" spans="8:27" x14ac:dyDescent="0.2">
      <c r="H427" s="26"/>
      <c r="I427" s="26"/>
      <c r="J427" s="26"/>
      <c r="Z427" s="26"/>
      <c r="AA427" s="26"/>
    </row>
    <row r="428" spans="8:27" x14ac:dyDescent="0.2">
      <c r="H428" s="26"/>
      <c r="I428" s="26"/>
      <c r="J428" s="26"/>
      <c r="Z428" s="26"/>
      <c r="AA428" s="26"/>
    </row>
    <row r="429" spans="8:27" x14ac:dyDescent="0.2">
      <c r="H429" s="26"/>
      <c r="I429" s="26"/>
      <c r="J429" s="26"/>
      <c r="Z429" s="26"/>
      <c r="AA429" s="26"/>
    </row>
    <row r="430" spans="8:27" x14ac:dyDescent="0.2">
      <c r="H430" s="26"/>
      <c r="I430" s="26"/>
      <c r="J430" s="26"/>
      <c r="Z430" s="26"/>
      <c r="AA430" s="26"/>
    </row>
    <row r="431" spans="8:27" x14ac:dyDescent="0.2">
      <c r="H431" s="26"/>
      <c r="I431" s="26"/>
      <c r="J431" s="26"/>
      <c r="Z431" s="26"/>
      <c r="AA431" s="26"/>
    </row>
    <row r="432" spans="8:27" x14ac:dyDescent="0.2">
      <c r="H432" s="26"/>
      <c r="I432" s="26"/>
      <c r="J432" s="26"/>
      <c r="Z432" s="26"/>
      <c r="AA432" s="26"/>
    </row>
    <row r="433" spans="8:27" x14ac:dyDescent="0.2">
      <c r="H433" s="26"/>
      <c r="I433" s="26"/>
      <c r="J433" s="26"/>
      <c r="Z433" s="26"/>
      <c r="AA433" s="26"/>
    </row>
    <row r="434" spans="8:27" x14ac:dyDescent="0.2">
      <c r="H434" s="26"/>
      <c r="I434" s="26"/>
      <c r="J434" s="26"/>
      <c r="Z434" s="26"/>
      <c r="AA434" s="26"/>
    </row>
    <row r="435" spans="8:27" x14ac:dyDescent="0.2">
      <c r="H435" s="26"/>
      <c r="I435" s="26"/>
      <c r="J435" s="26"/>
      <c r="Z435" s="26"/>
      <c r="AA435" s="26"/>
    </row>
    <row r="436" spans="8:27" x14ac:dyDescent="0.2">
      <c r="H436" s="26"/>
      <c r="I436" s="26"/>
      <c r="J436" s="26"/>
      <c r="Z436" s="26"/>
      <c r="AA436" s="26"/>
    </row>
    <row r="437" spans="8:27" x14ac:dyDescent="0.2">
      <c r="H437" s="26"/>
      <c r="I437" s="26"/>
      <c r="J437" s="26"/>
      <c r="Z437" s="26"/>
      <c r="AA437" s="26"/>
    </row>
    <row r="438" spans="8:27" x14ac:dyDescent="0.2">
      <c r="H438" s="26"/>
      <c r="I438" s="26"/>
      <c r="J438" s="26"/>
      <c r="Z438" s="26"/>
      <c r="AA438" s="26"/>
    </row>
    <row r="439" spans="8:27" x14ac:dyDescent="0.2">
      <c r="H439" s="26"/>
      <c r="I439" s="26"/>
      <c r="J439" s="26"/>
      <c r="Z439" s="26"/>
      <c r="AA439" s="26"/>
    </row>
    <row r="440" spans="8:27" x14ac:dyDescent="0.2">
      <c r="H440" s="26"/>
      <c r="I440" s="26"/>
      <c r="J440" s="26"/>
      <c r="Z440" s="26"/>
      <c r="AA440" s="26"/>
    </row>
    <row r="441" spans="8:27" x14ac:dyDescent="0.2">
      <c r="H441" s="26"/>
      <c r="I441" s="26"/>
      <c r="J441" s="26"/>
      <c r="Z441" s="26"/>
      <c r="AA441" s="26"/>
    </row>
    <row r="442" spans="8:27" x14ac:dyDescent="0.2">
      <c r="H442" s="26"/>
      <c r="I442" s="26"/>
      <c r="J442" s="26"/>
      <c r="Z442" s="26"/>
      <c r="AA442" s="26"/>
    </row>
    <row r="443" spans="8:27" x14ac:dyDescent="0.2">
      <c r="H443" s="26"/>
      <c r="I443" s="26"/>
      <c r="J443" s="26"/>
      <c r="Z443" s="26"/>
      <c r="AA443" s="26"/>
    </row>
    <row r="444" spans="8:27" x14ac:dyDescent="0.2">
      <c r="H444" s="26"/>
      <c r="I444" s="26"/>
      <c r="J444" s="26"/>
      <c r="Z444" s="26"/>
      <c r="AA444" s="26"/>
    </row>
    <row r="445" spans="8:27" x14ac:dyDescent="0.2">
      <c r="H445" s="26"/>
      <c r="I445" s="26"/>
      <c r="J445" s="26"/>
      <c r="Z445" s="26"/>
      <c r="AA445" s="26"/>
    </row>
    <row r="446" spans="8:27" x14ac:dyDescent="0.2">
      <c r="H446" s="26"/>
      <c r="I446" s="26"/>
      <c r="J446" s="26"/>
      <c r="Z446" s="26"/>
      <c r="AA446" s="26"/>
    </row>
    <row r="447" spans="8:27" x14ac:dyDescent="0.2">
      <c r="H447" s="26"/>
      <c r="I447" s="26"/>
      <c r="J447" s="26"/>
      <c r="Z447" s="26"/>
      <c r="AA447" s="26"/>
    </row>
    <row r="448" spans="8:27" x14ac:dyDescent="0.2">
      <c r="H448" s="26"/>
      <c r="I448" s="26"/>
      <c r="J448" s="26"/>
      <c r="Z448" s="26"/>
      <c r="AA448" s="26"/>
    </row>
    <row r="449" spans="8:27" x14ac:dyDescent="0.2">
      <c r="H449" s="26"/>
      <c r="I449" s="26"/>
      <c r="J449" s="26"/>
      <c r="Z449" s="26"/>
      <c r="AA449" s="26"/>
    </row>
    <row r="450" spans="8:27" x14ac:dyDescent="0.2">
      <c r="H450" s="26"/>
      <c r="I450" s="26"/>
      <c r="J450" s="26"/>
      <c r="Z450" s="26"/>
      <c r="AA450" s="26"/>
    </row>
    <row r="451" spans="8:27" x14ac:dyDescent="0.2">
      <c r="H451" s="26"/>
      <c r="I451" s="26"/>
      <c r="J451" s="26"/>
      <c r="Z451" s="26"/>
      <c r="AA451" s="26"/>
    </row>
    <row r="452" spans="8:27" x14ac:dyDescent="0.2">
      <c r="H452" s="26"/>
      <c r="I452" s="26"/>
      <c r="J452" s="26"/>
      <c r="Z452" s="26"/>
      <c r="AA452" s="26"/>
    </row>
    <row r="453" spans="8:27" x14ac:dyDescent="0.2">
      <c r="H453" s="26"/>
      <c r="I453" s="26"/>
      <c r="J453" s="26"/>
      <c r="Z453" s="26"/>
      <c r="AA453" s="26"/>
    </row>
    <row r="454" spans="8:27" x14ac:dyDescent="0.2">
      <c r="H454" s="26"/>
      <c r="I454" s="26"/>
      <c r="J454" s="26"/>
      <c r="Z454" s="26"/>
      <c r="AA454" s="26"/>
    </row>
    <row r="455" spans="8:27" x14ac:dyDescent="0.2">
      <c r="H455" s="26"/>
      <c r="I455" s="26"/>
      <c r="J455" s="26"/>
      <c r="Z455" s="26"/>
      <c r="AA455" s="26"/>
    </row>
    <row r="456" spans="8:27" x14ac:dyDescent="0.2">
      <c r="H456" s="26"/>
      <c r="I456" s="26"/>
      <c r="J456" s="26"/>
      <c r="Z456" s="26"/>
      <c r="AA456" s="26"/>
    </row>
    <row r="457" spans="8:27" x14ac:dyDescent="0.2">
      <c r="H457" s="26"/>
      <c r="I457" s="26"/>
      <c r="J457" s="26"/>
      <c r="Z457" s="26"/>
      <c r="AA457" s="26"/>
    </row>
    <row r="458" spans="8:27" x14ac:dyDescent="0.2">
      <c r="H458" s="26"/>
      <c r="I458" s="26"/>
      <c r="J458" s="26"/>
      <c r="Z458" s="26"/>
      <c r="AA458" s="26"/>
    </row>
    <row r="459" spans="8:27" x14ac:dyDescent="0.2">
      <c r="H459" s="26"/>
      <c r="I459" s="26"/>
      <c r="J459" s="26"/>
      <c r="Z459" s="26"/>
      <c r="AA459" s="26"/>
    </row>
    <row r="460" spans="8:27" x14ac:dyDescent="0.2">
      <c r="H460" s="26"/>
      <c r="I460" s="26"/>
      <c r="J460" s="26"/>
      <c r="Z460" s="26"/>
      <c r="AA460" s="26"/>
    </row>
    <row r="461" spans="8:27" x14ac:dyDescent="0.2">
      <c r="H461" s="26"/>
      <c r="I461" s="26"/>
      <c r="J461" s="26"/>
      <c r="Z461" s="26"/>
      <c r="AA461" s="26"/>
    </row>
    <row r="462" spans="8:27" x14ac:dyDescent="0.2">
      <c r="H462" s="26"/>
      <c r="I462" s="26"/>
      <c r="J462" s="26"/>
      <c r="Z462" s="26"/>
      <c r="AA462" s="26"/>
    </row>
    <row r="463" spans="8:27" x14ac:dyDescent="0.2">
      <c r="H463" s="26"/>
      <c r="I463" s="26"/>
      <c r="J463" s="26"/>
      <c r="Z463" s="26"/>
      <c r="AA463" s="26"/>
    </row>
    <row r="464" spans="8:27" x14ac:dyDescent="0.2">
      <c r="H464" s="26"/>
      <c r="I464" s="26"/>
      <c r="J464" s="26"/>
      <c r="Z464" s="26"/>
      <c r="AA464" s="26"/>
    </row>
    <row r="465" spans="8:27" x14ac:dyDescent="0.2">
      <c r="H465" s="26"/>
      <c r="I465" s="26"/>
      <c r="J465" s="26"/>
      <c r="Z465" s="26"/>
      <c r="AA465" s="26"/>
    </row>
    <row r="466" spans="8:27" x14ac:dyDescent="0.2">
      <c r="H466" s="26"/>
      <c r="I466" s="26"/>
      <c r="J466" s="26"/>
      <c r="Z466" s="26"/>
      <c r="AA466" s="26"/>
    </row>
    <row r="467" spans="8:27" x14ac:dyDescent="0.2">
      <c r="H467" s="26"/>
      <c r="I467" s="26"/>
      <c r="J467" s="26"/>
      <c r="Z467" s="26"/>
      <c r="AA467" s="26"/>
    </row>
    <row r="468" spans="8:27" x14ac:dyDescent="0.2">
      <c r="H468" s="26"/>
      <c r="I468" s="26"/>
      <c r="J468" s="26"/>
      <c r="Z468" s="26"/>
      <c r="AA468" s="26"/>
    </row>
    <row r="469" spans="8:27" x14ac:dyDescent="0.2">
      <c r="H469" s="26"/>
      <c r="I469" s="26"/>
      <c r="J469" s="26"/>
      <c r="Z469" s="26"/>
      <c r="AA469" s="26"/>
    </row>
    <row r="470" spans="8:27" x14ac:dyDescent="0.2">
      <c r="H470" s="26"/>
      <c r="I470" s="26"/>
      <c r="J470" s="26"/>
      <c r="Z470" s="26"/>
      <c r="AA470" s="26"/>
    </row>
    <row r="471" spans="8:27" x14ac:dyDescent="0.2">
      <c r="H471" s="26"/>
      <c r="I471" s="26"/>
      <c r="J471" s="26"/>
      <c r="Z471" s="26"/>
      <c r="AA471" s="26"/>
    </row>
    <row r="472" spans="8:27" x14ac:dyDescent="0.2">
      <c r="H472" s="26"/>
      <c r="I472" s="26"/>
      <c r="J472" s="26"/>
      <c r="Z472" s="26"/>
      <c r="AA472" s="26"/>
    </row>
    <row r="473" spans="8:27" x14ac:dyDescent="0.2">
      <c r="H473" s="26"/>
      <c r="I473" s="26"/>
      <c r="J473" s="26"/>
      <c r="Z473" s="26"/>
      <c r="AA473" s="26"/>
    </row>
    <row r="474" spans="8:27" x14ac:dyDescent="0.2">
      <c r="H474" s="26"/>
      <c r="I474" s="26"/>
      <c r="J474" s="26"/>
      <c r="Z474" s="26"/>
      <c r="AA474" s="26"/>
    </row>
    <row r="475" spans="8:27" x14ac:dyDescent="0.2">
      <c r="H475" s="26"/>
      <c r="I475" s="26"/>
      <c r="J475" s="26"/>
      <c r="Z475" s="26"/>
      <c r="AA475" s="26"/>
    </row>
    <row r="476" spans="8:27" x14ac:dyDescent="0.2">
      <c r="H476" s="26"/>
      <c r="I476" s="26"/>
      <c r="J476" s="26"/>
      <c r="Z476" s="26"/>
      <c r="AA476" s="26"/>
    </row>
    <row r="477" spans="8:27" x14ac:dyDescent="0.2">
      <c r="H477" s="26"/>
      <c r="I477" s="26"/>
      <c r="J477" s="26"/>
      <c r="Z477" s="26"/>
      <c r="AA477" s="26"/>
    </row>
    <row r="478" spans="8:27" x14ac:dyDescent="0.2">
      <c r="H478" s="26"/>
      <c r="I478" s="26"/>
      <c r="J478" s="26"/>
      <c r="Z478" s="26"/>
      <c r="AA478" s="26"/>
    </row>
    <row r="479" spans="8:27" x14ac:dyDescent="0.2">
      <c r="H479" s="26"/>
      <c r="I479" s="26"/>
      <c r="J479" s="26"/>
      <c r="Z479" s="26"/>
      <c r="AA479" s="26"/>
    </row>
    <row r="480" spans="8:27" x14ac:dyDescent="0.2">
      <c r="H480" s="26"/>
      <c r="I480" s="26"/>
      <c r="J480" s="26"/>
      <c r="Z480" s="26"/>
      <c r="AA480" s="26"/>
    </row>
    <row r="481" spans="8:27" x14ac:dyDescent="0.2">
      <c r="H481" s="26"/>
      <c r="I481" s="26"/>
      <c r="J481" s="26"/>
      <c r="Z481" s="26"/>
      <c r="AA481" s="26"/>
    </row>
    <row r="482" spans="8:27" x14ac:dyDescent="0.2">
      <c r="H482" s="26"/>
      <c r="I482" s="26"/>
      <c r="J482" s="26"/>
      <c r="Z482" s="26"/>
      <c r="AA482" s="26"/>
    </row>
    <row r="483" spans="8:27" x14ac:dyDescent="0.2">
      <c r="H483" s="26"/>
      <c r="I483" s="26"/>
      <c r="J483" s="26"/>
      <c r="Z483" s="26"/>
      <c r="AA483" s="26"/>
    </row>
    <row r="484" spans="8:27" x14ac:dyDescent="0.2">
      <c r="H484" s="26"/>
      <c r="I484" s="26"/>
      <c r="J484" s="26"/>
      <c r="Z484" s="26"/>
      <c r="AA484" s="26"/>
    </row>
    <row r="485" spans="8:27" x14ac:dyDescent="0.2">
      <c r="H485" s="26"/>
      <c r="I485" s="26"/>
      <c r="J485" s="26"/>
      <c r="Z485" s="26"/>
      <c r="AA485" s="26"/>
    </row>
    <row r="486" spans="8:27" x14ac:dyDescent="0.2">
      <c r="H486" s="26"/>
      <c r="I486" s="26"/>
      <c r="J486" s="26"/>
      <c r="Z486" s="26"/>
      <c r="AA486" s="26"/>
    </row>
    <row r="487" spans="8:27" x14ac:dyDescent="0.2">
      <c r="H487" s="26"/>
      <c r="I487" s="26"/>
      <c r="J487" s="26"/>
      <c r="Z487" s="26"/>
      <c r="AA487" s="26"/>
    </row>
    <row r="488" spans="8:27" x14ac:dyDescent="0.2">
      <c r="H488" s="26"/>
      <c r="I488" s="26"/>
      <c r="J488" s="26"/>
      <c r="Z488" s="26"/>
      <c r="AA488" s="26"/>
    </row>
    <row r="489" spans="8:27" x14ac:dyDescent="0.2">
      <c r="H489" s="26"/>
      <c r="I489" s="26"/>
      <c r="J489" s="26"/>
      <c r="Z489" s="26"/>
      <c r="AA489" s="26"/>
    </row>
    <row r="490" spans="8:27" x14ac:dyDescent="0.2">
      <c r="H490" s="26"/>
      <c r="I490" s="26"/>
      <c r="J490" s="26"/>
      <c r="Z490" s="26"/>
      <c r="AA490" s="26"/>
    </row>
    <row r="491" spans="8:27" x14ac:dyDescent="0.2">
      <c r="H491" s="26"/>
      <c r="I491" s="26"/>
      <c r="J491" s="26"/>
      <c r="Z491" s="26"/>
      <c r="AA491" s="26"/>
    </row>
    <row r="492" spans="8:27" x14ac:dyDescent="0.2">
      <c r="H492" s="26"/>
      <c r="I492" s="26"/>
      <c r="J492" s="26"/>
      <c r="Z492" s="26"/>
      <c r="AA492" s="26"/>
    </row>
    <row r="493" spans="8:27" x14ac:dyDescent="0.2">
      <c r="H493" s="26"/>
      <c r="I493" s="26"/>
      <c r="J493" s="26"/>
      <c r="Z493" s="26"/>
      <c r="AA493" s="26"/>
    </row>
    <row r="494" spans="8:27" x14ac:dyDescent="0.2">
      <c r="H494" s="26"/>
      <c r="I494" s="26"/>
      <c r="J494" s="26"/>
      <c r="Z494" s="26"/>
      <c r="AA494" s="26"/>
    </row>
    <row r="495" spans="8:27" x14ac:dyDescent="0.2">
      <c r="H495" s="26"/>
      <c r="I495" s="26"/>
      <c r="J495" s="26"/>
      <c r="Z495" s="26"/>
      <c r="AA495" s="26"/>
    </row>
    <row r="496" spans="8:27" x14ac:dyDescent="0.2">
      <c r="H496" s="26"/>
      <c r="I496" s="26"/>
      <c r="J496" s="26"/>
      <c r="Z496" s="26"/>
      <c r="AA496" s="26"/>
    </row>
    <row r="497" spans="8:27" x14ac:dyDescent="0.2">
      <c r="H497" s="26"/>
      <c r="I497" s="26"/>
      <c r="J497" s="26"/>
      <c r="Z497" s="26"/>
      <c r="AA497" s="26"/>
    </row>
    <row r="498" spans="8:27" x14ac:dyDescent="0.2">
      <c r="H498" s="26"/>
      <c r="I498" s="26"/>
      <c r="J498" s="26"/>
      <c r="Z498" s="26"/>
      <c r="AA498" s="26"/>
    </row>
    <row r="499" spans="8:27" x14ac:dyDescent="0.2">
      <c r="H499" s="26"/>
      <c r="I499" s="26"/>
      <c r="J499" s="26"/>
      <c r="Z499" s="26"/>
      <c r="AA499" s="26"/>
    </row>
    <row r="500" spans="8:27" x14ac:dyDescent="0.2">
      <c r="H500" s="26"/>
      <c r="I500" s="26"/>
      <c r="J500" s="26"/>
      <c r="Z500" s="26"/>
      <c r="AA500" s="26"/>
    </row>
    <row r="501" spans="8:27" x14ac:dyDescent="0.2">
      <c r="H501" s="26"/>
      <c r="I501" s="26"/>
      <c r="J501" s="26"/>
      <c r="Z501" s="26"/>
      <c r="AA501" s="26"/>
    </row>
    <row r="502" spans="8:27" x14ac:dyDescent="0.2">
      <c r="H502" s="26"/>
      <c r="I502" s="26"/>
      <c r="J502" s="26"/>
      <c r="Z502" s="26"/>
      <c r="AA502" s="26"/>
    </row>
    <row r="503" spans="8:27" x14ac:dyDescent="0.2">
      <c r="H503" s="26"/>
      <c r="I503" s="26"/>
      <c r="J503" s="26"/>
      <c r="Z503" s="26"/>
      <c r="AA503" s="26"/>
    </row>
    <row r="504" spans="8:27" x14ac:dyDescent="0.2">
      <c r="H504" s="26"/>
      <c r="I504" s="26"/>
      <c r="J504" s="26"/>
      <c r="Z504" s="26"/>
      <c r="AA504" s="26"/>
    </row>
    <row r="505" spans="8:27" x14ac:dyDescent="0.2">
      <c r="H505" s="26"/>
      <c r="I505" s="26"/>
      <c r="J505" s="26"/>
      <c r="Z505" s="26"/>
      <c r="AA505" s="26"/>
    </row>
    <row r="506" spans="8:27" x14ac:dyDescent="0.2">
      <c r="H506" s="26"/>
      <c r="I506" s="26"/>
      <c r="J506" s="26"/>
      <c r="Z506" s="26"/>
      <c r="AA506" s="26"/>
    </row>
    <row r="507" spans="8:27" x14ac:dyDescent="0.2">
      <c r="H507" s="26"/>
      <c r="I507" s="26"/>
      <c r="J507" s="26"/>
      <c r="Z507" s="26"/>
      <c r="AA507" s="26"/>
    </row>
    <row r="508" spans="8:27" x14ac:dyDescent="0.2">
      <c r="H508" s="26"/>
      <c r="I508" s="26"/>
      <c r="J508" s="26"/>
      <c r="Z508" s="26"/>
      <c r="AA508" s="26"/>
    </row>
    <row r="509" spans="8:27" x14ac:dyDescent="0.2">
      <c r="H509" s="26"/>
      <c r="I509" s="26"/>
      <c r="J509" s="26"/>
      <c r="Z509" s="26"/>
      <c r="AA509" s="26"/>
    </row>
    <row r="510" spans="8:27" x14ac:dyDescent="0.2">
      <c r="H510" s="26"/>
      <c r="I510" s="26"/>
      <c r="J510" s="26"/>
      <c r="Z510" s="26"/>
      <c r="AA510" s="26"/>
    </row>
    <row r="511" spans="8:27" x14ac:dyDescent="0.2">
      <c r="H511" s="26"/>
      <c r="I511" s="26"/>
      <c r="J511" s="26"/>
      <c r="Z511" s="26"/>
      <c r="AA511" s="26"/>
    </row>
    <row r="512" spans="8:27" x14ac:dyDescent="0.2">
      <c r="H512" s="26"/>
      <c r="I512" s="26"/>
      <c r="J512" s="26"/>
      <c r="Z512" s="26"/>
      <c r="AA512" s="26"/>
    </row>
    <row r="513" spans="8:27" x14ac:dyDescent="0.2">
      <c r="H513" s="26"/>
      <c r="I513" s="26"/>
      <c r="J513" s="26"/>
      <c r="Z513" s="26"/>
      <c r="AA513" s="26"/>
    </row>
    <row r="514" spans="8:27" x14ac:dyDescent="0.2">
      <c r="H514" s="26"/>
      <c r="I514" s="26"/>
      <c r="J514" s="26"/>
      <c r="Z514" s="26"/>
      <c r="AA514" s="26"/>
    </row>
    <row r="515" spans="8:27" x14ac:dyDescent="0.2">
      <c r="H515" s="26"/>
      <c r="I515" s="26"/>
      <c r="J515" s="26"/>
      <c r="Z515" s="26"/>
      <c r="AA515" s="26"/>
    </row>
    <row r="516" spans="8:27" x14ac:dyDescent="0.2">
      <c r="H516" s="26"/>
      <c r="I516" s="26"/>
      <c r="J516" s="26"/>
      <c r="Z516" s="26"/>
      <c r="AA516" s="26"/>
    </row>
    <row r="517" spans="8:27" x14ac:dyDescent="0.2">
      <c r="H517" s="26"/>
      <c r="I517" s="26"/>
      <c r="J517" s="26"/>
      <c r="Z517" s="26"/>
      <c r="AA517" s="26"/>
    </row>
    <row r="518" spans="8:27" x14ac:dyDescent="0.2">
      <c r="H518" s="26"/>
      <c r="I518" s="26"/>
      <c r="J518" s="26"/>
      <c r="Z518" s="26"/>
      <c r="AA518" s="26"/>
    </row>
    <row r="519" spans="8:27" x14ac:dyDescent="0.2">
      <c r="H519" s="26"/>
      <c r="I519" s="26"/>
      <c r="J519" s="26"/>
      <c r="Z519" s="26"/>
      <c r="AA519" s="26"/>
    </row>
    <row r="520" spans="8:27" x14ac:dyDescent="0.2">
      <c r="H520" s="26"/>
      <c r="I520" s="26"/>
      <c r="J520" s="26"/>
      <c r="Z520" s="26"/>
      <c r="AA520" s="26"/>
    </row>
    <row r="521" spans="8:27" x14ac:dyDescent="0.2">
      <c r="H521" s="26"/>
      <c r="I521" s="26"/>
      <c r="J521" s="26"/>
      <c r="Z521" s="26"/>
      <c r="AA521" s="26"/>
    </row>
    <row r="522" spans="8:27" x14ac:dyDescent="0.2">
      <c r="H522" s="26"/>
      <c r="I522" s="26"/>
      <c r="J522" s="26"/>
      <c r="Z522" s="26"/>
      <c r="AA522" s="26"/>
    </row>
    <row r="523" spans="8:27" x14ac:dyDescent="0.2">
      <c r="H523" s="26"/>
      <c r="I523" s="26"/>
      <c r="J523" s="26"/>
      <c r="Z523" s="26"/>
      <c r="AA523" s="26"/>
    </row>
    <row r="524" spans="8:27" x14ac:dyDescent="0.2">
      <c r="H524" s="26"/>
      <c r="I524" s="26"/>
      <c r="J524" s="26"/>
      <c r="Z524" s="26"/>
      <c r="AA524" s="26"/>
    </row>
    <row r="525" spans="8:27" x14ac:dyDescent="0.2">
      <c r="H525" s="26"/>
      <c r="I525" s="26"/>
      <c r="J525" s="26"/>
      <c r="Z525" s="26"/>
      <c r="AA525" s="26"/>
    </row>
    <row r="526" spans="8:27" x14ac:dyDescent="0.2">
      <c r="H526" s="26"/>
      <c r="I526" s="26"/>
      <c r="J526" s="26"/>
      <c r="Z526" s="26"/>
      <c r="AA526" s="26"/>
    </row>
    <row r="527" spans="8:27" x14ac:dyDescent="0.2">
      <c r="H527" s="26"/>
      <c r="I527" s="26"/>
      <c r="J527" s="26"/>
      <c r="Z527" s="26"/>
      <c r="AA527" s="26"/>
    </row>
    <row r="528" spans="8:27" x14ac:dyDescent="0.2">
      <c r="H528" s="26"/>
      <c r="I528" s="26"/>
      <c r="J528" s="26"/>
      <c r="Z528" s="26"/>
      <c r="AA528" s="26"/>
    </row>
    <row r="529" spans="8:27" x14ac:dyDescent="0.2">
      <c r="H529" s="26"/>
      <c r="I529" s="26"/>
      <c r="J529" s="26"/>
      <c r="Z529" s="26"/>
      <c r="AA529" s="26"/>
    </row>
    <row r="530" spans="8:27" x14ac:dyDescent="0.2">
      <c r="H530" s="26"/>
      <c r="I530" s="26"/>
      <c r="J530" s="26"/>
      <c r="Z530" s="26"/>
      <c r="AA530" s="26"/>
    </row>
    <row r="531" spans="8:27" x14ac:dyDescent="0.2">
      <c r="H531" s="26"/>
      <c r="I531" s="26"/>
      <c r="J531" s="26"/>
      <c r="Z531" s="26"/>
      <c r="AA531" s="26"/>
    </row>
    <row r="532" spans="8:27" x14ac:dyDescent="0.2">
      <c r="H532" s="26"/>
      <c r="I532" s="26"/>
      <c r="J532" s="26"/>
      <c r="Z532" s="26"/>
      <c r="AA532" s="26"/>
    </row>
    <row r="533" spans="8:27" x14ac:dyDescent="0.2">
      <c r="H533" s="26"/>
      <c r="I533" s="26"/>
      <c r="J533" s="26"/>
      <c r="Z533" s="26"/>
      <c r="AA533" s="26"/>
    </row>
    <row r="534" spans="8:27" x14ac:dyDescent="0.2">
      <c r="H534" s="26"/>
      <c r="I534" s="26"/>
      <c r="J534" s="26"/>
      <c r="Z534" s="26"/>
      <c r="AA534" s="26"/>
    </row>
    <row r="535" spans="8:27" x14ac:dyDescent="0.2">
      <c r="H535" s="26"/>
      <c r="I535" s="26"/>
      <c r="J535" s="26"/>
      <c r="Z535" s="26"/>
      <c r="AA535" s="26"/>
    </row>
    <row r="536" spans="8:27" x14ac:dyDescent="0.2">
      <c r="H536" s="26"/>
      <c r="I536" s="26"/>
      <c r="J536" s="26"/>
      <c r="Z536" s="26"/>
      <c r="AA536" s="26"/>
    </row>
    <row r="537" spans="8:27" x14ac:dyDescent="0.2">
      <c r="H537" s="26"/>
      <c r="I537" s="26"/>
      <c r="J537" s="26"/>
      <c r="Z537" s="26"/>
      <c r="AA537" s="26"/>
    </row>
    <row r="538" spans="8:27" x14ac:dyDescent="0.2">
      <c r="H538" s="26"/>
      <c r="I538" s="26"/>
      <c r="J538" s="26"/>
      <c r="Z538" s="26"/>
      <c r="AA538" s="26"/>
    </row>
    <row r="539" spans="8:27" x14ac:dyDescent="0.2">
      <c r="H539" s="26"/>
      <c r="I539" s="26"/>
      <c r="J539" s="26"/>
      <c r="Z539" s="26"/>
      <c r="AA539" s="26"/>
    </row>
    <row r="540" spans="8:27" x14ac:dyDescent="0.2">
      <c r="H540" s="26"/>
      <c r="I540" s="26"/>
      <c r="J540" s="26"/>
      <c r="Z540" s="26"/>
      <c r="AA540" s="26"/>
    </row>
    <row r="541" spans="8:27" x14ac:dyDescent="0.2">
      <c r="H541" s="26"/>
      <c r="I541" s="26"/>
      <c r="J541" s="26"/>
      <c r="Z541" s="26"/>
      <c r="AA541" s="26"/>
    </row>
    <row r="542" spans="8:27" x14ac:dyDescent="0.2">
      <c r="H542" s="26"/>
      <c r="I542" s="26"/>
      <c r="J542" s="26"/>
      <c r="Z542" s="26"/>
      <c r="AA542" s="26"/>
    </row>
    <row r="543" spans="8:27" x14ac:dyDescent="0.2">
      <c r="H543" s="26"/>
      <c r="I543" s="26"/>
      <c r="J543" s="26"/>
      <c r="Z543" s="26"/>
      <c r="AA543" s="26"/>
    </row>
    <row r="544" spans="8:27" x14ac:dyDescent="0.2">
      <c r="H544" s="26"/>
      <c r="I544" s="26"/>
      <c r="J544" s="26"/>
      <c r="Z544" s="26"/>
      <c r="AA544" s="26"/>
    </row>
    <row r="545" spans="8:27" x14ac:dyDescent="0.2">
      <c r="H545" s="26"/>
      <c r="I545" s="26"/>
      <c r="J545" s="26"/>
      <c r="Z545" s="26"/>
      <c r="AA545" s="26"/>
    </row>
    <row r="546" spans="8:27" x14ac:dyDescent="0.2">
      <c r="H546" s="26"/>
      <c r="I546" s="26"/>
      <c r="J546" s="26"/>
      <c r="Z546" s="26"/>
      <c r="AA546" s="26"/>
    </row>
    <row r="547" spans="8:27" x14ac:dyDescent="0.2">
      <c r="H547" s="26"/>
      <c r="I547" s="26"/>
      <c r="J547" s="26"/>
      <c r="Z547" s="26"/>
      <c r="AA547" s="26"/>
    </row>
    <row r="548" spans="8:27" x14ac:dyDescent="0.2">
      <c r="H548" s="26"/>
      <c r="I548" s="26"/>
      <c r="J548" s="26"/>
      <c r="Z548" s="26"/>
      <c r="AA548" s="26"/>
    </row>
    <row r="549" spans="8:27" x14ac:dyDescent="0.2">
      <c r="H549" s="26"/>
      <c r="I549" s="26"/>
      <c r="J549" s="26"/>
      <c r="Z549" s="26"/>
      <c r="AA549" s="26"/>
    </row>
    <row r="550" spans="8:27" x14ac:dyDescent="0.2">
      <c r="H550" s="26"/>
      <c r="I550" s="26"/>
      <c r="J550" s="26"/>
      <c r="Z550" s="26"/>
      <c r="AA550" s="26"/>
    </row>
    <row r="551" spans="8:27" x14ac:dyDescent="0.2">
      <c r="H551" s="26"/>
      <c r="I551" s="26"/>
      <c r="J551" s="26"/>
      <c r="Z551" s="26"/>
      <c r="AA551" s="26"/>
    </row>
    <row r="552" spans="8:27" x14ac:dyDescent="0.2">
      <c r="H552" s="26"/>
      <c r="I552" s="26"/>
      <c r="J552" s="26"/>
      <c r="Z552" s="26"/>
      <c r="AA552" s="26"/>
    </row>
    <row r="553" spans="8:27" x14ac:dyDescent="0.2">
      <c r="H553" s="26"/>
      <c r="I553" s="26"/>
      <c r="J553" s="26"/>
      <c r="Z553" s="26"/>
      <c r="AA553" s="26"/>
    </row>
    <row r="554" spans="8:27" x14ac:dyDescent="0.2">
      <c r="H554" s="26"/>
      <c r="I554" s="26"/>
      <c r="J554" s="26"/>
      <c r="Z554" s="26"/>
      <c r="AA554" s="26"/>
    </row>
    <row r="555" spans="8:27" x14ac:dyDescent="0.2">
      <c r="H555" s="26"/>
      <c r="I555" s="26"/>
      <c r="J555" s="26"/>
      <c r="Z555" s="26"/>
      <c r="AA555" s="26"/>
    </row>
    <row r="556" spans="8:27" x14ac:dyDescent="0.2">
      <c r="H556" s="26"/>
      <c r="I556" s="26"/>
      <c r="J556" s="26"/>
      <c r="Z556" s="26"/>
      <c r="AA556" s="26"/>
    </row>
    <row r="557" spans="8:27" x14ac:dyDescent="0.2">
      <c r="H557" s="26"/>
      <c r="I557" s="26"/>
      <c r="J557" s="26"/>
      <c r="Z557" s="26"/>
      <c r="AA557" s="26"/>
    </row>
    <row r="558" spans="8:27" x14ac:dyDescent="0.2">
      <c r="H558" s="26"/>
      <c r="I558" s="26"/>
      <c r="J558" s="26"/>
      <c r="Z558" s="26"/>
      <c r="AA558" s="26"/>
    </row>
    <row r="559" spans="8:27" x14ac:dyDescent="0.2">
      <c r="H559" s="26"/>
      <c r="I559" s="26"/>
      <c r="J559" s="26"/>
      <c r="Z559" s="26"/>
      <c r="AA559" s="26"/>
    </row>
    <row r="560" spans="8:27" x14ac:dyDescent="0.2">
      <c r="H560" s="26"/>
      <c r="I560" s="26"/>
      <c r="J560" s="26"/>
      <c r="Z560" s="26"/>
      <c r="AA560" s="26"/>
    </row>
    <row r="561" spans="8:27" x14ac:dyDescent="0.2">
      <c r="H561" s="26"/>
      <c r="I561" s="26"/>
      <c r="J561" s="26"/>
      <c r="Z561" s="26"/>
      <c r="AA561" s="26"/>
    </row>
    <row r="562" spans="8:27" x14ac:dyDescent="0.2">
      <c r="H562" s="26"/>
      <c r="I562" s="26"/>
      <c r="J562" s="26"/>
      <c r="Z562" s="26"/>
      <c r="AA562" s="26"/>
    </row>
    <row r="563" spans="8:27" x14ac:dyDescent="0.2">
      <c r="H563" s="26"/>
      <c r="I563" s="26"/>
      <c r="J563" s="26"/>
      <c r="Z563" s="26"/>
      <c r="AA563" s="26"/>
    </row>
    <row r="564" spans="8:27" x14ac:dyDescent="0.2">
      <c r="H564" s="26"/>
      <c r="I564" s="26"/>
      <c r="J564" s="26"/>
      <c r="Z564" s="26"/>
      <c r="AA564" s="26"/>
    </row>
    <row r="565" spans="8:27" x14ac:dyDescent="0.2">
      <c r="H565" s="26"/>
      <c r="I565" s="26"/>
      <c r="J565" s="26"/>
      <c r="Z565" s="26"/>
      <c r="AA565" s="26"/>
    </row>
    <row r="566" spans="8:27" x14ac:dyDescent="0.2">
      <c r="H566" s="26"/>
      <c r="I566" s="26"/>
      <c r="J566" s="26"/>
      <c r="Z566" s="26"/>
      <c r="AA566" s="26"/>
    </row>
    <row r="567" spans="8:27" x14ac:dyDescent="0.2">
      <c r="H567" s="26"/>
      <c r="I567" s="26"/>
      <c r="J567" s="26"/>
      <c r="Z567" s="26"/>
      <c r="AA567" s="26"/>
    </row>
    <row r="568" spans="8:27" x14ac:dyDescent="0.2">
      <c r="H568" s="26"/>
      <c r="I568" s="26"/>
      <c r="J568" s="26"/>
      <c r="Z568" s="26"/>
      <c r="AA568" s="26"/>
    </row>
    <row r="569" spans="8:27" x14ac:dyDescent="0.2">
      <c r="H569" s="26"/>
      <c r="I569" s="26"/>
      <c r="J569" s="26"/>
      <c r="Z569" s="26"/>
      <c r="AA569" s="26"/>
    </row>
    <row r="570" spans="8:27" x14ac:dyDescent="0.2">
      <c r="H570" s="26"/>
      <c r="I570" s="26"/>
      <c r="J570" s="26"/>
      <c r="Z570" s="26"/>
      <c r="AA570" s="26"/>
    </row>
    <row r="571" spans="8:27" x14ac:dyDescent="0.2">
      <c r="H571" s="26"/>
      <c r="I571" s="26"/>
      <c r="J571" s="26"/>
      <c r="Z571" s="26"/>
      <c r="AA571" s="26"/>
    </row>
    <row r="572" spans="8:27" x14ac:dyDescent="0.2">
      <c r="H572" s="26"/>
      <c r="I572" s="26"/>
      <c r="J572" s="26"/>
      <c r="Z572" s="26"/>
      <c r="AA572" s="26"/>
    </row>
    <row r="573" spans="8:27" x14ac:dyDescent="0.2">
      <c r="H573" s="26"/>
      <c r="I573" s="26"/>
      <c r="J573" s="26"/>
      <c r="Z573" s="26"/>
      <c r="AA573" s="26"/>
    </row>
    <row r="574" spans="8:27" x14ac:dyDescent="0.2">
      <c r="H574" s="26"/>
      <c r="I574" s="26"/>
      <c r="J574" s="26"/>
      <c r="Z574" s="26"/>
      <c r="AA574" s="26"/>
    </row>
    <row r="575" spans="8:27" x14ac:dyDescent="0.2">
      <c r="H575" s="26"/>
      <c r="I575" s="26"/>
      <c r="J575" s="26"/>
      <c r="Z575" s="26"/>
      <c r="AA575" s="26"/>
    </row>
    <row r="576" spans="8:27" x14ac:dyDescent="0.2">
      <c r="H576" s="26"/>
      <c r="I576" s="26"/>
      <c r="J576" s="26"/>
      <c r="Z576" s="26"/>
      <c r="AA576" s="26"/>
    </row>
    <row r="577" spans="8:27" x14ac:dyDescent="0.2">
      <c r="H577" s="26"/>
      <c r="I577" s="26"/>
      <c r="J577" s="26"/>
      <c r="Z577" s="26"/>
      <c r="AA577" s="26"/>
    </row>
    <row r="578" spans="8:27" x14ac:dyDescent="0.2">
      <c r="H578" s="26"/>
      <c r="I578" s="26"/>
      <c r="J578" s="26"/>
      <c r="Z578" s="26"/>
      <c r="AA578" s="26"/>
    </row>
    <row r="579" spans="8:27" x14ac:dyDescent="0.2">
      <c r="H579" s="26"/>
      <c r="I579" s="26"/>
      <c r="J579" s="26"/>
      <c r="Z579" s="26"/>
      <c r="AA579" s="26"/>
    </row>
    <row r="580" spans="8:27" x14ac:dyDescent="0.2">
      <c r="H580" s="26"/>
      <c r="I580" s="26"/>
      <c r="J580" s="26"/>
      <c r="Z580" s="26"/>
      <c r="AA580" s="26"/>
    </row>
    <row r="581" spans="8:27" x14ac:dyDescent="0.2">
      <c r="H581" s="26"/>
      <c r="I581" s="26"/>
      <c r="J581" s="26"/>
      <c r="Z581" s="26"/>
      <c r="AA581" s="26"/>
    </row>
    <row r="582" spans="8:27" x14ac:dyDescent="0.2">
      <c r="H582" s="26"/>
      <c r="I582" s="26"/>
      <c r="J582" s="26"/>
      <c r="Z582" s="26"/>
      <c r="AA582" s="26"/>
    </row>
    <row r="583" spans="8:27" x14ac:dyDescent="0.2">
      <c r="H583" s="26"/>
      <c r="I583" s="26"/>
      <c r="J583" s="26"/>
      <c r="Z583" s="26"/>
      <c r="AA583" s="26"/>
    </row>
    <row r="584" spans="8:27" x14ac:dyDescent="0.2">
      <c r="H584" s="26"/>
      <c r="I584" s="26"/>
      <c r="J584" s="26"/>
      <c r="Z584" s="26"/>
      <c r="AA584" s="26"/>
    </row>
    <row r="585" spans="8:27" x14ac:dyDescent="0.2">
      <c r="H585" s="26"/>
      <c r="I585" s="26"/>
      <c r="J585" s="26"/>
      <c r="Z585" s="26"/>
      <c r="AA585" s="26"/>
    </row>
    <row r="586" spans="8:27" x14ac:dyDescent="0.2">
      <c r="H586" s="26"/>
      <c r="I586" s="26"/>
      <c r="J586" s="26"/>
      <c r="Z586" s="26"/>
      <c r="AA586" s="26"/>
    </row>
    <row r="587" spans="8:27" x14ac:dyDescent="0.2">
      <c r="H587" s="26"/>
      <c r="I587" s="26"/>
      <c r="J587" s="26"/>
      <c r="Z587" s="26"/>
      <c r="AA587" s="26"/>
    </row>
    <row r="588" spans="8:27" x14ac:dyDescent="0.2">
      <c r="H588" s="26"/>
      <c r="I588" s="26"/>
      <c r="J588" s="26"/>
      <c r="Z588" s="26"/>
      <c r="AA588" s="26"/>
    </row>
    <row r="589" spans="8:27" x14ac:dyDescent="0.2">
      <c r="H589" s="26"/>
      <c r="I589" s="26"/>
      <c r="J589" s="26"/>
      <c r="Z589" s="26"/>
      <c r="AA589" s="26"/>
    </row>
    <row r="590" spans="8:27" x14ac:dyDescent="0.2">
      <c r="H590" s="26"/>
      <c r="I590" s="26"/>
      <c r="J590" s="26"/>
      <c r="Z590" s="26"/>
      <c r="AA590" s="26"/>
    </row>
    <row r="591" spans="8:27" x14ac:dyDescent="0.2">
      <c r="H591" s="26"/>
      <c r="I591" s="26"/>
      <c r="J591" s="26"/>
      <c r="Z591" s="26"/>
      <c r="AA591" s="26"/>
    </row>
    <row r="592" spans="8:27" x14ac:dyDescent="0.2">
      <c r="H592" s="26"/>
      <c r="I592" s="26"/>
      <c r="J592" s="26"/>
      <c r="Z592" s="26"/>
      <c r="AA592" s="26"/>
    </row>
    <row r="593" spans="8:27" x14ac:dyDescent="0.2">
      <c r="H593" s="26"/>
      <c r="I593" s="26"/>
      <c r="J593" s="26"/>
      <c r="Z593" s="26"/>
      <c r="AA593" s="26"/>
    </row>
    <row r="594" spans="8:27" x14ac:dyDescent="0.2">
      <c r="H594" s="26"/>
      <c r="I594" s="26"/>
      <c r="J594" s="26"/>
      <c r="Z594" s="26"/>
      <c r="AA594" s="26"/>
    </row>
    <row r="595" spans="8:27" x14ac:dyDescent="0.2">
      <c r="H595" s="26"/>
      <c r="I595" s="26"/>
      <c r="J595" s="26"/>
      <c r="Z595" s="26"/>
      <c r="AA595" s="26"/>
    </row>
    <row r="596" spans="8:27" x14ac:dyDescent="0.2">
      <c r="H596" s="26"/>
      <c r="I596" s="26"/>
      <c r="J596" s="26"/>
      <c r="Z596" s="26"/>
      <c r="AA596" s="26"/>
    </row>
    <row r="597" spans="8:27" x14ac:dyDescent="0.2">
      <c r="H597" s="26"/>
      <c r="I597" s="26"/>
      <c r="J597" s="26"/>
      <c r="Z597" s="26"/>
      <c r="AA597" s="26"/>
    </row>
    <row r="598" spans="8:27" x14ac:dyDescent="0.2">
      <c r="H598" s="26"/>
      <c r="I598" s="26"/>
      <c r="J598" s="26"/>
      <c r="Z598" s="26"/>
      <c r="AA598" s="26"/>
    </row>
    <row r="599" spans="8:27" x14ac:dyDescent="0.2">
      <c r="H599" s="26"/>
      <c r="I599" s="26"/>
      <c r="J599" s="26"/>
      <c r="Z599" s="26"/>
      <c r="AA599" s="26"/>
    </row>
    <row r="600" spans="8:27" x14ac:dyDescent="0.2">
      <c r="H600" s="26"/>
      <c r="I600" s="26"/>
      <c r="J600" s="26"/>
      <c r="Z600" s="26"/>
      <c r="AA600" s="26"/>
    </row>
    <row r="601" spans="8:27" x14ac:dyDescent="0.2">
      <c r="H601" s="26"/>
      <c r="I601" s="26"/>
      <c r="J601" s="26"/>
      <c r="Z601" s="26"/>
      <c r="AA601" s="26"/>
    </row>
    <row r="602" spans="8:27" x14ac:dyDescent="0.2">
      <c r="H602" s="26"/>
      <c r="I602" s="26"/>
      <c r="J602" s="26"/>
      <c r="Z602" s="26"/>
      <c r="AA602" s="26"/>
    </row>
    <row r="603" spans="8:27" x14ac:dyDescent="0.2">
      <c r="H603" s="26"/>
      <c r="I603" s="26"/>
      <c r="J603" s="26"/>
      <c r="Z603" s="26"/>
      <c r="AA603" s="26"/>
    </row>
    <row r="604" spans="8:27" x14ac:dyDescent="0.2">
      <c r="H604" s="26"/>
      <c r="I604" s="26"/>
      <c r="J604" s="26"/>
      <c r="Z604" s="26"/>
      <c r="AA604" s="26"/>
    </row>
    <row r="605" spans="8:27" x14ac:dyDescent="0.2">
      <c r="H605" s="26"/>
      <c r="I605" s="26"/>
      <c r="J605" s="26"/>
      <c r="Z605" s="26"/>
      <c r="AA605" s="26"/>
    </row>
    <row r="606" spans="8:27" x14ac:dyDescent="0.2">
      <c r="H606" s="26"/>
      <c r="I606" s="26"/>
      <c r="J606" s="26"/>
      <c r="Z606" s="26"/>
      <c r="AA606" s="26"/>
    </row>
    <row r="607" spans="8:27" x14ac:dyDescent="0.2">
      <c r="H607" s="26"/>
      <c r="I607" s="26"/>
      <c r="J607" s="26"/>
      <c r="Z607" s="26"/>
      <c r="AA607" s="26"/>
    </row>
    <row r="608" spans="8:27" x14ac:dyDescent="0.2">
      <c r="H608" s="26"/>
      <c r="I608" s="26"/>
      <c r="J608" s="26"/>
      <c r="Z608" s="26"/>
      <c r="AA608" s="26"/>
    </row>
    <row r="609" spans="8:27" x14ac:dyDescent="0.2">
      <c r="H609" s="26"/>
      <c r="I609" s="26"/>
      <c r="J609" s="26"/>
      <c r="Z609" s="26"/>
      <c r="AA609" s="26"/>
    </row>
    <row r="610" spans="8:27" x14ac:dyDescent="0.2">
      <c r="H610" s="26"/>
      <c r="I610" s="26"/>
      <c r="J610" s="26"/>
      <c r="Z610" s="26"/>
      <c r="AA610" s="26"/>
    </row>
    <row r="611" spans="8:27" x14ac:dyDescent="0.2">
      <c r="H611" s="26"/>
      <c r="I611" s="26"/>
      <c r="J611" s="26"/>
      <c r="Z611" s="26"/>
      <c r="AA611" s="26"/>
    </row>
    <row r="612" spans="8:27" x14ac:dyDescent="0.2">
      <c r="H612" s="26"/>
      <c r="I612" s="26"/>
      <c r="J612" s="26"/>
      <c r="Z612" s="26"/>
      <c r="AA612" s="26"/>
    </row>
    <row r="613" spans="8:27" x14ac:dyDescent="0.2">
      <c r="H613" s="26"/>
      <c r="I613" s="26"/>
      <c r="J613" s="26"/>
      <c r="Z613" s="26"/>
      <c r="AA613" s="26"/>
    </row>
    <row r="614" spans="8:27" x14ac:dyDescent="0.2">
      <c r="H614" s="26"/>
      <c r="I614" s="26"/>
      <c r="J614" s="26"/>
      <c r="Z614" s="26"/>
      <c r="AA614" s="26"/>
    </row>
    <row r="615" spans="8:27" x14ac:dyDescent="0.2">
      <c r="H615" s="26"/>
      <c r="I615" s="26"/>
      <c r="J615" s="26"/>
      <c r="Z615" s="26"/>
      <c r="AA615" s="26"/>
    </row>
    <row r="616" spans="8:27" x14ac:dyDescent="0.2">
      <c r="H616" s="26"/>
      <c r="I616" s="26"/>
      <c r="J616" s="26"/>
      <c r="Z616" s="26"/>
      <c r="AA616" s="26"/>
    </row>
    <row r="617" spans="8:27" x14ac:dyDescent="0.2">
      <c r="H617" s="26"/>
      <c r="I617" s="26"/>
      <c r="J617" s="26"/>
      <c r="Z617" s="26"/>
      <c r="AA617" s="26"/>
    </row>
    <row r="618" spans="8:27" x14ac:dyDescent="0.2">
      <c r="H618" s="26"/>
      <c r="I618" s="26"/>
      <c r="J618" s="26"/>
      <c r="Z618" s="26"/>
      <c r="AA618" s="26"/>
    </row>
    <row r="619" spans="8:27" x14ac:dyDescent="0.2">
      <c r="H619" s="26"/>
      <c r="I619" s="26"/>
      <c r="J619" s="26"/>
      <c r="Z619" s="26"/>
      <c r="AA619" s="26"/>
    </row>
    <row r="620" spans="8:27" x14ac:dyDescent="0.2">
      <c r="H620" s="26"/>
      <c r="I620" s="26"/>
      <c r="J620" s="26"/>
      <c r="Z620" s="26"/>
      <c r="AA620" s="26"/>
    </row>
    <row r="621" spans="8:27" x14ac:dyDescent="0.2">
      <c r="H621" s="26"/>
      <c r="I621" s="26"/>
      <c r="J621" s="26"/>
      <c r="Z621" s="26"/>
      <c r="AA621" s="26"/>
    </row>
    <row r="622" spans="8:27" x14ac:dyDescent="0.2">
      <c r="H622" s="26"/>
      <c r="I622" s="26"/>
      <c r="J622" s="26"/>
      <c r="Z622" s="26"/>
      <c r="AA622" s="26"/>
    </row>
    <row r="623" spans="8:27" x14ac:dyDescent="0.2">
      <c r="H623" s="26"/>
      <c r="I623" s="26"/>
      <c r="J623" s="26"/>
      <c r="Z623" s="26"/>
      <c r="AA623" s="26"/>
    </row>
    <row r="624" spans="8:27" x14ac:dyDescent="0.2">
      <c r="H624" s="26"/>
      <c r="I624" s="26"/>
      <c r="J624" s="26"/>
      <c r="Z624" s="26"/>
      <c r="AA624" s="26"/>
    </row>
    <row r="625" spans="8:27" x14ac:dyDescent="0.2">
      <c r="H625" s="26"/>
      <c r="I625" s="26"/>
      <c r="J625" s="26"/>
      <c r="Z625" s="26"/>
      <c r="AA625" s="26"/>
    </row>
    <row r="626" spans="8:27" x14ac:dyDescent="0.2">
      <c r="H626" s="26"/>
      <c r="I626" s="26"/>
      <c r="J626" s="26"/>
      <c r="Z626" s="26"/>
      <c r="AA626" s="26"/>
    </row>
    <row r="627" spans="8:27" x14ac:dyDescent="0.2">
      <c r="H627" s="26"/>
      <c r="I627" s="26"/>
      <c r="J627" s="26"/>
      <c r="Z627" s="26"/>
      <c r="AA627" s="26"/>
    </row>
    <row r="628" spans="8:27" x14ac:dyDescent="0.2">
      <c r="H628" s="26"/>
      <c r="I628" s="26"/>
      <c r="J628" s="26"/>
      <c r="Z628" s="26"/>
      <c r="AA628" s="26"/>
    </row>
    <row r="629" spans="8:27" x14ac:dyDescent="0.2">
      <c r="H629" s="26"/>
      <c r="I629" s="26"/>
      <c r="J629" s="26"/>
      <c r="Z629" s="26"/>
      <c r="AA629" s="26"/>
    </row>
    <row r="630" spans="8:27" x14ac:dyDescent="0.2">
      <c r="H630" s="26"/>
      <c r="I630" s="26"/>
      <c r="J630" s="26"/>
      <c r="Z630" s="26"/>
      <c r="AA630" s="26"/>
    </row>
    <row r="631" spans="8:27" x14ac:dyDescent="0.2">
      <c r="H631" s="26"/>
      <c r="I631" s="26"/>
      <c r="J631" s="26"/>
      <c r="Z631" s="26"/>
      <c r="AA631" s="26"/>
    </row>
    <row r="632" spans="8:27" x14ac:dyDescent="0.2">
      <c r="H632" s="26"/>
      <c r="I632" s="26"/>
      <c r="J632" s="26"/>
      <c r="Z632" s="26"/>
      <c r="AA632" s="26"/>
    </row>
    <row r="633" spans="8:27" x14ac:dyDescent="0.2">
      <c r="H633" s="26"/>
      <c r="I633" s="26"/>
      <c r="J633" s="26"/>
      <c r="Z633" s="26"/>
      <c r="AA633" s="26"/>
    </row>
    <row r="634" spans="8:27" x14ac:dyDescent="0.2">
      <c r="H634" s="26"/>
      <c r="I634" s="26"/>
      <c r="J634" s="26"/>
      <c r="Z634" s="26"/>
      <c r="AA634" s="26"/>
    </row>
    <row r="635" spans="8:27" x14ac:dyDescent="0.2">
      <c r="H635" s="26"/>
      <c r="I635" s="26"/>
      <c r="J635" s="26"/>
      <c r="Z635" s="26"/>
      <c r="AA635" s="26"/>
    </row>
    <row r="636" spans="8:27" x14ac:dyDescent="0.2">
      <c r="H636" s="26"/>
      <c r="I636" s="26"/>
      <c r="J636" s="26"/>
      <c r="Z636" s="26"/>
      <c r="AA636" s="26"/>
    </row>
    <row r="637" spans="8:27" x14ac:dyDescent="0.2">
      <c r="H637" s="26"/>
      <c r="I637" s="26"/>
      <c r="J637" s="26"/>
      <c r="Z637" s="26"/>
      <c r="AA637" s="26"/>
    </row>
    <row r="638" spans="8:27" x14ac:dyDescent="0.2">
      <c r="H638" s="26"/>
      <c r="I638" s="26"/>
      <c r="J638" s="26"/>
      <c r="Z638" s="26"/>
      <c r="AA638" s="26"/>
    </row>
    <row r="639" spans="8:27" x14ac:dyDescent="0.2">
      <c r="H639" s="26"/>
      <c r="I639" s="26"/>
      <c r="J639" s="26"/>
      <c r="Z639" s="26"/>
      <c r="AA639" s="26"/>
    </row>
    <row r="640" spans="8:27" x14ac:dyDescent="0.2">
      <c r="H640" s="26"/>
      <c r="I640" s="26"/>
      <c r="J640" s="26"/>
      <c r="Z640" s="26"/>
      <c r="AA640" s="26"/>
    </row>
    <row r="641" spans="8:27" x14ac:dyDescent="0.2">
      <c r="H641" s="26"/>
      <c r="I641" s="26"/>
      <c r="J641" s="26"/>
      <c r="Z641" s="26"/>
      <c r="AA641" s="26"/>
    </row>
    <row r="642" spans="8:27" x14ac:dyDescent="0.2">
      <c r="H642" s="26"/>
      <c r="I642" s="26"/>
      <c r="J642" s="26"/>
      <c r="Z642" s="26"/>
      <c r="AA642" s="26"/>
    </row>
    <row r="643" spans="8:27" x14ac:dyDescent="0.2">
      <c r="H643" s="26"/>
      <c r="I643" s="26"/>
      <c r="J643" s="26"/>
      <c r="Z643" s="26"/>
      <c r="AA643" s="26"/>
    </row>
    <row r="644" spans="8:27" x14ac:dyDescent="0.2">
      <c r="H644" s="26"/>
      <c r="I644" s="26"/>
      <c r="J644" s="26"/>
      <c r="Z644" s="26"/>
      <c r="AA644" s="26"/>
    </row>
    <row r="645" spans="8:27" x14ac:dyDescent="0.2">
      <c r="H645" s="26"/>
      <c r="I645" s="26"/>
      <c r="J645" s="26"/>
      <c r="Z645" s="26"/>
      <c r="AA645" s="26"/>
    </row>
    <row r="646" spans="8:27" x14ac:dyDescent="0.2">
      <c r="H646" s="26"/>
      <c r="I646" s="26"/>
      <c r="J646" s="26"/>
      <c r="Z646" s="26"/>
      <c r="AA646" s="26"/>
    </row>
    <row r="647" spans="8:27" x14ac:dyDescent="0.2">
      <c r="H647" s="26"/>
      <c r="I647" s="26"/>
      <c r="J647" s="26"/>
      <c r="Z647" s="26"/>
      <c r="AA647" s="26"/>
    </row>
    <row r="648" spans="8:27" x14ac:dyDescent="0.2">
      <c r="H648" s="26"/>
      <c r="I648" s="26"/>
      <c r="J648" s="26"/>
      <c r="Z648" s="26"/>
      <c r="AA648" s="26"/>
    </row>
    <row r="649" spans="8:27" x14ac:dyDescent="0.2">
      <c r="H649" s="26"/>
      <c r="I649" s="26"/>
      <c r="J649" s="26"/>
      <c r="Z649" s="26"/>
      <c r="AA649" s="26"/>
    </row>
    <row r="650" spans="8:27" x14ac:dyDescent="0.2">
      <c r="H650" s="26"/>
      <c r="I650" s="26"/>
      <c r="J650" s="26"/>
      <c r="Z650" s="26"/>
      <c r="AA650" s="26"/>
    </row>
    <row r="651" spans="8:27" x14ac:dyDescent="0.2">
      <c r="H651" s="26"/>
      <c r="I651" s="26"/>
      <c r="J651" s="26"/>
      <c r="Z651" s="26"/>
      <c r="AA651" s="26"/>
    </row>
    <row r="652" spans="8:27" x14ac:dyDescent="0.2">
      <c r="H652" s="26"/>
      <c r="I652" s="26"/>
      <c r="J652" s="26"/>
      <c r="Z652" s="26"/>
      <c r="AA652" s="26"/>
    </row>
    <row r="653" spans="8:27" x14ac:dyDescent="0.2">
      <c r="H653" s="26"/>
      <c r="I653" s="26"/>
      <c r="J653" s="26"/>
      <c r="Z653" s="26"/>
      <c r="AA653" s="26"/>
    </row>
    <row r="654" spans="8:27" x14ac:dyDescent="0.2">
      <c r="H654" s="26"/>
      <c r="I654" s="26"/>
      <c r="J654" s="26"/>
      <c r="Z654" s="26"/>
      <c r="AA654" s="26"/>
    </row>
    <row r="655" spans="8:27" x14ac:dyDescent="0.2">
      <c r="H655" s="26"/>
      <c r="I655" s="26"/>
      <c r="J655" s="26"/>
      <c r="Z655" s="26"/>
      <c r="AA655" s="26"/>
    </row>
    <row r="656" spans="8:27" x14ac:dyDescent="0.2">
      <c r="H656" s="26"/>
      <c r="I656" s="26"/>
      <c r="J656" s="26"/>
      <c r="Z656" s="26"/>
      <c r="AA656" s="26"/>
    </row>
    <row r="657" spans="8:27" x14ac:dyDescent="0.2">
      <c r="H657" s="26"/>
      <c r="I657" s="26"/>
      <c r="J657" s="26"/>
      <c r="Z657" s="26"/>
      <c r="AA657" s="26"/>
    </row>
    <row r="658" spans="8:27" x14ac:dyDescent="0.2">
      <c r="H658" s="26"/>
      <c r="I658" s="26"/>
      <c r="J658" s="26"/>
      <c r="Z658" s="26"/>
      <c r="AA658" s="26"/>
    </row>
    <row r="659" spans="8:27" x14ac:dyDescent="0.2">
      <c r="H659" s="26"/>
      <c r="I659" s="26"/>
      <c r="J659" s="26"/>
      <c r="Z659" s="26"/>
      <c r="AA659" s="26"/>
    </row>
    <row r="660" spans="8:27" x14ac:dyDescent="0.2">
      <c r="H660" s="26"/>
      <c r="I660" s="26"/>
      <c r="J660" s="26"/>
      <c r="Z660" s="26"/>
      <c r="AA660" s="26"/>
    </row>
    <row r="661" spans="8:27" x14ac:dyDescent="0.2">
      <c r="H661" s="26"/>
      <c r="I661" s="26"/>
      <c r="J661" s="26"/>
      <c r="Z661" s="26"/>
      <c r="AA661" s="26"/>
    </row>
    <row r="662" spans="8:27" x14ac:dyDescent="0.2">
      <c r="H662" s="26"/>
      <c r="I662" s="26"/>
      <c r="J662" s="26"/>
      <c r="Z662" s="26"/>
      <c r="AA662" s="26"/>
    </row>
    <row r="663" spans="8:27" x14ac:dyDescent="0.2">
      <c r="H663" s="26"/>
      <c r="I663" s="26"/>
      <c r="J663" s="26"/>
      <c r="Z663" s="26"/>
      <c r="AA663" s="26"/>
    </row>
    <row r="664" spans="8:27" x14ac:dyDescent="0.2">
      <c r="H664" s="26"/>
      <c r="I664" s="26"/>
      <c r="J664" s="26"/>
      <c r="Z664" s="26"/>
      <c r="AA664" s="26"/>
    </row>
    <row r="665" spans="8:27" x14ac:dyDescent="0.2">
      <c r="H665" s="26"/>
      <c r="I665" s="26"/>
      <c r="J665" s="26"/>
      <c r="Z665" s="26"/>
      <c r="AA665" s="26"/>
    </row>
    <row r="666" spans="8:27" x14ac:dyDescent="0.2">
      <c r="H666" s="26"/>
      <c r="I666" s="26"/>
      <c r="J666" s="26"/>
      <c r="Z666" s="26"/>
      <c r="AA666" s="26"/>
    </row>
    <row r="667" spans="8:27" x14ac:dyDescent="0.2">
      <c r="H667" s="26"/>
      <c r="I667" s="26"/>
      <c r="J667" s="26"/>
      <c r="Z667" s="26"/>
      <c r="AA667" s="26"/>
    </row>
    <row r="668" spans="8:27" x14ac:dyDescent="0.2">
      <c r="H668" s="26"/>
      <c r="I668" s="26"/>
      <c r="J668" s="26"/>
      <c r="Z668" s="26"/>
      <c r="AA668" s="26"/>
    </row>
    <row r="669" spans="8:27" x14ac:dyDescent="0.2">
      <c r="H669" s="26"/>
      <c r="I669" s="26"/>
      <c r="J669" s="26"/>
      <c r="Z669" s="26"/>
      <c r="AA669" s="26"/>
    </row>
    <row r="670" spans="8:27" x14ac:dyDescent="0.2">
      <c r="H670" s="26"/>
      <c r="I670" s="26"/>
      <c r="J670" s="26"/>
      <c r="Z670" s="26"/>
      <c r="AA670" s="26"/>
    </row>
    <row r="671" spans="8:27" x14ac:dyDescent="0.2">
      <c r="H671" s="26"/>
      <c r="I671" s="26"/>
      <c r="J671" s="26"/>
      <c r="Z671" s="26"/>
      <c r="AA671" s="26"/>
    </row>
    <row r="672" spans="8:27" x14ac:dyDescent="0.2">
      <c r="H672" s="26"/>
      <c r="I672" s="26"/>
      <c r="J672" s="26"/>
      <c r="Z672" s="26"/>
      <c r="AA672" s="26"/>
    </row>
    <row r="673" spans="8:27" x14ac:dyDescent="0.2">
      <c r="H673" s="26"/>
      <c r="I673" s="26"/>
      <c r="J673" s="26"/>
      <c r="Z673" s="26"/>
      <c r="AA673" s="26"/>
    </row>
    <row r="674" spans="8:27" x14ac:dyDescent="0.2">
      <c r="H674" s="26"/>
      <c r="I674" s="26"/>
      <c r="J674" s="26"/>
      <c r="Z674" s="26"/>
      <c r="AA674" s="26"/>
    </row>
    <row r="675" spans="8:27" x14ac:dyDescent="0.2">
      <c r="H675" s="26"/>
      <c r="I675" s="26"/>
      <c r="J675" s="26"/>
      <c r="Z675" s="26"/>
      <c r="AA675" s="26"/>
    </row>
    <row r="676" spans="8:27" x14ac:dyDescent="0.2">
      <c r="H676" s="26"/>
      <c r="I676" s="26"/>
      <c r="J676" s="26"/>
      <c r="Z676" s="26"/>
      <c r="AA676" s="26"/>
    </row>
    <row r="677" spans="8:27" x14ac:dyDescent="0.2">
      <c r="H677" s="26"/>
      <c r="I677" s="26"/>
      <c r="J677" s="26"/>
      <c r="Z677" s="26"/>
      <c r="AA677" s="26"/>
    </row>
    <row r="678" spans="8:27" x14ac:dyDescent="0.2">
      <c r="H678" s="26"/>
      <c r="I678" s="26"/>
      <c r="J678" s="26"/>
      <c r="Z678" s="26"/>
      <c r="AA678" s="26"/>
    </row>
    <row r="679" spans="8:27" x14ac:dyDescent="0.2">
      <c r="H679" s="26"/>
      <c r="I679" s="26"/>
      <c r="J679" s="26"/>
      <c r="Z679" s="26"/>
      <c r="AA679" s="26"/>
    </row>
    <row r="680" spans="8:27" x14ac:dyDescent="0.2">
      <c r="H680" s="26"/>
      <c r="I680" s="26"/>
      <c r="J680" s="26"/>
      <c r="Z680" s="26"/>
      <c r="AA680" s="26"/>
    </row>
    <row r="681" spans="8:27" x14ac:dyDescent="0.2">
      <c r="H681" s="26"/>
      <c r="I681" s="26"/>
      <c r="J681" s="26"/>
      <c r="Z681" s="26"/>
      <c r="AA681" s="26"/>
    </row>
    <row r="682" spans="8:27" x14ac:dyDescent="0.2">
      <c r="H682" s="26"/>
      <c r="I682" s="26"/>
      <c r="J682" s="26"/>
      <c r="Z682" s="26"/>
      <c r="AA682" s="26"/>
    </row>
    <row r="683" spans="8:27" x14ac:dyDescent="0.2">
      <c r="H683" s="26"/>
      <c r="I683" s="26"/>
      <c r="J683" s="26"/>
      <c r="Z683" s="26"/>
      <c r="AA683" s="26"/>
    </row>
    <row r="684" spans="8:27" x14ac:dyDescent="0.2">
      <c r="H684" s="26"/>
      <c r="I684" s="26"/>
      <c r="J684" s="26"/>
      <c r="Z684" s="26"/>
      <c r="AA684" s="26"/>
    </row>
    <row r="685" spans="8:27" x14ac:dyDescent="0.2">
      <c r="H685" s="26"/>
      <c r="I685" s="26"/>
      <c r="J685" s="26"/>
      <c r="Z685" s="26"/>
      <c r="AA685" s="26"/>
    </row>
    <row r="686" spans="8:27" x14ac:dyDescent="0.2">
      <c r="H686" s="26"/>
      <c r="I686" s="26"/>
      <c r="J686" s="26"/>
      <c r="Z686" s="26"/>
      <c r="AA686" s="26"/>
    </row>
    <row r="687" spans="8:27" x14ac:dyDescent="0.2">
      <c r="H687" s="26"/>
      <c r="I687" s="26"/>
      <c r="J687" s="26"/>
      <c r="Z687" s="26"/>
      <c r="AA687" s="26"/>
    </row>
    <row r="688" spans="8:27" x14ac:dyDescent="0.2">
      <c r="H688" s="26"/>
      <c r="I688" s="26"/>
      <c r="J688" s="26"/>
      <c r="Z688" s="26"/>
      <c r="AA688" s="26"/>
    </row>
    <row r="689" spans="8:27" x14ac:dyDescent="0.2">
      <c r="H689" s="26"/>
      <c r="I689" s="26"/>
      <c r="J689" s="26"/>
      <c r="Z689" s="26"/>
      <c r="AA689" s="26"/>
    </row>
    <row r="690" spans="8:27" x14ac:dyDescent="0.2">
      <c r="H690" s="26"/>
      <c r="I690" s="26"/>
      <c r="J690" s="26"/>
      <c r="Z690" s="26"/>
      <c r="AA690" s="26"/>
    </row>
    <row r="691" spans="8:27" x14ac:dyDescent="0.2">
      <c r="H691" s="26"/>
      <c r="I691" s="26"/>
      <c r="J691" s="26"/>
      <c r="Z691" s="26"/>
      <c r="AA691" s="26"/>
    </row>
    <row r="692" spans="8:27" x14ac:dyDescent="0.2">
      <c r="H692" s="26"/>
      <c r="I692" s="26"/>
      <c r="J692" s="26"/>
      <c r="Z692" s="26"/>
      <c r="AA692" s="26"/>
    </row>
    <row r="693" spans="8:27" x14ac:dyDescent="0.2">
      <c r="H693" s="26"/>
      <c r="I693" s="26"/>
      <c r="J693" s="26"/>
      <c r="Z693" s="26"/>
      <c r="AA693" s="26"/>
    </row>
    <row r="694" spans="8:27" x14ac:dyDescent="0.2">
      <c r="H694" s="26"/>
      <c r="I694" s="26"/>
      <c r="J694" s="26"/>
      <c r="Z694" s="26"/>
      <c r="AA694" s="26"/>
    </row>
    <row r="695" spans="8:27" x14ac:dyDescent="0.2">
      <c r="H695" s="26"/>
      <c r="I695" s="26"/>
      <c r="J695" s="26"/>
      <c r="Z695" s="26"/>
      <c r="AA695" s="26"/>
    </row>
    <row r="696" spans="8:27" x14ac:dyDescent="0.2">
      <c r="H696" s="26"/>
      <c r="I696" s="26"/>
      <c r="J696" s="26"/>
      <c r="Z696" s="26"/>
      <c r="AA696" s="26"/>
    </row>
    <row r="697" spans="8:27" x14ac:dyDescent="0.2">
      <c r="H697" s="26"/>
      <c r="I697" s="26"/>
      <c r="J697" s="26"/>
      <c r="Z697" s="26"/>
      <c r="AA697" s="26"/>
    </row>
    <row r="698" spans="8:27" x14ac:dyDescent="0.2">
      <c r="H698" s="26"/>
      <c r="I698" s="26"/>
      <c r="J698" s="26"/>
      <c r="Z698" s="26"/>
      <c r="AA698" s="26"/>
    </row>
    <row r="699" spans="8:27" x14ac:dyDescent="0.2">
      <c r="H699" s="26"/>
      <c r="I699" s="26"/>
      <c r="J699" s="26"/>
      <c r="Z699" s="26"/>
      <c r="AA699" s="26"/>
    </row>
    <row r="700" spans="8:27" x14ac:dyDescent="0.2">
      <c r="H700" s="26"/>
      <c r="I700" s="26"/>
      <c r="J700" s="26"/>
      <c r="Z700" s="26"/>
      <c r="AA700" s="26"/>
    </row>
    <row r="701" spans="8:27" x14ac:dyDescent="0.2">
      <c r="H701" s="26"/>
      <c r="I701" s="26"/>
      <c r="J701" s="26"/>
      <c r="Z701" s="26"/>
      <c r="AA701" s="26"/>
    </row>
    <row r="702" spans="8:27" x14ac:dyDescent="0.2">
      <c r="H702" s="26"/>
      <c r="I702" s="26"/>
      <c r="J702" s="26"/>
      <c r="Z702" s="26"/>
      <c r="AA702" s="26"/>
    </row>
    <row r="703" spans="8:27" x14ac:dyDescent="0.2">
      <c r="H703" s="26"/>
      <c r="I703" s="26"/>
      <c r="J703" s="26"/>
      <c r="Z703" s="26"/>
      <c r="AA703" s="26"/>
    </row>
    <row r="704" spans="8:27" x14ac:dyDescent="0.2">
      <c r="H704" s="26"/>
      <c r="I704" s="26"/>
      <c r="J704" s="26"/>
      <c r="Z704" s="26"/>
      <c r="AA704" s="26"/>
    </row>
    <row r="705" spans="8:27" x14ac:dyDescent="0.2">
      <c r="H705" s="26"/>
      <c r="I705" s="26"/>
      <c r="J705" s="26"/>
      <c r="Z705" s="26"/>
      <c r="AA705" s="26"/>
    </row>
    <row r="706" spans="8:27" x14ac:dyDescent="0.2">
      <c r="H706" s="26"/>
      <c r="I706" s="26"/>
      <c r="J706" s="26"/>
      <c r="Z706" s="26"/>
      <c r="AA706" s="26"/>
    </row>
    <row r="707" spans="8:27" x14ac:dyDescent="0.2">
      <c r="H707" s="26"/>
      <c r="I707" s="26"/>
      <c r="J707" s="26"/>
      <c r="Z707" s="26"/>
      <c r="AA707" s="26"/>
    </row>
    <row r="708" spans="8:27" x14ac:dyDescent="0.2">
      <c r="H708" s="26"/>
      <c r="I708" s="26"/>
      <c r="J708" s="26"/>
      <c r="Z708" s="26"/>
      <c r="AA708" s="26"/>
    </row>
    <row r="709" spans="8:27" x14ac:dyDescent="0.2">
      <c r="H709" s="26"/>
      <c r="I709" s="26"/>
      <c r="J709" s="26"/>
      <c r="Z709" s="26"/>
      <c r="AA709" s="26"/>
    </row>
    <row r="710" spans="8:27" x14ac:dyDescent="0.2">
      <c r="H710" s="26"/>
      <c r="I710" s="26"/>
      <c r="J710" s="26"/>
      <c r="Z710" s="26"/>
      <c r="AA710" s="26"/>
    </row>
    <row r="711" spans="8:27" x14ac:dyDescent="0.2">
      <c r="H711" s="26"/>
      <c r="I711" s="26"/>
      <c r="J711" s="26"/>
      <c r="Z711" s="26"/>
      <c r="AA711" s="26"/>
    </row>
    <row r="712" spans="8:27" x14ac:dyDescent="0.2">
      <c r="H712" s="26"/>
      <c r="I712" s="26"/>
      <c r="J712" s="26"/>
      <c r="Z712" s="26"/>
      <c r="AA712" s="26"/>
    </row>
    <row r="713" spans="8:27" x14ac:dyDescent="0.2">
      <c r="H713" s="26"/>
      <c r="I713" s="26"/>
      <c r="J713" s="26"/>
      <c r="Z713" s="26"/>
      <c r="AA713" s="26"/>
    </row>
    <row r="714" spans="8:27" x14ac:dyDescent="0.2">
      <c r="H714" s="26"/>
      <c r="I714" s="26"/>
      <c r="J714" s="26"/>
      <c r="Z714" s="26"/>
      <c r="AA714" s="26"/>
    </row>
    <row r="715" spans="8:27" x14ac:dyDescent="0.2">
      <c r="H715" s="26"/>
      <c r="I715" s="26"/>
      <c r="J715" s="26"/>
      <c r="Z715" s="26"/>
      <c r="AA715" s="26"/>
    </row>
    <row r="716" spans="8:27" x14ac:dyDescent="0.2">
      <c r="H716" s="26"/>
      <c r="I716" s="26"/>
      <c r="J716" s="26"/>
      <c r="Z716" s="26"/>
      <c r="AA716" s="26"/>
    </row>
    <row r="717" spans="8:27" x14ac:dyDescent="0.2">
      <c r="H717" s="26"/>
      <c r="I717" s="26"/>
      <c r="J717" s="26"/>
      <c r="Z717" s="26"/>
      <c r="AA717" s="26"/>
    </row>
    <row r="718" spans="8:27" x14ac:dyDescent="0.2">
      <c r="H718" s="26"/>
      <c r="I718" s="26"/>
      <c r="J718" s="26"/>
      <c r="Z718" s="26"/>
      <c r="AA718" s="26"/>
    </row>
    <row r="719" spans="8:27" x14ac:dyDescent="0.2">
      <c r="H719" s="26"/>
      <c r="I719" s="26"/>
      <c r="J719" s="26"/>
      <c r="Z719" s="26"/>
      <c r="AA719" s="26"/>
    </row>
    <row r="720" spans="8:27" x14ac:dyDescent="0.2">
      <c r="H720" s="26"/>
      <c r="I720" s="26"/>
      <c r="J720" s="26"/>
      <c r="Z720" s="26"/>
      <c r="AA720" s="26"/>
    </row>
    <row r="721" spans="8:27" x14ac:dyDescent="0.2">
      <c r="H721" s="26"/>
      <c r="I721" s="26"/>
      <c r="J721" s="26"/>
      <c r="Z721" s="26"/>
      <c r="AA721" s="26"/>
    </row>
    <row r="722" spans="8:27" x14ac:dyDescent="0.2">
      <c r="H722" s="26"/>
      <c r="I722" s="26"/>
      <c r="J722" s="26"/>
      <c r="Z722" s="26"/>
      <c r="AA722" s="26"/>
    </row>
    <row r="723" spans="8:27" x14ac:dyDescent="0.2">
      <c r="H723" s="26"/>
      <c r="I723" s="26"/>
      <c r="J723" s="26"/>
      <c r="Z723" s="26"/>
      <c r="AA723" s="26"/>
    </row>
    <row r="724" spans="8:27" x14ac:dyDescent="0.2">
      <c r="H724" s="26"/>
      <c r="I724" s="26"/>
      <c r="J724" s="26"/>
      <c r="Z724" s="26"/>
      <c r="AA724" s="26"/>
    </row>
    <row r="725" spans="8:27" x14ac:dyDescent="0.2">
      <c r="H725" s="26"/>
      <c r="I725" s="26"/>
      <c r="J725" s="26"/>
      <c r="Z725" s="26"/>
      <c r="AA725" s="26"/>
    </row>
    <row r="726" spans="8:27" x14ac:dyDescent="0.2">
      <c r="H726" s="26"/>
      <c r="I726" s="26"/>
      <c r="J726" s="26"/>
      <c r="Z726" s="26"/>
      <c r="AA726" s="26"/>
    </row>
    <row r="727" spans="8:27" x14ac:dyDescent="0.2">
      <c r="H727" s="26"/>
      <c r="I727" s="26"/>
      <c r="J727" s="26"/>
      <c r="Z727" s="26"/>
      <c r="AA727" s="26"/>
    </row>
    <row r="728" spans="8:27" x14ac:dyDescent="0.2">
      <c r="H728" s="26"/>
      <c r="I728" s="26"/>
      <c r="J728" s="26"/>
      <c r="Z728" s="26"/>
      <c r="AA728" s="26"/>
    </row>
    <row r="729" spans="8:27" x14ac:dyDescent="0.2">
      <c r="H729" s="26"/>
      <c r="I729" s="26"/>
      <c r="J729" s="26"/>
      <c r="Z729" s="26"/>
      <c r="AA729" s="26"/>
    </row>
    <row r="730" spans="8:27" x14ac:dyDescent="0.2">
      <c r="H730" s="26"/>
      <c r="I730" s="26"/>
      <c r="J730" s="26"/>
      <c r="Z730" s="26"/>
      <c r="AA730" s="26"/>
    </row>
    <row r="731" spans="8:27" x14ac:dyDescent="0.2">
      <c r="H731" s="26"/>
      <c r="I731" s="26"/>
      <c r="J731" s="26"/>
      <c r="Z731" s="26"/>
      <c r="AA731" s="26"/>
    </row>
    <row r="732" spans="8:27" x14ac:dyDescent="0.2">
      <c r="H732" s="26"/>
      <c r="I732" s="26"/>
      <c r="J732" s="26"/>
      <c r="Z732" s="26"/>
      <c r="AA732" s="26"/>
    </row>
    <row r="733" spans="8:27" x14ac:dyDescent="0.2">
      <c r="H733" s="26"/>
      <c r="I733" s="26"/>
      <c r="J733" s="26"/>
      <c r="Z733" s="26"/>
      <c r="AA733" s="26"/>
    </row>
    <row r="734" spans="8:27" x14ac:dyDescent="0.2">
      <c r="H734" s="26"/>
      <c r="I734" s="26"/>
      <c r="J734" s="26"/>
      <c r="Z734" s="26"/>
      <c r="AA734" s="26"/>
    </row>
    <row r="735" spans="8:27" x14ac:dyDescent="0.2">
      <c r="H735" s="26"/>
      <c r="I735" s="26"/>
      <c r="J735" s="26"/>
      <c r="Z735" s="26"/>
      <c r="AA735" s="26"/>
    </row>
    <row r="736" spans="8:27" x14ac:dyDescent="0.2">
      <c r="H736" s="26"/>
      <c r="I736" s="26"/>
      <c r="J736" s="26"/>
      <c r="Z736" s="26"/>
      <c r="AA736" s="26"/>
    </row>
    <row r="737" spans="8:27" x14ac:dyDescent="0.2">
      <c r="H737" s="26"/>
      <c r="I737" s="26"/>
      <c r="J737" s="26"/>
      <c r="Z737" s="26"/>
      <c r="AA737" s="26"/>
    </row>
    <row r="738" spans="8:27" x14ac:dyDescent="0.2">
      <c r="H738" s="26"/>
      <c r="I738" s="26"/>
      <c r="J738" s="26"/>
      <c r="Z738" s="26"/>
      <c r="AA738" s="26"/>
    </row>
    <row r="739" spans="8:27" x14ac:dyDescent="0.2">
      <c r="H739" s="26"/>
      <c r="I739" s="26"/>
      <c r="J739" s="26"/>
      <c r="Z739" s="26"/>
      <c r="AA739" s="26"/>
    </row>
    <row r="740" spans="8:27" x14ac:dyDescent="0.2">
      <c r="H740" s="26"/>
      <c r="I740" s="26"/>
      <c r="J740" s="26"/>
      <c r="Z740" s="26"/>
      <c r="AA740" s="26"/>
    </row>
    <row r="741" spans="8:27" x14ac:dyDescent="0.2">
      <c r="H741" s="26"/>
      <c r="I741" s="26"/>
      <c r="J741" s="26"/>
      <c r="Z741" s="26"/>
      <c r="AA741" s="26"/>
    </row>
    <row r="742" spans="8:27" x14ac:dyDescent="0.2">
      <c r="H742" s="26"/>
      <c r="I742" s="26"/>
      <c r="J742" s="26"/>
      <c r="Z742" s="26"/>
      <c r="AA742" s="26"/>
    </row>
    <row r="743" spans="8:27" x14ac:dyDescent="0.2">
      <c r="H743" s="26"/>
      <c r="I743" s="26"/>
      <c r="J743" s="26"/>
      <c r="Z743" s="26"/>
      <c r="AA743" s="26"/>
    </row>
    <row r="744" spans="8:27" x14ac:dyDescent="0.2">
      <c r="H744" s="26"/>
      <c r="I744" s="26"/>
      <c r="J744" s="26"/>
      <c r="Z744" s="26"/>
      <c r="AA744" s="26"/>
    </row>
    <row r="745" spans="8:27" x14ac:dyDescent="0.2">
      <c r="H745" s="26"/>
      <c r="I745" s="26"/>
      <c r="J745" s="26"/>
      <c r="Z745" s="26"/>
      <c r="AA745" s="26"/>
    </row>
    <row r="746" spans="8:27" x14ac:dyDescent="0.2">
      <c r="H746" s="26"/>
      <c r="I746" s="26"/>
      <c r="J746" s="26"/>
      <c r="Z746" s="26"/>
      <c r="AA746" s="26"/>
    </row>
    <row r="747" spans="8:27" x14ac:dyDescent="0.2">
      <c r="H747" s="26"/>
      <c r="I747" s="26"/>
      <c r="J747" s="26"/>
      <c r="Z747" s="26"/>
      <c r="AA747" s="26"/>
    </row>
    <row r="748" spans="8:27" x14ac:dyDescent="0.2">
      <c r="H748" s="26"/>
      <c r="I748" s="26"/>
      <c r="J748" s="26"/>
      <c r="Z748" s="26"/>
      <c r="AA748" s="26"/>
    </row>
    <row r="749" spans="8:27" x14ac:dyDescent="0.2">
      <c r="H749" s="26"/>
      <c r="I749" s="26"/>
      <c r="J749" s="26"/>
      <c r="Z749" s="26"/>
      <c r="AA749" s="26"/>
    </row>
    <row r="750" spans="8:27" x14ac:dyDescent="0.2">
      <c r="H750" s="26"/>
      <c r="I750" s="26"/>
      <c r="J750" s="26"/>
      <c r="Z750" s="26"/>
      <c r="AA750" s="26"/>
    </row>
    <row r="751" spans="8:27" x14ac:dyDescent="0.2">
      <c r="H751" s="26"/>
      <c r="I751" s="26"/>
      <c r="J751" s="26"/>
      <c r="Z751" s="26"/>
      <c r="AA751" s="26"/>
    </row>
    <row r="752" spans="8:27" x14ac:dyDescent="0.2">
      <c r="H752" s="26"/>
      <c r="I752" s="26"/>
      <c r="J752" s="26"/>
      <c r="Z752" s="26"/>
      <c r="AA752" s="26"/>
    </row>
    <row r="753" spans="8:27" x14ac:dyDescent="0.2">
      <c r="H753" s="26"/>
      <c r="I753" s="26"/>
      <c r="J753" s="26"/>
      <c r="Z753" s="26"/>
      <c r="AA753" s="26"/>
    </row>
    <row r="754" spans="8:27" x14ac:dyDescent="0.2">
      <c r="H754" s="26"/>
      <c r="I754" s="26"/>
      <c r="J754" s="26"/>
      <c r="Z754" s="26"/>
      <c r="AA754" s="26"/>
    </row>
    <row r="755" spans="8:27" x14ac:dyDescent="0.2">
      <c r="H755" s="26"/>
      <c r="I755" s="26"/>
      <c r="J755" s="26"/>
      <c r="Z755" s="26"/>
      <c r="AA755" s="26"/>
    </row>
    <row r="756" spans="8:27" x14ac:dyDescent="0.2">
      <c r="H756" s="26"/>
      <c r="I756" s="26"/>
      <c r="J756" s="26"/>
      <c r="Z756" s="26"/>
      <c r="AA756" s="26"/>
    </row>
    <row r="757" spans="8:27" x14ac:dyDescent="0.2">
      <c r="H757" s="26"/>
      <c r="I757" s="26"/>
      <c r="J757" s="26"/>
      <c r="Z757" s="26"/>
      <c r="AA757" s="26"/>
    </row>
    <row r="758" spans="8:27" x14ac:dyDescent="0.2">
      <c r="H758" s="26"/>
      <c r="I758" s="26"/>
      <c r="J758" s="26"/>
      <c r="Z758" s="26"/>
      <c r="AA758" s="26"/>
    </row>
    <row r="759" spans="8:27" x14ac:dyDescent="0.2">
      <c r="H759" s="26"/>
      <c r="I759" s="26"/>
      <c r="J759" s="26"/>
      <c r="Z759" s="26"/>
      <c r="AA759" s="26"/>
    </row>
    <row r="760" spans="8:27" x14ac:dyDescent="0.2">
      <c r="H760" s="26"/>
      <c r="I760" s="26"/>
      <c r="J760" s="26"/>
      <c r="Z760" s="26"/>
      <c r="AA760" s="26"/>
    </row>
    <row r="761" spans="8:27" x14ac:dyDescent="0.2">
      <c r="H761" s="26"/>
      <c r="I761" s="26"/>
      <c r="J761" s="26"/>
      <c r="Z761" s="26"/>
      <c r="AA761" s="26"/>
    </row>
    <row r="762" spans="8:27" x14ac:dyDescent="0.2">
      <c r="H762" s="26"/>
      <c r="I762" s="26"/>
      <c r="J762" s="26"/>
      <c r="Z762" s="26"/>
      <c r="AA762" s="26"/>
    </row>
    <row r="763" spans="8:27" x14ac:dyDescent="0.2">
      <c r="H763" s="26"/>
      <c r="I763" s="26"/>
      <c r="J763" s="26"/>
      <c r="Z763" s="26"/>
      <c r="AA763" s="26"/>
    </row>
    <row r="764" spans="8:27" x14ac:dyDescent="0.2">
      <c r="H764" s="26"/>
      <c r="I764" s="26"/>
      <c r="J764" s="26"/>
      <c r="Z764" s="26"/>
      <c r="AA764" s="26"/>
    </row>
    <row r="765" spans="8:27" x14ac:dyDescent="0.2">
      <c r="H765" s="26"/>
      <c r="I765" s="26"/>
      <c r="J765" s="26"/>
      <c r="Z765" s="26"/>
      <c r="AA765" s="26"/>
    </row>
    <row r="766" spans="8:27" x14ac:dyDescent="0.2">
      <c r="H766" s="26"/>
      <c r="I766" s="26"/>
      <c r="J766" s="26"/>
      <c r="Z766" s="26"/>
      <c r="AA766" s="26"/>
    </row>
    <row r="767" spans="8:27" x14ac:dyDescent="0.2">
      <c r="H767" s="26"/>
      <c r="I767" s="26"/>
      <c r="J767" s="26"/>
      <c r="Z767" s="26"/>
      <c r="AA767" s="26"/>
    </row>
    <row r="768" spans="8:27" x14ac:dyDescent="0.2">
      <c r="H768" s="26"/>
      <c r="I768" s="26"/>
      <c r="J768" s="26"/>
      <c r="Z768" s="26"/>
      <c r="AA768" s="26"/>
    </row>
    <row r="769" spans="8:27" x14ac:dyDescent="0.2">
      <c r="H769" s="26"/>
      <c r="I769" s="26"/>
      <c r="J769" s="26"/>
      <c r="Z769" s="26"/>
      <c r="AA769" s="26"/>
    </row>
    <row r="770" spans="8:27" x14ac:dyDescent="0.2">
      <c r="H770" s="26"/>
      <c r="I770" s="26"/>
      <c r="J770" s="26"/>
      <c r="Z770" s="26"/>
      <c r="AA770" s="26"/>
    </row>
    <row r="771" spans="8:27" x14ac:dyDescent="0.2">
      <c r="H771" s="26"/>
      <c r="I771" s="26"/>
      <c r="J771" s="26"/>
      <c r="Z771" s="26"/>
      <c r="AA771" s="26"/>
    </row>
    <row r="772" spans="8:27" x14ac:dyDescent="0.2">
      <c r="H772" s="26"/>
      <c r="I772" s="26"/>
      <c r="J772" s="26"/>
      <c r="Z772" s="26"/>
      <c r="AA772" s="26"/>
    </row>
    <row r="773" spans="8:27" x14ac:dyDescent="0.2">
      <c r="H773" s="26"/>
      <c r="I773" s="26"/>
      <c r="J773" s="26"/>
      <c r="Z773" s="26"/>
      <c r="AA773" s="26"/>
    </row>
    <row r="774" spans="8:27" x14ac:dyDescent="0.2">
      <c r="H774" s="26"/>
      <c r="I774" s="26"/>
      <c r="J774" s="26"/>
      <c r="Z774" s="26"/>
      <c r="AA774" s="26"/>
    </row>
    <row r="775" spans="8:27" x14ac:dyDescent="0.2">
      <c r="H775" s="26"/>
      <c r="I775" s="26"/>
      <c r="J775" s="26"/>
      <c r="Z775" s="26"/>
      <c r="AA775" s="26"/>
    </row>
    <row r="776" spans="8:27" x14ac:dyDescent="0.2">
      <c r="H776" s="26"/>
      <c r="I776" s="26"/>
      <c r="J776" s="26"/>
      <c r="Z776" s="26"/>
      <c r="AA776" s="26"/>
    </row>
    <row r="777" spans="8:27" x14ac:dyDescent="0.2">
      <c r="H777" s="26"/>
      <c r="I777" s="26"/>
      <c r="J777" s="26"/>
      <c r="Z777" s="26"/>
      <c r="AA777" s="26"/>
    </row>
    <row r="778" spans="8:27" x14ac:dyDescent="0.2">
      <c r="H778" s="26"/>
      <c r="I778" s="26"/>
      <c r="J778" s="26"/>
      <c r="Z778" s="26"/>
      <c r="AA778" s="26"/>
    </row>
    <row r="779" spans="8:27" x14ac:dyDescent="0.2">
      <c r="H779" s="26"/>
      <c r="I779" s="26"/>
      <c r="J779" s="26"/>
      <c r="Z779" s="26"/>
      <c r="AA779" s="26"/>
    </row>
    <row r="780" spans="8:27" x14ac:dyDescent="0.2">
      <c r="H780" s="26"/>
      <c r="I780" s="26"/>
      <c r="J780" s="26"/>
      <c r="Z780" s="26"/>
      <c r="AA780" s="26"/>
    </row>
    <row r="781" spans="8:27" x14ac:dyDescent="0.2">
      <c r="H781" s="26"/>
      <c r="I781" s="26"/>
      <c r="J781" s="26"/>
      <c r="Z781" s="26"/>
      <c r="AA781" s="26"/>
    </row>
    <row r="782" spans="8:27" x14ac:dyDescent="0.2">
      <c r="H782" s="26"/>
      <c r="I782" s="26"/>
      <c r="J782" s="26"/>
      <c r="Z782" s="26"/>
      <c r="AA782" s="26"/>
    </row>
    <row r="783" spans="8:27" x14ac:dyDescent="0.2">
      <c r="H783" s="26"/>
      <c r="I783" s="26"/>
      <c r="J783" s="26"/>
      <c r="Z783" s="26"/>
      <c r="AA783" s="26"/>
    </row>
    <row r="784" spans="8:27" x14ac:dyDescent="0.2">
      <c r="H784" s="26"/>
      <c r="I784" s="26"/>
      <c r="J784" s="26"/>
      <c r="Z784" s="26"/>
      <c r="AA784" s="26"/>
    </row>
    <row r="785" spans="8:27" x14ac:dyDescent="0.2">
      <c r="H785" s="26"/>
      <c r="I785" s="26"/>
      <c r="J785" s="26"/>
      <c r="Z785" s="26"/>
      <c r="AA785" s="26"/>
    </row>
    <row r="786" spans="8:27" x14ac:dyDescent="0.2">
      <c r="H786" s="26"/>
      <c r="I786" s="26"/>
      <c r="J786" s="26"/>
      <c r="Z786" s="26"/>
      <c r="AA786" s="26"/>
    </row>
    <row r="787" spans="8:27" x14ac:dyDescent="0.2">
      <c r="H787" s="26"/>
      <c r="I787" s="26"/>
      <c r="J787" s="26"/>
      <c r="Z787" s="26"/>
      <c r="AA787" s="26"/>
    </row>
    <row r="788" spans="8:27" x14ac:dyDescent="0.2">
      <c r="H788" s="26"/>
      <c r="I788" s="26"/>
      <c r="J788" s="26"/>
      <c r="Z788" s="26"/>
      <c r="AA788" s="26"/>
    </row>
    <row r="789" spans="8:27" x14ac:dyDescent="0.2">
      <c r="H789" s="26"/>
      <c r="I789" s="26"/>
      <c r="J789" s="26"/>
      <c r="Z789" s="26"/>
      <c r="AA789" s="26"/>
    </row>
    <row r="790" spans="8:27" x14ac:dyDescent="0.2">
      <c r="H790" s="26"/>
      <c r="I790" s="26"/>
      <c r="J790" s="26"/>
      <c r="Z790" s="26"/>
      <c r="AA790" s="26"/>
    </row>
    <row r="791" spans="8:27" x14ac:dyDescent="0.2">
      <c r="H791" s="26"/>
      <c r="I791" s="26"/>
      <c r="J791" s="26"/>
      <c r="Z791" s="26"/>
      <c r="AA791" s="26"/>
    </row>
    <row r="792" spans="8:27" x14ac:dyDescent="0.2">
      <c r="H792" s="26"/>
      <c r="I792" s="26"/>
      <c r="J792" s="26"/>
      <c r="Z792" s="26"/>
      <c r="AA792" s="26"/>
    </row>
    <row r="793" spans="8:27" x14ac:dyDescent="0.2">
      <c r="H793" s="26"/>
      <c r="I793" s="26"/>
      <c r="J793" s="26"/>
      <c r="Z793" s="26"/>
      <c r="AA793" s="26"/>
    </row>
    <row r="794" spans="8:27" x14ac:dyDescent="0.2">
      <c r="H794" s="26"/>
      <c r="I794" s="26"/>
      <c r="J794" s="26"/>
      <c r="Z794" s="26"/>
      <c r="AA794" s="26"/>
    </row>
    <row r="795" spans="8:27" x14ac:dyDescent="0.2">
      <c r="H795" s="26"/>
      <c r="I795" s="26"/>
      <c r="J795" s="26"/>
      <c r="Z795" s="26"/>
      <c r="AA795" s="26"/>
    </row>
    <row r="796" spans="8:27" x14ac:dyDescent="0.2">
      <c r="H796" s="26"/>
      <c r="I796" s="26"/>
      <c r="J796" s="26"/>
      <c r="Z796" s="26"/>
      <c r="AA796" s="26"/>
    </row>
    <row r="797" spans="8:27" x14ac:dyDescent="0.2">
      <c r="H797" s="26"/>
      <c r="I797" s="26"/>
      <c r="J797" s="26"/>
      <c r="Z797" s="26"/>
      <c r="AA797" s="26"/>
    </row>
    <row r="798" spans="8:27" x14ac:dyDescent="0.2">
      <c r="H798" s="26"/>
      <c r="I798" s="26"/>
      <c r="J798" s="26"/>
      <c r="Z798" s="26"/>
      <c r="AA798" s="26"/>
    </row>
    <row r="799" spans="8:27" x14ac:dyDescent="0.2">
      <c r="H799" s="26"/>
      <c r="I799" s="26"/>
      <c r="J799" s="26"/>
      <c r="Z799" s="26"/>
      <c r="AA799" s="26"/>
    </row>
    <row r="800" spans="8:27" x14ac:dyDescent="0.2">
      <c r="H800" s="26"/>
      <c r="I800" s="26"/>
      <c r="J800" s="26"/>
      <c r="Z800" s="26"/>
      <c r="AA800" s="26"/>
    </row>
    <row r="801" spans="8:27" x14ac:dyDescent="0.2">
      <c r="H801" s="26"/>
      <c r="I801" s="26"/>
      <c r="J801" s="26"/>
      <c r="Z801" s="26"/>
      <c r="AA801" s="26"/>
    </row>
    <row r="802" spans="8:27" x14ac:dyDescent="0.2">
      <c r="H802" s="26"/>
      <c r="I802" s="26"/>
      <c r="J802" s="26"/>
      <c r="Z802" s="26"/>
      <c r="AA802" s="26"/>
    </row>
    <row r="803" spans="8:27" x14ac:dyDescent="0.2">
      <c r="H803" s="26"/>
      <c r="I803" s="26"/>
      <c r="J803" s="26"/>
      <c r="Z803" s="26"/>
      <c r="AA803" s="26"/>
    </row>
    <row r="804" spans="8:27" x14ac:dyDescent="0.2">
      <c r="H804" s="26"/>
      <c r="I804" s="26"/>
      <c r="J804" s="26"/>
      <c r="Z804" s="26"/>
      <c r="AA804" s="26"/>
    </row>
    <row r="805" spans="8:27" x14ac:dyDescent="0.2">
      <c r="H805" s="26"/>
      <c r="I805" s="26"/>
      <c r="J805" s="26"/>
      <c r="Z805" s="26"/>
      <c r="AA805" s="26"/>
    </row>
    <row r="806" spans="8:27" x14ac:dyDescent="0.2">
      <c r="H806" s="26"/>
      <c r="I806" s="26"/>
      <c r="J806" s="26"/>
      <c r="Z806" s="26"/>
      <c r="AA806" s="26"/>
    </row>
    <row r="807" spans="8:27" x14ac:dyDescent="0.2">
      <c r="H807" s="26"/>
      <c r="I807" s="26"/>
      <c r="J807" s="26"/>
      <c r="Z807" s="26"/>
      <c r="AA807" s="26"/>
    </row>
    <row r="808" spans="8:27" x14ac:dyDescent="0.2">
      <c r="H808" s="26"/>
      <c r="I808" s="26"/>
      <c r="J808" s="26"/>
      <c r="Z808" s="26"/>
      <c r="AA808" s="26"/>
    </row>
    <row r="809" spans="8:27" x14ac:dyDescent="0.2">
      <c r="H809" s="26"/>
      <c r="I809" s="26"/>
      <c r="J809" s="26"/>
      <c r="Z809" s="26"/>
      <c r="AA809" s="26"/>
    </row>
    <row r="810" spans="8:27" x14ac:dyDescent="0.2">
      <c r="H810" s="26"/>
      <c r="I810" s="26"/>
      <c r="J810" s="26"/>
      <c r="Z810" s="26"/>
      <c r="AA810" s="26"/>
    </row>
    <row r="811" spans="8:27" x14ac:dyDescent="0.2">
      <c r="H811" s="26"/>
      <c r="I811" s="26"/>
      <c r="J811" s="26"/>
      <c r="Z811" s="26"/>
      <c r="AA811" s="26"/>
    </row>
    <row r="812" spans="8:27" x14ac:dyDescent="0.2">
      <c r="H812" s="26"/>
      <c r="I812" s="26"/>
      <c r="J812" s="26"/>
      <c r="Z812" s="26"/>
      <c r="AA812" s="26"/>
    </row>
    <row r="813" spans="8:27" x14ac:dyDescent="0.2">
      <c r="H813" s="26"/>
      <c r="I813" s="26"/>
      <c r="J813" s="26"/>
      <c r="Z813" s="26"/>
      <c r="AA813" s="26"/>
    </row>
    <row r="814" spans="8:27" x14ac:dyDescent="0.2">
      <c r="H814" s="26"/>
      <c r="I814" s="26"/>
      <c r="J814" s="26"/>
      <c r="Z814" s="26"/>
      <c r="AA814" s="26"/>
    </row>
    <row r="815" spans="8:27" x14ac:dyDescent="0.2">
      <c r="H815" s="26"/>
      <c r="I815" s="26"/>
      <c r="J815" s="26"/>
      <c r="Z815" s="26"/>
      <c r="AA815" s="26"/>
    </row>
    <row r="816" spans="8:27" x14ac:dyDescent="0.2">
      <c r="H816" s="26"/>
      <c r="I816" s="26"/>
      <c r="J816" s="26"/>
      <c r="Z816" s="26"/>
      <c r="AA816" s="26"/>
    </row>
    <row r="817" spans="8:27" x14ac:dyDescent="0.2">
      <c r="H817" s="26"/>
      <c r="I817" s="26"/>
      <c r="J817" s="26"/>
      <c r="Z817" s="26"/>
      <c r="AA817" s="26"/>
    </row>
    <row r="818" spans="8:27" x14ac:dyDescent="0.2">
      <c r="H818" s="26"/>
      <c r="I818" s="26"/>
      <c r="J818" s="26"/>
      <c r="Z818" s="26"/>
      <c r="AA818" s="26"/>
    </row>
    <row r="819" spans="8:27" x14ac:dyDescent="0.2">
      <c r="H819" s="26"/>
      <c r="I819" s="26"/>
      <c r="J819" s="26"/>
      <c r="Z819" s="26"/>
      <c r="AA819" s="26"/>
    </row>
    <row r="820" spans="8:27" x14ac:dyDescent="0.2">
      <c r="H820" s="26"/>
      <c r="I820" s="26"/>
      <c r="J820" s="26"/>
      <c r="Z820" s="26"/>
      <c r="AA820" s="26"/>
    </row>
    <row r="821" spans="8:27" x14ac:dyDescent="0.2">
      <c r="H821" s="26"/>
      <c r="I821" s="26"/>
      <c r="J821" s="26"/>
      <c r="Z821" s="26"/>
      <c r="AA821" s="26"/>
    </row>
    <row r="822" spans="8:27" x14ac:dyDescent="0.2">
      <c r="H822" s="26"/>
      <c r="I822" s="26"/>
      <c r="J822" s="26"/>
      <c r="Z822" s="26"/>
      <c r="AA822" s="26"/>
    </row>
    <row r="823" spans="8:27" x14ac:dyDescent="0.2">
      <c r="H823" s="26"/>
      <c r="I823" s="26"/>
      <c r="J823" s="26"/>
      <c r="Z823" s="26"/>
      <c r="AA823" s="26"/>
    </row>
    <row r="824" spans="8:27" x14ac:dyDescent="0.2">
      <c r="H824" s="26"/>
      <c r="I824" s="26"/>
      <c r="J824" s="26"/>
      <c r="Z824" s="26"/>
      <c r="AA824" s="26"/>
    </row>
    <row r="825" spans="8:27" x14ac:dyDescent="0.2">
      <c r="H825" s="26"/>
      <c r="I825" s="26"/>
      <c r="J825" s="26"/>
      <c r="Z825" s="26"/>
      <c r="AA825" s="26"/>
    </row>
    <row r="826" spans="8:27" x14ac:dyDescent="0.2">
      <c r="H826" s="26"/>
      <c r="I826" s="26"/>
      <c r="J826" s="26"/>
      <c r="Z826" s="26"/>
      <c r="AA826" s="26"/>
    </row>
    <row r="827" spans="8:27" x14ac:dyDescent="0.2">
      <c r="H827" s="26"/>
      <c r="I827" s="26"/>
      <c r="J827" s="26"/>
      <c r="Z827" s="26"/>
      <c r="AA827" s="26"/>
    </row>
    <row r="828" spans="8:27" x14ac:dyDescent="0.2">
      <c r="H828" s="26"/>
      <c r="I828" s="26"/>
      <c r="J828" s="26"/>
      <c r="Z828" s="26"/>
      <c r="AA828" s="26"/>
    </row>
    <row r="829" spans="8:27" x14ac:dyDescent="0.2">
      <c r="H829" s="26"/>
      <c r="I829" s="26"/>
      <c r="J829" s="26"/>
      <c r="Z829" s="26"/>
      <c r="AA829" s="26"/>
    </row>
    <row r="830" spans="8:27" x14ac:dyDescent="0.2">
      <c r="H830" s="26"/>
      <c r="I830" s="26"/>
      <c r="J830" s="26"/>
      <c r="Z830" s="26"/>
      <c r="AA830" s="26"/>
    </row>
    <row r="831" spans="8:27" x14ac:dyDescent="0.2">
      <c r="H831" s="26"/>
      <c r="I831" s="26"/>
      <c r="J831" s="26"/>
      <c r="Z831" s="26"/>
      <c r="AA831" s="26"/>
    </row>
    <row r="832" spans="8:27" x14ac:dyDescent="0.2">
      <c r="H832" s="26"/>
      <c r="I832" s="26"/>
      <c r="J832" s="26"/>
      <c r="Z832" s="26"/>
      <c r="AA832" s="26"/>
    </row>
    <row r="833" spans="8:27" x14ac:dyDescent="0.2">
      <c r="H833" s="26"/>
      <c r="I833" s="26"/>
      <c r="J833" s="26"/>
      <c r="Z833" s="26"/>
      <c r="AA833" s="26"/>
    </row>
    <row r="834" spans="8:27" x14ac:dyDescent="0.2">
      <c r="H834" s="26"/>
      <c r="I834" s="26"/>
      <c r="J834" s="26"/>
      <c r="Z834" s="26"/>
      <c r="AA834" s="26"/>
    </row>
    <row r="835" spans="8:27" x14ac:dyDescent="0.2">
      <c r="H835" s="26"/>
      <c r="I835" s="26"/>
      <c r="J835" s="26"/>
      <c r="Z835" s="26"/>
      <c r="AA835" s="26"/>
    </row>
    <row r="836" spans="8:27" x14ac:dyDescent="0.2">
      <c r="H836" s="26"/>
      <c r="I836" s="26"/>
      <c r="J836" s="26"/>
      <c r="Z836" s="26"/>
      <c r="AA836" s="26"/>
    </row>
    <row r="837" spans="8:27" x14ac:dyDescent="0.2">
      <c r="H837" s="26"/>
      <c r="I837" s="26"/>
      <c r="J837" s="26"/>
      <c r="Z837" s="26"/>
      <c r="AA837" s="26"/>
    </row>
    <row r="838" spans="8:27" x14ac:dyDescent="0.2">
      <c r="H838" s="26"/>
      <c r="I838" s="26"/>
      <c r="J838" s="26"/>
      <c r="Z838" s="26"/>
      <c r="AA838" s="26"/>
    </row>
    <row r="839" spans="8:27" x14ac:dyDescent="0.2">
      <c r="H839" s="26"/>
      <c r="I839" s="26"/>
      <c r="J839" s="26"/>
      <c r="Z839" s="26"/>
      <c r="AA839" s="26"/>
    </row>
    <row r="840" spans="8:27" x14ac:dyDescent="0.2">
      <c r="H840" s="26"/>
      <c r="I840" s="26"/>
      <c r="J840" s="26"/>
      <c r="Z840" s="26"/>
      <c r="AA840" s="26"/>
    </row>
    <row r="841" spans="8:27" x14ac:dyDescent="0.2">
      <c r="H841" s="26"/>
      <c r="I841" s="26"/>
      <c r="J841" s="26"/>
      <c r="Z841" s="26"/>
      <c r="AA841" s="26"/>
    </row>
    <row r="842" spans="8:27" x14ac:dyDescent="0.2">
      <c r="H842" s="26"/>
      <c r="I842" s="26"/>
      <c r="J842" s="26"/>
      <c r="Z842" s="26"/>
      <c r="AA842" s="26"/>
    </row>
    <row r="843" spans="8:27" x14ac:dyDescent="0.2">
      <c r="H843" s="26"/>
      <c r="I843" s="26"/>
      <c r="J843" s="26"/>
      <c r="Z843" s="26"/>
      <c r="AA843" s="26"/>
    </row>
    <row r="844" spans="8:27" x14ac:dyDescent="0.2">
      <c r="H844" s="26"/>
      <c r="I844" s="26"/>
      <c r="J844" s="26"/>
      <c r="Z844" s="26"/>
      <c r="AA844" s="26"/>
    </row>
    <row r="845" spans="8:27" x14ac:dyDescent="0.2">
      <c r="H845" s="26"/>
      <c r="I845" s="26"/>
      <c r="J845" s="26"/>
      <c r="Z845" s="26"/>
      <c r="AA845" s="26"/>
    </row>
    <row r="846" spans="8:27" x14ac:dyDescent="0.2">
      <c r="H846" s="26"/>
      <c r="I846" s="26"/>
      <c r="J846" s="26"/>
      <c r="Z846" s="26"/>
      <c r="AA846" s="26"/>
    </row>
    <row r="847" spans="8:27" x14ac:dyDescent="0.2">
      <c r="H847" s="26"/>
      <c r="I847" s="26"/>
      <c r="J847" s="26"/>
      <c r="Z847" s="26"/>
      <c r="AA847" s="26"/>
    </row>
    <row r="848" spans="8:27" x14ac:dyDescent="0.2">
      <c r="H848" s="26"/>
      <c r="I848" s="26"/>
      <c r="J848" s="26"/>
      <c r="Z848" s="26"/>
      <c r="AA848" s="26"/>
    </row>
    <row r="849" spans="8:27" x14ac:dyDescent="0.2">
      <c r="H849" s="26"/>
      <c r="I849" s="26"/>
      <c r="J849" s="26"/>
      <c r="Z849" s="26"/>
      <c r="AA849" s="26"/>
    </row>
    <row r="850" spans="8:27" x14ac:dyDescent="0.2">
      <c r="H850" s="26"/>
      <c r="I850" s="26"/>
      <c r="J850" s="26"/>
      <c r="Z850" s="26"/>
      <c r="AA850" s="26"/>
    </row>
    <row r="851" spans="8:27" x14ac:dyDescent="0.2">
      <c r="H851" s="26"/>
      <c r="I851" s="26"/>
      <c r="J851" s="26"/>
      <c r="Z851" s="26"/>
      <c r="AA851" s="26"/>
    </row>
    <row r="852" spans="8:27" x14ac:dyDescent="0.2">
      <c r="H852" s="26"/>
      <c r="I852" s="26"/>
      <c r="J852" s="26"/>
      <c r="Z852" s="26"/>
      <c r="AA852" s="26"/>
    </row>
    <row r="853" spans="8:27" x14ac:dyDescent="0.2">
      <c r="H853" s="26"/>
      <c r="I853" s="26"/>
      <c r="J853" s="26"/>
      <c r="Z853" s="26"/>
      <c r="AA853" s="26"/>
    </row>
    <row r="854" spans="8:27" x14ac:dyDescent="0.2">
      <c r="H854" s="26"/>
      <c r="I854" s="26"/>
      <c r="J854" s="26"/>
      <c r="Z854" s="26"/>
      <c r="AA854" s="26"/>
    </row>
    <row r="855" spans="8:27" x14ac:dyDescent="0.2">
      <c r="H855" s="26"/>
      <c r="I855" s="26"/>
      <c r="J855" s="26"/>
      <c r="Z855" s="26"/>
      <c r="AA855" s="26"/>
    </row>
    <row r="856" spans="8:27" x14ac:dyDescent="0.2">
      <c r="H856" s="26"/>
      <c r="I856" s="26"/>
      <c r="J856" s="26"/>
      <c r="Z856" s="26"/>
      <c r="AA856" s="26"/>
    </row>
    <row r="857" spans="8:27" x14ac:dyDescent="0.2">
      <c r="H857" s="26"/>
      <c r="I857" s="26"/>
      <c r="J857" s="26"/>
      <c r="Z857" s="26"/>
      <c r="AA857" s="26"/>
    </row>
    <row r="858" spans="8:27" x14ac:dyDescent="0.2">
      <c r="H858" s="26"/>
      <c r="I858" s="26"/>
      <c r="J858" s="26"/>
      <c r="Z858" s="26"/>
      <c r="AA858" s="26"/>
    </row>
    <row r="859" spans="8:27" x14ac:dyDescent="0.2">
      <c r="H859" s="26"/>
      <c r="I859" s="26"/>
      <c r="J859" s="26"/>
      <c r="Z859" s="26"/>
      <c r="AA859" s="26"/>
    </row>
    <row r="860" spans="8:27" x14ac:dyDescent="0.2">
      <c r="H860" s="26"/>
      <c r="I860" s="26"/>
      <c r="J860" s="26"/>
      <c r="Z860" s="26"/>
      <c r="AA860" s="26"/>
    </row>
    <row r="861" spans="8:27" x14ac:dyDescent="0.2">
      <c r="H861" s="26"/>
      <c r="I861" s="26"/>
      <c r="J861" s="26"/>
      <c r="Z861" s="26"/>
      <c r="AA861" s="26"/>
    </row>
    <row r="862" spans="8:27" x14ac:dyDescent="0.2">
      <c r="H862" s="26"/>
      <c r="I862" s="26"/>
      <c r="J862" s="26"/>
      <c r="Z862" s="26"/>
      <c r="AA862" s="26"/>
    </row>
    <row r="863" spans="8:27" x14ac:dyDescent="0.2">
      <c r="H863" s="26"/>
      <c r="I863" s="26"/>
      <c r="J863" s="26"/>
      <c r="Z863" s="26"/>
      <c r="AA863" s="26"/>
    </row>
    <row r="864" spans="8:27" x14ac:dyDescent="0.2">
      <c r="H864" s="26"/>
      <c r="I864" s="26"/>
      <c r="J864" s="26"/>
      <c r="Z864" s="26"/>
      <c r="AA864" s="26"/>
    </row>
    <row r="865" spans="8:27" x14ac:dyDescent="0.2">
      <c r="H865" s="26"/>
      <c r="I865" s="26"/>
      <c r="J865" s="26"/>
      <c r="Z865" s="26"/>
      <c r="AA865" s="26"/>
    </row>
    <row r="866" spans="8:27" x14ac:dyDescent="0.2">
      <c r="H866" s="26"/>
      <c r="I866" s="26"/>
      <c r="J866" s="26"/>
      <c r="Z866" s="26"/>
      <c r="AA866" s="26"/>
    </row>
    <row r="867" spans="8:27" x14ac:dyDescent="0.2">
      <c r="H867" s="26"/>
      <c r="I867" s="26"/>
      <c r="J867" s="26"/>
      <c r="Z867" s="26"/>
      <c r="AA867" s="26"/>
    </row>
    <row r="868" spans="8:27" x14ac:dyDescent="0.2">
      <c r="H868" s="26"/>
      <c r="I868" s="26"/>
      <c r="J868" s="26"/>
      <c r="Z868" s="26"/>
      <c r="AA868" s="26"/>
    </row>
    <row r="869" spans="8:27" x14ac:dyDescent="0.2">
      <c r="H869" s="26"/>
      <c r="I869" s="26"/>
      <c r="J869" s="26"/>
      <c r="Z869" s="26"/>
      <c r="AA869" s="26"/>
    </row>
    <row r="870" spans="8:27" x14ac:dyDescent="0.2">
      <c r="H870" s="26"/>
      <c r="I870" s="26"/>
      <c r="J870" s="26"/>
      <c r="Z870" s="26"/>
      <c r="AA870" s="26"/>
    </row>
    <row r="871" spans="8:27" x14ac:dyDescent="0.2">
      <c r="H871" s="26"/>
      <c r="I871" s="26"/>
      <c r="J871" s="26"/>
      <c r="Z871" s="26"/>
      <c r="AA871" s="26"/>
    </row>
    <row r="872" spans="8:27" x14ac:dyDescent="0.2">
      <c r="H872" s="26"/>
      <c r="I872" s="26"/>
      <c r="J872" s="26"/>
      <c r="Z872" s="26"/>
      <c r="AA872" s="26"/>
    </row>
    <row r="873" spans="8:27" x14ac:dyDescent="0.2">
      <c r="H873" s="26"/>
      <c r="I873" s="26"/>
      <c r="J873" s="26"/>
      <c r="Z873" s="26"/>
      <c r="AA873" s="26"/>
    </row>
    <row r="874" spans="8:27" x14ac:dyDescent="0.2">
      <c r="H874" s="26"/>
      <c r="I874" s="26"/>
      <c r="J874" s="26"/>
      <c r="Z874" s="26"/>
      <c r="AA874" s="26"/>
    </row>
    <row r="875" spans="8:27" x14ac:dyDescent="0.2">
      <c r="H875" s="26"/>
      <c r="I875" s="26"/>
      <c r="J875" s="26"/>
      <c r="Z875" s="26"/>
      <c r="AA875" s="26"/>
    </row>
    <row r="876" spans="8:27" x14ac:dyDescent="0.2">
      <c r="H876" s="26"/>
      <c r="I876" s="26"/>
      <c r="J876" s="26"/>
      <c r="Z876" s="26"/>
      <c r="AA876" s="26"/>
    </row>
    <row r="877" spans="8:27" x14ac:dyDescent="0.2">
      <c r="H877" s="26"/>
      <c r="I877" s="26"/>
      <c r="J877" s="26"/>
      <c r="Z877" s="26"/>
      <c r="AA877" s="26"/>
    </row>
    <row r="878" spans="8:27" x14ac:dyDescent="0.2">
      <c r="H878" s="26"/>
      <c r="I878" s="26"/>
      <c r="J878" s="26"/>
      <c r="Z878" s="26"/>
      <c r="AA878" s="26"/>
    </row>
    <row r="879" spans="8:27" x14ac:dyDescent="0.2">
      <c r="H879" s="26"/>
      <c r="I879" s="26"/>
      <c r="J879" s="26"/>
      <c r="Z879" s="26"/>
      <c r="AA879" s="26"/>
    </row>
    <row r="880" spans="8:27" x14ac:dyDescent="0.2">
      <c r="H880" s="26"/>
      <c r="I880" s="26"/>
      <c r="J880" s="26"/>
      <c r="Z880" s="26"/>
      <c r="AA880" s="26"/>
    </row>
    <row r="881" spans="8:27" x14ac:dyDescent="0.2">
      <c r="H881" s="26"/>
      <c r="I881" s="26"/>
      <c r="J881" s="26"/>
      <c r="Z881" s="26"/>
      <c r="AA881" s="26"/>
    </row>
    <row r="882" spans="8:27" x14ac:dyDescent="0.2">
      <c r="H882" s="26"/>
      <c r="I882" s="26"/>
      <c r="J882" s="26"/>
      <c r="Z882" s="26"/>
      <c r="AA882" s="26"/>
    </row>
    <row r="883" spans="8:27" x14ac:dyDescent="0.2">
      <c r="H883" s="26"/>
      <c r="I883" s="26"/>
      <c r="J883" s="26"/>
      <c r="Z883" s="26"/>
      <c r="AA883" s="26"/>
    </row>
    <row r="884" spans="8:27" x14ac:dyDescent="0.2">
      <c r="H884" s="26"/>
      <c r="I884" s="26"/>
      <c r="J884" s="26"/>
      <c r="Z884" s="26"/>
      <c r="AA884" s="26"/>
    </row>
    <row r="885" spans="8:27" x14ac:dyDescent="0.2">
      <c r="H885" s="26"/>
      <c r="I885" s="26"/>
      <c r="J885" s="26"/>
      <c r="Z885" s="26"/>
      <c r="AA885" s="26"/>
    </row>
    <row r="886" spans="8:27" x14ac:dyDescent="0.2">
      <c r="H886" s="26"/>
      <c r="I886" s="26"/>
      <c r="J886" s="26"/>
      <c r="Z886" s="26"/>
      <c r="AA886" s="26"/>
    </row>
    <row r="887" spans="8:27" x14ac:dyDescent="0.2">
      <c r="H887" s="26"/>
      <c r="I887" s="26"/>
      <c r="J887" s="26"/>
      <c r="Z887" s="26"/>
      <c r="AA887" s="26"/>
    </row>
    <row r="888" spans="8:27" x14ac:dyDescent="0.2">
      <c r="H888" s="26"/>
      <c r="I888" s="26"/>
      <c r="J888" s="26"/>
      <c r="Z888" s="26"/>
      <c r="AA888" s="26"/>
    </row>
    <row r="889" spans="8:27" x14ac:dyDescent="0.2">
      <c r="H889" s="26"/>
      <c r="I889" s="26"/>
      <c r="J889" s="26"/>
      <c r="Z889" s="26"/>
      <c r="AA889" s="26"/>
    </row>
    <row r="890" spans="8:27" x14ac:dyDescent="0.2">
      <c r="H890" s="26"/>
      <c r="I890" s="26"/>
      <c r="J890" s="26"/>
      <c r="Z890" s="26"/>
      <c r="AA890" s="26"/>
    </row>
    <row r="891" spans="8:27" x14ac:dyDescent="0.2">
      <c r="H891" s="26"/>
      <c r="I891" s="26"/>
      <c r="J891" s="26"/>
      <c r="Z891" s="26"/>
      <c r="AA891" s="26"/>
    </row>
    <row r="892" spans="8:27" x14ac:dyDescent="0.2">
      <c r="H892" s="26"/>
      <c r="I892" s="26"/>
      <c r="J892" s="26"/>
      <c r="Z892" s="26"/>
      <c r="AA892" s="26"/>
    </row>
    <row r="893" spans="8:27" x14ac:dyDescent="0.2">
      <c r="H893" s="26"/>
      <c r="I893" s="26"/>
      <c r="J893" s="26"/>
      <c r="Z893" s="26"/>
      <c r="AA893" s="26"/>
    </row>
    <row r="894" spans="8:27" x14ac:dyDescent="0.2">
      <c r="H894" s="26"/>
      <c r="I894" s="26"/>
      <c r="J894" s="26"/>
      <c r="Z894" s="26"/>
      <c r="AA894" s="26"/>
    </row>
    <row r="895" spans="8:27" x14ac:dyDescent="0.2">
      <c r="H895" s="26"/>
      <c r="I895" s="26"/>
      <c r="J895" s="26"/>
      <c r="Z895" s="26"/>
      <c r="AA895" s="26"/>
    </row>
    <row r="896" spans="8:27" x14ac:dyDescent="0.2">
      <c r="H896" s="26"/>
      <c r="I896" s="26"/>
      <c r="J896" s="26"/>
      <c r="Z896" s="26"/>
      <c r="AA896" s="26"/>
    </row>
    <row r="897" spans="8:27" x14ac:dyDescent="0.2">
      <c r="H897" s="26"/>
      <c r="I897" s="26"/>
      <c r="J897" s="26"/>
      <c r="Z897" s="26"/>
      <c r="AA897" s="26"/>
    </row>
    <row r="898" spans="8:27" x14ac:dyDescent="0.2">
      <c r="H898" s="26"/>
      <c r="I898" s="26"/>
      <c r="J898" s="26"/>
      <c r="Z898" s="26"/>
      <c r="AA898" s="26"/>
    </row>
    <row r="899" spans="8:27" x14ac:dyDescent="0.2">
      <c r="H899" s="26"/>
      <c r="I899" s="26"/>
      <c r="J899" s="26"/>
      <c r="Z899" s="26"/>
      <c r="AA899" s="26"/>
    </row>
    <row r="900" spans="8:27" x14ac:dyDescent="0.2">
      <c r="H900" s="26"/>
      <c r="I900" s="26"/>
      <c r="J900" s="26"/>
      <c r="Z900" s="26"/>
      <c r="AA900" s="26"/>
    </row>
    <row r="901" spans="8:27" x14ac:dyDescent="0.2">
      <c r="H901" s="26"/>
      <c r="I901" s="26"/>
      <c r="J901" s="26"/>
      <c r="Z901" s="26"/>
      <c r="AA901" s="26"/>
    </row>
    <row r="902" spans="8:27" x14ac:dyDescent="0.2">
      <c r="H902" s="26"/>
      <c r="I902" s="26"/>
      <c r="J902" s="26"/>
      <c r="Z902" s="26"/>
      <c r="AA902" s="26"/>
    </row>
    <row r="903" spans="8:27" x14ac:dyDescent="0.2">
      <c r="H903" s="26"/>
      <c r="I903" s="26"/>
      <c r="J903" s="26"/>
      <c r="Z903" s="26"/>
      <c r="AA903" s="26"/>
    </row>
    <row r="904" spans="8:27" x14ac:dyDescent="0.2">
      <c r="H904" s="26"/>
      <c r="I904" s="26"/>
      <c r="J904" s="26"/>
      <c r="Z904" s="26"/>
      <c r="AA904" s="26"/>
    </row>
    <row r="905" spans="8:27" x14ac:dyDescent="0.2">
      <c r="H905" s="26"/>
      <c r="I905" s="26"/>
      <c r="J905" s="26"/>
      <c r="Z905" s="26"/>
      <c r="AA905" s="26"/>
    </row>
    <row r="906" spans="8:27" x14ac:dyDescent="0.2">
      <c r="H906" s="26"/>
      <c r="I906" s="26"/>
      <c r="J906" s="26"/>
      <c r="Z906" s="26"/>
      <c r="AA906" s="26"/>
    </row>
    <row r="907" spans="8:27" x14ac:dyDescent="0.2">
      <c r="H907" s="26"/>
      <c r="I907" s="26"/>
      <c r="J907" s="26"/>
      <c r="Z907" s="26"/>
      <c r="AA907" s="26"/>
    </row>
    <row r="908" spans="8:27" x14ac:dyDescent="0.2">
      <c r="H908" s="26"/>
      <c r="I908" s="26"/>
      <c r="J908" s="26"/>
      <c r="Z908" s="26"/>
      <c r="AA908" s="26"/>
    </row>
    <row r="909" spans="8:27" x14ac:dyDescent="0.2">
      <c r="H909" s="26"/>
      <c r="I909" s="26"/>
      <c r="J909" s="26"/>
      <c r="Z909" s="26"/>
      <c r="AA909" s="26"/>
    </row>
    <row r="910" spans="8:27" x14ac:dyDescent="0.2">
      <c r="H910" s="26"/>
      <c r="I910" s="26"/>
      <c r="J910" s="26"/>
      <c r="Z910" s="26"/>
      <c r="AA910" s="26"/>
    </row>
    <row r="911" spans="8:27" x14ac:dyDescent="0.2">
      <c r="H911" s="26"/>
      <c r="I911" s="26"/>
      <c r="J911" s="26"/>
      <c r="Z911" s="26"/>
      <c r="AA911" s="26"/>
    </row>
    <row r="912" spans="8:27" x14ac:dyDescent="0.2">
      <c r="H912" s="26"/>
      <c r="I912" s="26"/>
      <c r="J912" s="26"/>
      <c r="Z912" s="26"/>
      <c r="AA912" s="26"/>
    </row>
    <row r="913" spans="8:27" x14ac:dyDescent="0.2">
      <c r="H913" s="26"/>
      <c r="I913" s="26"/>
      <c r="J913" s="26"/>
      <c r="Z913" s="26"/>
      <c r="AA913" s="26"/>
    </row>
    <row r="914" spans="8:27" x14ac:dyDescent="0.2">
      <c r="H914" s="26"/>
      <c r="I914" s="26"/>
      <c r="J914" s="26"/>
      <c r="Z914" s="26"/>
      <c r="AA914" s="26"/>
    </row>
    <row r="915" spans="8:27" x14ac:dyDescent="0.2">
      <c r="H915" s="26"/>
      <c r="I915" s="26"/>
      <c r="J915" s="26"/>
      <c r="Z915" s="26"/>
      <c r="AA915" s="26"/>
    </row>
    <row r="916" spans="8:27" x14ac:dyDescent="0.2">
      <c r="H916" s="26"/>
      <c r="I916" s="26"/>
      <c r="J916" s="26"/>
      <c r="Z916" s="26"/>
      <c r="AA916" s="26"/>
    </row>
    <row r="917" spans="8:27" x14ac:dyDescent="0.2">
      <c r="H917" s="26"/>
      <c r="I917" s="26"/>
      <c r="J917" s="26"/>
      <c r="Z917" s="26"/>
      <c r="AA917" s="26"/>
    </row>
    <row r="918" spans="8:27" x14ac:dyDescent="0.2">
      <c r="H918" s="26"/>
      <c r="I918" s="26"/>
      <c r="J918" s="26"/>
      <c r="Z918" s="26"/>
      <c r="AA918" s="26"/>
    </row>
    <row r="919" spans="8:27" x14ac:dyDescent="0.2">
      <c r="H919" s="26"/>
      <c r="I919" s="26"/>
      <c r="J919" s="26"/>
      <c r="Z919" s="26"/>
      <c r="AA919" s="26"/>
    </row>
    <row r="920" spans="8:27" x14ac:dyDescent="0.2">
      <c r="H920" s="26"/>
      <c r="I920" s="26"/>
      <c r="J920" s="26"/>
      <c r="Z920" s="26"/>
      <c r="AA920" s="26"/>
    </row>
    <row r="921" spans="8:27" x14ac:dyDescent="0.2">
      <c r="H921" s="26"/>
      <c r="I921" s="26"/>
      <c r="J921" s="26"/>
      <c r="Z921" s="26"/>
      <c r="AA921" s="26"/>
    </row>
    <row r="922" spans="8:27" x14ac:dyDescent="0.2">
      <c r="H922" s="26"/>
      <c r="I922" s="26"/>
      <c r="J922" s="26"/>
      <c r="Z922" s="26"/>
      <c r="AA922" s="26"/>
    </row>
    <row r="923" spans="8:27" x14ac:dyDescent="0.2">
      <c r="H923" s="26"/>
      <c r="I923" s="26"/>
      <c r="J923" s="26"/>
      <c r="Z923" s="26"/>
      <c r="AA923" s="26"/>
    </row>
    <row r="924" spans="8:27" x14ac:dyDescent="0.2">
      <c r="H924" s="26"/>
      <c r="I924" s="26"/>
      <c r="J924" s="26"/>
      <c r="Z924" s="26"/>
      <c r="AA924" s="26"/>
    </row>
    <row r="925" spans="8:27" x14ac:dyDescent="0.2">
      <c r="H925" s="26"/>
      <c r="I925" s="26"/>
      <c r="J925" s="26"/>
      <c r="Z925" s="26"/>
      <c r="AA925" s="26"/>
    </row>
    <row r="926" spans="8:27" x14ac:dyDescent="0.2">
      <c r="H926" s="26"/>
      <c r="I926" s="26"/>
      <c r="J926" s="26"/>
      <c r="Z926" s="26"/>
      <c r="AA926" s="26"/>
    </row>
    <row r="927" spans="8:27" x14ac:dyDescent="0.2">
      <c r="H927" s="26"/>
      <c r="I927" s="26"/>
      <c r="J927" s="26"/>
      <c r="Z927" s="26"/>
      <c r="AA927" s="26"/>
    </row>
    <row r="928" spans="8:27" x14ac:dyDescent="0.2">
      <c r="H928" s="26"/>
      <c r="I928" s="26"/>
      <c r="J928" s="26"/>
      <c r="Z928" s="26"/>
      <c r="AA928" s="26"/>
    </row>
    <row r="929" spans="8:27" x14ac:dyDescent="0.2">
      <c r="H929" s="26"/>
      <c r="I929" s="26"/>
      <c r="J929" s="26"/>
      <c r="Z929" s="26"/>
      <c r="AA929" s="26"/>
    </row>
    <row r="930" spans="8:27" x14ac:dyDescent="0.2">
      <c r="H930" s="26"/>
      <c r="I930" s="26"/>
      <c r="J930" s="26"/>
      <c r="Z930" s="26"/>
      <c r="AA930" s="26"/>
    </row>
    <row r="931" spans="8:27" x14ac:dyDescent="0.2">
      <c r="H931" s="26"/>
      <c r="I931" s="26"/>
      <c r="J931" s="26"/>
      <c r="Z931" s="26"/>
      <c r="AA931" s="26"/>
    </row>
    <row r="932" spans="8:27" x14ac:dyDescent="0.2">
      <c r="H932" s="26"/>
      <c r="I932" s="26"/>
      <c r="J932" s="26"/>
      <c r="Z932" s="26"/>
      <c r="AA932" s="26"/>
    </row>
    <row r="933" spans="8:27" x14ac:dyDescent="0.2">
      <c r="H933" s="26"/>
      <c r="I933" s="26"/>
      <c r="J933" s="26"/>
      <c r="Z933" s="26"/>
      <c r="AA933" s="26"/>
    </row>
    <row r="934" spans="8:27" x14ac:dyDescent="0.2">
      <c r="H934" s="26"/>
      <c r="I934" s="26"/>
      <c r="J934" s="26"/>
      <c r="Z934" s="26"/>
      <c r="AA934" s="26"/>
    </row>
    <row r="935" spans="8:27" x14ac:dyDescent="0.2">
      <c r="H935" s="26"/>
      <c r="I935" s="26"/>
      <c r="J935" s="26"/>
      <c r="Z935" s="26"/>
      <c r="AA935" s="26"/>
    </row>
    <row r="936" spans="8:27" x14ac:dyDescent="0.2">
      <c r="H936" s="26"/>
      <c r="I936" s="26"/>
      <c r="J936" s="26"/>
      <c r="Z936" s="26"/>
      <c r="AA936" s="26"/>
    </row>
    <row r="937" spans="8:27" x14ac:dyDescent="0.2">
      <c r="H937" s="26"/>
      <c r="I937" s="26"/>
      <c r="J937" s="26"/>
      <c r="Z937" s="26"/>
      <c r="AA937" s="26"/>
    </row>
    <row r="938" spans="8:27" x14ac:dyDescent="0.2">
      <c r="H938" s="26"/>
      <c r="I938" s="26"/>
      <c r="J938" s="26"/>
      <c r="Z938" s="26"/>
      <c r="AA938" s="26"/>
    </row>
    <row r="939" spans="8:27" x14ac:dyDescent="0.2">
      <c r="H939" s="26"/>
      <c r="I939" s="26"/>
      <c r="J939" s="26"/>
      <c r="Z939" s="26"/>
      <c r="AA939" s="26"/>
    </row>
    <row r="940" spans="8:27" x14ac:dyDescent="0.2">
      <c r="H940" s="26"/>
      <c r="I940" s="26"/>
      <c r="J940" s="26"/>
      <c r="Z940" s="26"/>
      <c r="AA940" s="26"/>
    </row>
    <row r="941" spans="8:27" x14ac:dyDescent="0.2">
      <c r="H941" s="26"/>
      <c r="I941" s="26"/>
      <c r="J941" s="26"/>
      <c r="Z941" s="26"/>
      <c r="AA941" s="26"/>
    </row>
    <row r="942" spans="8:27" x14ac:dyDescent="0.2">
      <c r="H942" s="26"/>
      <c r="I942" s="26"/>
      <c r="J942" s="26"/>
      <c r="Z942" s="26"/>
      <c r="AA942" s="26"/>
    </row>
    <row r="943" spans="8:27" x14ac:dyDescent="0.2">
      <c r="H943" s="26"/>
      <c r="I943" s="26"/>
      <c r="J943" s="26"/>
      <c r="Z943" s="26"/>
      <c r="AA943" s="26"/>
    </row>
    <row r="944" spans="8:27" x14ac:dyDescent="0.2">
      <c r="H944" s="26"/>
      <c r="I944" s="26"/>
      <c r="J944" s="26"/>
      <c r="Z944" s="26"/>
      <c r="AA944" s="26"/>
    </row>
    <row r="945" spans="8:27" x14ac:dyDescent="0.2">
      <c r="H945" s="26"/>
      <c r="I945" s="26"/>
      <c r="J945" s="26"/>
      <c r="Z945" s="26"/>
      <c r="AA945" s="26"/>
    </row>
    <row r="946" spans="8:27" x14ac:dyDescent="0.2">
      <c r="H946" s="26"/>
      <c r="I946" s="26"/>
      <c r="J946" s="26"/>
      <c r="Z946" s="26"/>
      <c r="AA946" s="26"/>
    </row>
    <row r="947" spans="8:27" x14ac:dyDescent="0.2">
      <c r="H947" s="26"/>
      <c r="I947" s="26"/>
      <c r="J947" s="26"/>
      <c r="Z947" s="26"/>
      <c r="AA947" s="26"/>
    </row>
    <row r="948" spans="8:27" x14ac:dyDescent="0.2">
      <c r="H948" s="26"/>
      <c r="I948" s="26"/>
      <c r="J948" s="26"/>
      <c r="Z948" s="26"/>
      <c r="AA948" s="26"/>
    </row>
    <row r="949" spans="8:27" x14ac:dyDescent="0.2">
      <c r="H949" s="26"/>
      <c r="I949" s="26"/>
      <c r="J949" s="26"/>
      <c r="Z949" s="26"/>
      <c r="AA949" s="26"/>
    </row>
    <row r="950" spans="8:27" x14ac:dyDescent="0.2">
      <c r="H950" s="26"/>
      <c r="I950" s="26"/>
      <c r="J950" s="26"/>
      <c r="Z950" s="26"/>
      <c r="AA950" s="26"/>
    </row>
    <row r="951" spans="8:27" x14ac:dyDescent="0.2">
      <c r="H951" s="26"/>
      <c r="I951" s="26"/>
      <c r="J951" s="26"/>
      <c r="Z951" s="26"/>
      <c r="AA951" s="26"/>
    </row>
    <row r="952" spans="8:27" x14ac:dyDescent="0.2">
      <c r="H952" s="26"/>
      <c r="I952" s="26"/>
      <c r="J952" s="26"/>
      <c r="Z952" s="26"/>
      <c r="AA952" s="26"/>
    </row>
    <row r="953" spans="8:27" x14ac:dyDescent="0.2">
      <c r="H953" s="26"/>
      <c r="I953" s="26"/>
      <c r="J953" s="26"/>
      <c r="Z953" s="26"/>
      <c r="AA953" s="26"/>
    </row>
    <row r="954" spans="8:27" x14ac:dyDescent="0.2">
      <c r="H954" s="26"/>
      <c r="I954" s="26"/>
      <c r="J954" s="26"/>
      <c r="Z954" s="26"/>
      <c r="AA954" s="26"/>
    </row>
    <row r="955" spans="8:27" x14ac:dyDescent="0.2">
      <c r="H955" s="26"/>
      <c r="I955" s="26"/>
      <c r="J955" s="26"/>
      <c r="Z955" s="26"/>
      <c r="AA955" s="26"/>
    </row>
    <row r="956" spans="8:27" x14ac:dyDescent="0.2">
      <c r="H956" s="26"/>
      <c r="I956" s="26"/>
      <c r="J956" s="26"/>
      <c r="Z956" s="26"/>
      <c r="AA956" s="26"/>
    </row>
    <row r="957" spans="8:27" x14ac:dyDescent="0.2">
      <c r="H957" s="26"/>
      <c r="I957" s="26"/>
      <c r="J957" s="26"/>
      <c r="Z957" s="26"/>
      <c r="AA957" s="26"/>
    </row>
    <row r="958" spans="8:27" x14ac:dyDescent="0.2">
      <c r="H958" s="26"/>
      <c r="I958" s="26"/>
      <c r="J958" s="26"/>
      <c r="Z958" s="26"/>
      <c r="AA958" s="26"/>
    </row>
    <row r="959" spans="8:27" x14ac:dyDescent="0.2">
      <c r="H959" s="26"/>
      <c r="I959" s="26"/>
      <c r="J959" s="26"/>
      <c r="Z959" s="26"/>
      <c r="AA959" s="26"/>
    </row>
    <row r="960" spans="8:27" x14ac:dyDescent="0.2">
      <c r="H960" s="26"/>
      <c r="I960" s="26"/>
      <c r="J960" s="26"/>
      <c r="Z960" s="26"/>
      <c r="AA960" s="26"/>
    </row>
    <row r="961" spans="8:27" x14ac:dyDescent="0.2">
      <c r="H961" s="26"/>
      <c r="I961" s="26"/>
      <c r="J961" s="26"/>
      <c r="Z961" s="26"/>
      <c r="AA961" s="26"/>
    </row>
    <row r="962" spans="8:27" x14ac:dyDescent="0.2">
      <c r="H962" s="26"/>
      <c r="I962" s="26"/>
      <c r="J962" s="26"/>
      <c r="Z962" s="26"/>
      <c r="AA962" s="26"/>
    </row>
    <row r="963" spans="8:27" x14ac:dyDescent="0.2">
      <c r="H963" s="26"/>
      <c r="I963" s="26"/>
      <c r="J963" s="26"/>
      <c r="Z963" s="26"/>
      <c r="AA963" s="26"/>
    </row>
    <row r="964" spans="8:27" x14ac:dyDescent="0.2">
      <c r="H964" s="26"/>
      <c r="I964" s="26"/>
      <c r="J964" s="26"/>
      <c r="Z964" s="26"/>
      <c r="AA964" s="26"/>
    </row>
    <row r="965" spans="8:27" x14ac:dyDescent="0.2">
      <c r="H965" s="26"/>
      <c r="I965" s="26"/>
      <c r="J965" s="26"/>
      <c r="Z965" s="26"/>
      <c r="AA965" s="26"/>
    </row>
    <row r="966" spans="8:27" x14ac:dyDescent="0.2">
      <c r="H966" s="26"/>
      <c r="I966" s="26"/>
      <c r="J966" s="26"/>
      <c r="Z966" s="26"/>
      <c r="AA966" s="26"/>
    </row>
    <row r="967" spans="8:27" x14ac:dyDescent="0.2">
      <c r="H967" s="26"/>
      <c r="I967" s="26"/>
      <c r="J967" s="26"/>
      <c r="Z967" s="26"/>
      <c r="AA967" s="26"/>
    </row>
    <row r="968" spans="8:27" x14ac:dyDescent="0.2">
      <c r="H968" s="26"/>
      <c r="I968" s="26"/>
      <c r="J968" s="26"/>
      <c r="Z968" s="26"/>
      <c r="AA968" s="26"/>
    </row>
    <row r="969" spans="8:27" x14ac:dyDescent="0.2">
      <c r="H969" s="26"/>
      <c r="I969" s="26"/>
      <c r="J969" s="26"/>
      <c r="Z969" s="26"/>
      <c r="AA969" s="26"/>
    </row>
    <row r="970" spans="8:27" x14ac:dyDescent="0.2">
      <c r="H970" s="26"/>
      <c r="I970" s="26"/>
      <c r="J970" s="26"/>
      <c r="Z970" s="26"/>
      <c r="AA970" s="26"/>
    </row>
    <row r="971" spans="8:27" x14ac:dyDescent="0.2">
      <c r="H971" s="26"/>
      <c r="I971" s="26"/>
      <c r="J971" s="26"/>
      <c r="Z971" s="26"/>
      <c r="AA971" s="26"/>
    </row>
    <row r="972" spans="8:27" x14ac:dyDescent="0.2">
      <c r="H972" s="26"/>
      <c r="I972" s="26"/>
      <c r="J972" s="26"/>
      <c r="Z972" s="26"/>
      <c r="AA972" s="26"/>
    </row>
    <row r="973" spans="8:27" x14ac:dyDescent="0.2">
      <c r="H973" s="26"/>
      <c r="I973" s="26"/>
      <c r="J973" s="26"/>
      <c r="Z973" s="26"/>
      <c r="AA973" s="26"/>
    </row>
    <row r="974" spans="8:27" x14ac:dyDescent="0.2">
      <c r="H974" s="26"/>
      <c r="I974" s="26"/>
      <c r="J974" s="26"/>
      <c r="Z974" s="26"/>
      <c r="AA974" s="26"/>
    </row>
    <row r="975" spans="8:27" x14ac:dyDescent="0.2">
      <c r="H975" s="26"/>
      <c r="I975" s="26"/>
      <c r="J975" s="26"/>
      <c r="Z975" s="26"/>
      <c r="AA975" s="26"/>
    </row>
    <row r="976" spans="8:27" x14ac:dyDescent="0.2">
      <c r="H976" s="26"/>
      <c r="I976" s="26"/>
      <c r="J976" s="26"/>
      <c r="Z976" s="26"/>
      <c r="AA976" s="26"/>
    </row>
    <row r="977" spans="8:27" x14ac:dyDescent="0.2">
      <c r="H977" s="26"/>
      <c r="I977" s="26"/>
      <c r="J977" s="26"/>
      <c r="Z977" s="26"/>
      <c r="AA977" s="26"/>
    </row>
    <row r="978" spans="8:27" x14ac:dyDescent="0.2">
      <c r="H978" s="26"/>
      <c r="I978" s="26"/>
      <c r="J978" s="26"/>
      <c r="Z978" s="26"/>
      <c r="AA978" s="26"/>
    </row>
    <row r="979" spans="8:27" x14ac:dyDescent="0.2">
      <c r="H979" s="26"/>
      <c r="I979" s="26"/>
      <c r="J979" s="26"/>
      <c r="Z979" s="26"/>
      <c r="AA979" s="26"/>
    </row>
    <row r="980" spans="8:27" x14ac:dyDescent="0.2">
      <c r="H980" s="26"/>
      <c r="I980" s="26"/>
      <c r="J980" s="26"/>
      <c r="Z980" s="26"/>
      <c r="AA980" s="26"/>
    </row>
    <row r="981" spans="8:27" x14ac:dyDescent="0.2">
      <c r="H981" s="26"/>
      <c r="I981" s="26"/>
      <c r="J981" s="26"/>
      <c r="Z981" s="26"/>
      <c r="AA981" s="26"/>
    </row>
    <row r="982" spans="8:27" x14ac:dyDescent="0.2">
      <c r="H982" s="26"/>
      <c r="I982" s="26"/>
      <c r="J982" s="26"/>
      <c r="Z982" s="26"/>
      <c r="AA982" s="26"/>
    </row>
    <row r="983" spans="8:27" x14ac:dyDescent="0.2">
      <c r="H983" s="26"/>
      <c r="I983" s="26"/>
      <c r="J983" s="26"/>
      <c r="Z983" s="26"/>
      <c r="AA983" s="26"/>
    </row>
    <row r="984" spans="8:27" x14ac:dyDescent="0.2">
      <c r="H984" s="26"/>
      <c r="I984" s="26"/>
      <c r="J984" s="26"/>
      <c r="Z984" s="26"/>
      <c r="AA984" s="26"/>
    </row>
    <row r="985" spans="8:27" x14ac:dyDescent="0.2">
      <c r="H985" s="26"/>
      <c r="I985" s="26"/>
      <c r="J985" s="26"/>
      <c r="Z985" s="26"/>
      <c r="AA985" s="26"/>
    </row>
    <row r="986" spans="8:27" x14ac:dyDescent="0.2">
      <c r="H986" s="26"/>
      <c r="I986" s="26"/>
      <c r="J986" s="26"/>
      <c r="Z986" s="26"/>
      <c r="AA986" s="26"/>
    </row>
    <row r="987" spans="8:27" x14ac:dyDescent="0.2">
      <c r="H987" s="26"/>
      <c r="I987" s="26"/>
      <c r="J987" s="26"/>
      <c r="Z987" s="26"/>
      <c r="AA987" s="26"/>
    </row>
    <row r="988" spans="8:27" x14ac:dyDescent="0.2">
      <c r="H988" s="26"/>
      <c r="I988" s="26"/>
      <c r="J988" s="26"/>
      <c r="Z988" s="26"/>
      <c r="AA988" s="26"/>
    </row>
    <row r="989" spans="8:27" x14ac:dyDescent="0.2">
      <c r="H989" s="26"/>
      <c r="I989" s="26"/>
      <c r="J989" s="26"/>
      <c r="Z989" s="26"/>
      <c r="AA989" s="26"/>
    </row>
    <row r="990" spans="8:27" x14ac:dyDescent="0.2">
      <c r="H990" s="26"/>
      <c r="I990" s="26"/>
      <c r="J990" s="26"/>
      <c r="Z990" s="26"/>
      <c r="AA990" s="26"/>
    </row>
    <row r="991" spans="8:27" x14ac:dyDescent="0.2">
      <c r="H991" s="26"/>
      <c r="I991" s="26"/>
      <c r="J991" s="26"/>
      <c r="Z991" s="26"/>
      <c r="AA991" s="26"/>
    </row>
    <row r="992" spans="8:27" x14ac:dyDescent="0.2">
      <c r="H992" s="26"/>
      <c r="I992" s="26"/>
      <c r="J992" s="26"/>
      <c r="Z992" s="26"/>
      <c r="AA992" s="26"/>
    </row>
    <row r="993" spans="8:27" x14ac:dyDescent="0.2">
      <c r="H993" s="26"/>
      <c r="I993" s="26"/>
      <c r="J993" s="26"/>
      <c r="Z993" s="26"/>
      <c r="AA993" s="26"/>
    </row>
    <row r="994" spans="8:27" x14ac:dyDescent="0.2">
      <c r="H994" s="26"/>
      <c r="I994" s="26"/>
      <c r="J994" s="26"/>
      <c r="Z994" s="26"/>
      <c r="AA994" s="26"/>
    </row>
    <row r="995" spans="8:27" x14ac:dyDescent="0.2">
      <c r="H995" s="26"/>
      <c r="I995" s="26"/>
      <c r="J995" s="26"/>
      <c r="Z995" s="26"/>
      <c r="AA995" s="26"/>
    </row>
    <row r="996" spans="8:27" x14ac:dyDescent="0.2">
      <c r="H996" s="26"/>
      <c r="I996" s="26"/>
      <c r="J996" s="26"/>
      <c r="Z996" s="26"/>
      <c r="AA996" s="26"/>
    </row>
    <row r="997" spans="8:27" x14ac:dyDescent="0.2">
      <c r="H997" s="26"/>
      <c r="I997" s="26"/>
      <c r="J997" s="26"/>
      <c r="Z997" s="26"/>
      <c r="AA997" s="26"/>
    </row>
    <row r="998" spans="8:27" x14ac:dyDescent="0.2">
      <c r="H998" s="26"/>
      <c r="I998" s="26"/>
      <c r="J998" s="26"/>
      <c r="Z998" s="26"/>
      <c r="AA998" s="26"/>
    </row>
    <row r="999" spans="8:27" x14ac:dyDescent="0.2">
      <c r="H999" s="26"/>
      <c r="I999" s="26"/>
      <c r="J999" s="26"/>
      <c r="Z999" s="26"/>
      <c r="AA999" s="26"/>
    </row>
    <row r="1000" spans="8:27" x14ac:dyDescent="0.2">
      <c r="H1000" s="26"/>
      <c r="I1000" s="26"/>
      <c r="J1000" s="26"/>
      <c r="Z1000" s="26"/>
      <c r="AA1000" s="26"/>
    </row>
    <row r="1001" spans="8:27" x14ac:dyDescent="0.2">
      <c r="H1001" s="26"/>
      <c r="I1001" s="26"/>
      <c r="J1001" s="26"/>
      <c r="Z1001" s="26"/>
      <c r="AA1001" s="26"/>
    </row>
    <row r="1002" spans="8:27" x14ac:dyDescent="0.2">
      <c r="H1002" s="26"/>
      <c r="I1002" s="26"/>
      <c r="J1002" s="26"/>
      <c r="Z1002" s="26"/>
      <c r="AA1002" s="26"/>
    </row>
    <row r="1003" spans="8:27" x14ac:dyDescent="0.2">
      <c r="H1003" s="26"/>
      <c r="I1003" s="26"/>
      <c r="J1003" s="26"/>
      <c r="Z1003" s="26"/>
      <c r="AA1003" s="26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  <pageSetUpPr fitToPage="1"/>
  </sheetPr>
  <dimension ref="A1:BQ1001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.75" customHeight="1" x14ac:dyDescent="0.2"/>
  <cols>
    <col min="1" max="1" width="6.42578125" customWidth="1"/>
    <col min="2" max="2" width="38.7109375" customWidth="1"/>
    <col min="3" max="3" width="4.42578125" customWidth="1"/>
    <col min="4" max="4" width="8.7109375" hidden="1" customWidth="1"/>
    <col min="5" max="5" width="30.7109375" hidden="1" customWidth="1"/>
    <col min="6" max="6" width="8.28515625" hidden="1" customWidth="1"/>
    <col min="7" max="7" width="29.42578125" hidden="1" customWidth="1"/>
    <col min="8" max="8" width="9.140625" hidden="1" customWidth="1"/>
    <col min="9" max="9" width="9.85546875" hidden="1" customWidth="1"/>
    <col min="10" max="10" width="7.140625" hidden="1" customWidth="1"/>
    <col min="11" max="11" width="10.42578125" customWidth="1"/>
    <col min="12" max="12" width="6.42578125" customWidth="1"/>
    <col min="13" max="13" width="9.28515625" hidden="1" customWidth="1"/>
    <col min="14" max="16" width="11.7109375" hidden="1" customWidth="1"/>
    <col min="17" max="17" width="9.42578125" customWidth="1"/>
    <col min="18" max="19" width="9.28515625" hidden="1" customWidth="1"/>
    <col min="20" max="20" width="12.5703125" hidden="1" customWidth="1"/>
    <col min="21" max="21" width="9.42578125" customWidth="1"/>
    <col min="22" max="22" width="9.28515625" hidden="1" customWidth="1"/>
    <col min="23" max="23" width="11.7109375" hidden="1" customWidth="1"/>
    <col min="24" max="24" width="9.42578125" customWidth="1"/>
    <col min="25" max="25" width="8" customWidth="1"/>
    <col min="26" max="26" width="10.42578125" hidden="1" customWidth="1"/>
    <col min="27" max="27" width="10.42578125" customWidth="1"/>
    <col min="28" max="28" width="13.5703125" hidden="1" customWidth="1"/>
    <col min="29" max="29" width="13.5703125" customWidth="1"/>
    <col min="30" max="30" width="9.42578125" hidden="1" customWidth="1"/>
    <col min="31" max="32" width="10.42578125" hidden="1" customWidth="1"/>
    <col min="33" max="33" width="11.7109375" hidden="1" customWidth="1"/>
    <col min="34" max="34" width="13.28515625" hidden="1" customWidth="1"/>
    <col min="35" max="35" width="9.42578125" hidden="1" customWidth="1"/>
    <col min="36" max="37" width="10.42578125" hidden="1" customWidth="1"/>
    <col min="38" max="38" width="11.7109375" hidden="1" customWidth="1"/>
    <col min="39" max="39" width="13.28515625" hidden="1" customWidth="1"/>
    <col min="40" max="40" width="9.42578125" hidden="1" customWidth="1"/>
    <col min="41" max="42" width="10.42578125" hidden="1" customWidth="1"/>
    <col min="43" max="43" width="11.7109375" hidden="1" customWidth="1"/>
    <col min="44" max="44" width="13.28515625" hidden="1" customWidth="1"/>
    <col min="45" max="45" width="9.42578125" hidden="1" customWidth="1"/>
    <col min="46" max="47" width="10.42578125" hidden="1" customWidth="1"/>
    <col min="48" max="48" width="11.7109375" hidden="1" customWidth="1"/>
    <col min="49" max="49" width="13.28515625" hidden="1" customWidth="1"/>
    <col min="50" max="50" width="9.42578125" hidden="1" customWidth="1"/>
    <col min="51" max="52" width="10.42578125" hidden="1" customWidth="1"/>
    <col min="53" max="53" width="11.7109375" hidden="1" customWidth="1"/>
    <col min="54" max="54" width="13.28515625" hidden="1" customWidth="1"/>
    <col min="55" max="55" width="9.42578125" hidden="1" customWidth="1"/>
    <col min="56" max="57" width="10.42578125" hidden="1" customWidth="1"/>
    <col min="58" max="58" width="11.7109375" hidden="1" customWidth="1"/>
    <col min="59" max="59" width="13.28515625" hidden="1" customWidth="1"/>
    <col min="60" max="60" width="9.42578125" hidden="1" customWidth="1"/>
    <col min="61" max="62" width="10.42578125" hidden="1" customWidth="1"/>
    <col min="63" max="63" width="11.7109375" hidden="1" customWidth="1"/>
    <col min="64" max="64" width="13.28515625" hidden="1" customWidth="1"/>
    <col min="65" max="65" width="9.42578125" hidden="1" customWidth="1"/>
    <col min="66" max="67" width="10.42578125" hidden="1" customWidth="1"/>
    <col min="68" max="68" width="11.7109375" hidden="1" customWidth="1"/>
    <col min="69" max="69" width="13.28515625" hidden="1" customWidth="1"/>
  </cols>
  <sheetData>
    <row r="1" spans="1:69" ht="12.75" x14ac:dyDescent="0.2">
      <c r="A1" s="1"/>
      <c r="B1" s="1"/>
      <c r="C1" s="1"/>
      <c r="D1" s="1"/>
      <c r="E1" s="1"/>
      <c r="F1" s="1"/>
      <c r="G1" s="1"/>
      <c r="H1" s="2"/>
      <c r="I1" s="2"/>
      <c r="J1" s="3" t="e">
        <f t="shared" ref="J1:K1" si="0">SUM(J3:J94)</f>
        <v>#VALUE!</v>
      </c>
      <c r="K1" s="4" t="e">
        <f t="shared" si="0"/>
        <v>#VALUE!</v>
      </c>
      <c r="L1" s="4"/>
      <c r="M1" s="1"/>
      <c r="N1" s="1"/>
      <c r="O1" s="1"/>
      <c r="P1" s="1"/>
      <c r="Q1" s="5" t="e">
        <f>SUM(Q3:Q94)</f>
        <v>#VALUE!</v>
      </c>
      <c r="R1" s="1"/>
      <c r="S1" s="1"/>
      <c r="T1" s="1"/>
      <c r="U1" s="5">
        <f>SUM(U3:U94)</f>
        <v>157</v>
      </c>
      <c r="V1" s="1"/>
      <c r="W1" s="1"/>
      <c r="X1" s="5">
        <f>SUM(X3:X94)</f>
        <v>272</v>
      </c>
      <c r="Y1" s="30" t="e">
        <f>AC1/AA1</f>
        <v>#VALUE!</v>
      </c>
      <c r="Z1" s="31"/>
      <c r="AA1" s="32" t="e">
        <f>SUM(AA3:AA94)</f>
        <v>#VALUE!</v>
      </c>
      <c r="AB1" s="31"/>
      <c r="AC1" s="32" t="e">
        <f>SUM(AC3:AC94)</f>
        <v>#VALUE!</v>
      </c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69" ht="12.75" x14ac:dyDescent="0.2">
      <c r="A2" s="12" t="s">
        <v>0</v>
      </c>
      <c r="B2" s="12" t="s">
        <v>1</v>
      </c>
      <c r="C2" s="12" t="s">
        <v>2</v>
      </c>
      <c r="D2" s="12" t="s">
        <v>4</v>
      </c>
      <c r="E2" s="12" t="s">
        <v>5</v>
      </c>
      <c r="F2" s="12" t="s">
        <v>6</v>
      </c>
      <c r="G2" s="12" t="s">
        <v>7</v>
      </c>
      <c r="H2" s="13" t="s">
        <v>8</v>
      </c>
      <c r="I2" s="13" t="s">
        <v>9</v>
      </c>
      <c r="J2" s="3" t="s">
        <v>10</v>
      </c>
      <c r="K2" s="4" t="s">
        <v>11</v>
      </c>
      <c r="L2" s="4"/>
      <c r="M2" s="12" t="s">
        <v>185</v>
      </c>
      <c r="N2" s="12" t="s">
        <v>186</v>
      </c>
      <c r="O2" s="12" t="s">
        <v>187</v>
      </c>
      <c r="P2" s="12" t="s">
        <v>188</v>
      </c>
      <c r="Q2" s="5" t="s">
        <v>14</v>
      </c>
      <c r="R2" s="12"/>
      <c r="S2" s="12" t="s">
        <v>15</v>
      </c>
      <c r="T2" s="12" t="s">
        <v>16</v>
      </c>
      <c r="U2" s="5" t="s">
        <v>17</v>
      </c>
      <c r="V2" s="12" t="s">
        <v>18</v>
      </c>
      <c r="W2" s="12" t="s">
        <v>19</v>
      </c>
      <c r="X2" s="5" t="s">
        <v>20</v>
      </c>
      <c r="Y2" s="12" t="s">
        <v>21</v>
      </c>
      <c r="Z2" s="13" t="s">
        <v>189</v>
      </c>
      <c r="AA2" s="13" t="s">
        <v>22</v>
      </c>
      <c r="AB2" s="33" t="s">
        <v>190</v>
      </c>
      <c r="AC2" s="13" t="s">
        <v>23</v>
      </c>
      <c r="AD2" s="12" t="s">
        <v>24</v>
      </c>
      <c r="AE2" s="12" t="s">
        <v>25</v>
      </c>
      <c r="AF2" s="12" t="s">
        <v>26</v>
      </c>
      <c r="AG2" s="12" t="s">
        <v>27</v>
      </c>
      <c r="AH2" s="12" t="s">
        <v>28</v>
      </c>
      <c r="AI2" s="12" t="s">
        <v>29</v>
      </c>
      <c r="AJ2" s="12" t="s">
        <v>30</v>
      </c>
      <c r="AK2" s="12" t="s">
        <v>31</v>
      </c>
      <c r="AL2" s="12" t="s">
        <v>32</v>
      </c>
      <c r="AM2" s="12" t="s">
        <v>33</v>
      </c>
      <c r="AN2" s="12" t="s">
        <v>34</v>
      </c>
      <c r="AO2" s="12" t="s">
        <v>35</v>
      </c>
      <c r="AP2" s="12" t="s">
        <v>36</v>
      </c>
      <c r="AQ2" s="12" t="s">
        <v>37</v>
      </c>
      <c r="AR2" s="12" t="s">
        <v>38</v>
      </c>
      <c r="AS2" s="12" t="s">
        <v>39</v>
      </c>
      <c r="AT2" s="12" t="s">
        <v>40</v>
      </c>
      <c r="AU2" s="12" t="s">
        <v>41</v>
      </c>
      <c r="AV2" s="12" t="s">
        <v>42</v>
      </c>
      <c r="AW2" s="12" t="s">
        <v>43</v>
      </c>
      <c r="AX2" s="12" t="s">
        <v>44</v>
      </c>
      <c r="AY2" s="12" t="s">
        <v>45</v>
      </c>
      <c r="AZ2" s="12" t="s">
        <v>46</v>
      </c>
      <c r="BA2" s="12" t="s">
        <v>47</v>
      </c>
      <c r="BB2" s="12" t="s">
        <v>48</v>
      </c>
      <c r="BC2" s="12" t="s">
        <v>49</v>
      </c>
      <c r="BD2" s="12" t="s">
        <v>50</v>
      </c>
      <c r="BE2" s="12" t="s">
        <v>51</v>
      </c>
      <c r="BF2" s="12" t="s">
        <v>52</v>
      </c>
      <c r="BG2" s="12" t="s">
        <v>53</v>
      </c>
      <c r="BH2" s="12" t="s">
        <v>54</v>
      </c>
      <c r="BI2" s="12" t="s">
        <v>55</v>
      </c>
      <c r="BJ2" s="12" t="s">
        <v>56</v>
      </c>
      <c r="BK2" s="12" t="s">
        <v>57</v>
      </c>
      <c r="BL2" s="12" t="s">
        <v>58</v>
      </c>
      <c r="BM2" s="12" t="s">
        <v>59</v>
      </c>
      <c r="BN2" s="12" t="s">
        <v>60</v>
      </c>
      <c r="BO2" s="12" t="s">
        <v>61</v>
      </c>
      <c r="BP2" s="12" t="s">
        <v>62</v>
      </c>
      <c r="BQ2" s="12" t="s">
        <v>63</v>
      </c>
    </row>
    <row r="3" spans="1:69" ht="12.75" x14ac:dyDescent="0.2">
      <c r="A3" s="1">
        <v>47001</v>
      </c>
      <c r="B3" s="1" t="s">
        <v>65</v>
      </c>
      <c r="C3" s="1">
        <v>16</v>
      </c>
      <c r="D3" s="1">
        <v>677</v>
      </c>
      <c r="E3" s="1" t="s">
        <v>64</v>
      </c>
      <c r="F3" s="1">
        <v>61</v>
      </c>
      <c r="G3" s="1" t="s">
        <v>66</v>
      </c>
      <c r="H3" s="2">
        <v>56.590200000000003</v>
      </c>
      <c r="I3" s="2">
        <v>905.44320000000005</v>
      </c>
      <c r="J3" s="14">
        <f t="shared" ref="J3:J94" si="1">K3*I3</f>
        <v>108653.18400000001</v>
      </c>
      <c r="K3" s="21">
        <f t="shared" ref="K3:K94" si="2">SUM(Q3+U3+X3)</f>
        <v>120</v>
      </c>
      <c r="L3" s="19">
        <v>6</v>
      </c>
      <c r="M3" s="1">
        <v>29.78</v>
      </c>
      <c r="N3" s="1">
        <f>IFERROR(VLOOKUP(A3:A94,'140726 ph k.'!$A$64:$S$80,19,FALSE),"")</f>
        <v>6.3</v>
      </c>
      <c r="O3" s="1">
        <f>IFERROR(VLOOKUP(A3:A94,'140726 ph k.'!$A$7:$H$60,8,FALSE),"")</f>
        <v>6</v>
      </c>
      <c r="P3" s="1">
        <f>IFERROR(VLOOKUP(A3:A94,'140726 ph k.'!$A$64:$N$80,14,FALSE),"")</f>
        <v>0.38</v>
      </c>
      <c r="Q3" s="5">
        <v>40</v>
      </c>
      <c r="R3" s="1"/>
      <c r="S3" s="1">
        <v>64.09</v>
      </c>
      <c r="T3" s="1">
        <v>44.31</v>
      </c>
      <c r="U3" s="5">
        <v>20</v>
      </c>
      <c r="V3" s="1">
        <v>70.66</v>
      </c>
      <c r="W3" s="1">
        <v>2.12</v>
      </c>
      <c r="X3" s="5">
        <v>60</v>
      </c>
      <c r="Y3" s="1">
        <v>0</v>
      </c>
      <c r="Z3" s="34">
        <f t="shared" ref="Z3:Z94" si="3">M3+N3+S3+V3</f>
        <v>170.82999999999998</v>
      </c>
      <c r="AA3" s="18">
        <f t="shared" ref="AA3:AA94" si="4">Z3*I3</f>
        <v>154676.861856</v>
      </c>
      <c r="AB3" s="34">
        <f t="shared" ref="AB3:AB94" si="5">P3+T3+W3</f>
        <v>46.81</v>
      </c>
      <c r="AC3" s="2">
        <f t="shared" ref="AC3:AC94" si="6">AB3*I3</f>
        <v>42383.796192000002</v>
      </c>
      <c r="AD3" s="1">
        <v>0</v>
      </c>
      <c r="AE3" s="1">
        <v>222</v>
      </c>
      <c r="AF3" s="1">
        <v>249</v>
      </c>
      <c r="AG3" s="1">
        <v>233</v>
      </c>
      <c r="AH3" s="1">
        <v>271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338</v>
      </c>
      <c r="AY3" s="1">
        <v>285</v>
      </c>
      <c r="AZ3" s="1">
        <v>346</v>
      </c>
      <c r="BA3" s="1">
        <v>398</v>
      </c>
      <c r="BB3" s="1">
        <v>709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394</v>
      </c>
      <c r="BI3" s="1">
        <v>209</v>
      </c>
      <c r="BJ3" s="1">
        <v>385</v>
      </c>
      <c r="BK3" s="1">
        <v>494</v>
      </c>
      <c r="BL3" s="1">
        <v>34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</row>
    <row r="4" spans="1:69" ht="12.75" x14ac:dyDescent="0.2">
      <c r="A4" s="1">
        <v>47005</v>
      </c>
      <c r="B4" s="1" t="s">
        <v>68</v>
      </c>
      <c r="C4" s="1">
        <v>24</v>
      </c>
      <c r="D4" s="1">
        <v>677</v>
      </c>
      <c r="E4" s="1" t="s">
        <v>64</v>
      </c>
      <c r="F4" s="1">
        <v>61</v>
      </c>
      <c r="G4" s="1" t="s">
        <v>66</v>
      </c>
      <c r="H4" s="2">
        <v>22.315999999999999</v>
      </c>
      <c r="I4" s="2">
        <v>535.58399999999995</v>
      </c>
      <c r="J4" s="14">
        <f t="shared" si="1"/>
        <v>32135.039999999997</v>
      </c>
      <c r="K4" s="21">
        <f t="shared" si="2"/>
        <v>60</v>
      </c>
      <c r="L4" s="19">
        <v>6</v>
      </c>
      <c r="M4" s="1">
        <v>14.35</v>
      </c>
      <c r="N4" s="1">
        <f>IFERROR(VLOOKUP(A4:A95,'140726 ph k.'!$A$64:$S$80,19,FALSE),"")</f>
        <v>3.9</v>
      </c>
      <c r="O4" s="1">
        <f>IFERROR(VLOOKUP(A4:A95,'140726 ph k.'!$A$7:$H$60,8,FALSE),"")</f>
        <v>0</v>
      </c>
      <c r="P4" s="1">
        <f>IFERROR(VLOOKUP(A4:A95,'140726 ph k.'!$A$64:$N$80,14,FALSE),"")</f>
        <v>0</v>
      </c>
      <c r="Q4" s="5">
        <v>20</v>
      </c>
      <c r="R4" s="1"/>
      <c r="S4" s="1">
        <v>57.79</v>
      </c>
      <c r="T4" s="1">
        <v>32.67</v>
      </c>
      <c r="U4" s="5">
        <v>20</v>
      </c>
      <c r="V4" s="1">
        <v>53.6</v>
      </c>
      <c r="W4" s="1">
        <v>26.71</v>
      </c>
      <c r="X4" s="5">
        <v>20</v>
      </c>
      <c r="Y4" s="1">
        <v>0</v>
      </c>
      <c r="Z4" s="34">
        <f t="shared" si="3"/>
        <v>129.63999999999999</v>
      </c>
      <c r="AA4" s="18">
        <f t="shared" si="4"/>
        <v>69433.109759999992</v>
      </c>
      <c r="AB4" s="34">
        <f t="shared" si="5"/>
        <v>59.38</v>
      </c>
      <c r="AC4" s="2">
        <f t="shared" si="6"/>
        <v>31802.977919999998</v>
      </c>
      <c r="AD4" s="1">
        <v>0</v>
      </c>
      <c r="AE4" s="1">
        <v>107</v>
      </c>
      <c r="AF4" s="1">
        <v>169</v>
      </c>
      <c r="AG4" s="1">
        <v>244</v>
      </c>
      <c r="AH4" s="1">
        <v>6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481</v>
      </c>
      <c r="AY4" s="1">
        <v>401</v>
      </c>
      <c r="AZ4" s="1">
        <v>485</v>
      </c>
      <c r="BA4" s="1">
        <v>441</v>
      </c>
      <c r="BB4" s="1">
        <v>784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415</v>
      </c>
      <c r="BI4" s="1">
        <v>164</v>
      </c>
      <c r="BJ4" s="1">
        <v>534</v>
      </c>
      <c r="BK4" s="1">
        <v>511</v>
      </c>
      <c r="BL4" s="1">
        <v>641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</row>
    <row r="5" spans="1:69" ht="12.75" x14ac:dyDescent="0.2">
      <c r="A5" s="1">
        <v>47010</v>
      </c>
      <c r="B5" s="1" t="s">
        <v>71</v>
      </c>
      <c r="C5" s="1">
        <v>24</v>
      </c>
      <c r="D5" s="1">
        <v>677</v>
      </c>
      <c r="E5" s="1" t="s">
        <v>64</v>
      </c>
      <c r="F5" s="1">
        <v>61</v>
      </c>
      <c r="G5" s="1" t="s">
        <v>66</v>
      </c>
      <c r="H5" s="2">
        <v>48.56</v>
      </c>
      <c r="I5" s="2">
        <v>1165.44</v>
      </c>
      <c r="J5" s="14">
        <f t="shared" si="1"/>
        <v>58272</v>
      </c>
      <c r="K5" s="21">
        <f t="shared" si="2"/>
        <v>50</v>
      </c>
      <c r="L5" s="19">
        <v>5</v>
      </c>
      <c r="M5" s="1">
        <v>16.420000000000002</v>
      </c>
      <c r="N5" s="1">
        <f>IFERROR(VLOOKUP(A5:A96,'140726 ph k.'!$A$64:$S$80,19,FALSE),"")</f>
        <v>2.5</v>
      </c>
      <c r="O5" s="1">
        <f>IFERROR(VLOOKUP(A5:A96,'140726 ph k.'!$A$7:$H$60,8,FALSE),"")</f>
        <v>126</v>
      </c>
      <c r="P5" s="35">
        <f>IFERROR(VLOOKUP(A5:A96,'140726 ph k.'!$A$64:$N$80,14,FALSE),"")</f>
        <v>5.25</v>
      </c>
      <c r="Q5" s="5">
        <v>20</v>
      </c>
      <c r="R5" s="1"/>
      <c r="S5" s="1">
        <v>27.96</v>
      </c>
      <c r="T5" s="1">
        <v>20.79</v>
      </c>
      <c r="U5" s="5">
        <v>10</v>
      </c>
      <c r="V5" s="1">
        <v>27.29</v>
      </c>
      <c r="W5" s="1">
        <v>3.92</v>
      </c>
      <c r="X5" s="5">
        <v>20</v>
      </c>
      <c r="Y5" s="1">
        <v>0</v>
      </c>
      <c r="Z5" s="34">
        <f t="shared" si="3"/>
        <v>74.17</v>
      </c>
      <c r="AA5" s="18">
        <f t="shared" si="4"/>
        <v>86440.684800000003</v>
      </c>
      <c r="AB5" s="34">
        <f t="shared" si="5"/>
        <v>29.96</v>
      </c>
      <c r="AC5" s="2">
        <f t="shared" si="6"/>
        <v>34916.582399999999</v>
      </c>
      <c r="AD5" s="1">
        <v>0</v>
      </c>
      <c r="AE5" s="1">
        <v>110</v>
      </c>
      <c r="AF5" s="1">
        <v>263</v>
      </c>
      <c r="AG5" s="1">
        <v>152</v>
      </c>
      <c r="AH5" s="1">
        <v>88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287</v>
      </c>
      <c r="AY5" s="1">
        <v>128</v>
      </c>
      <c r="AZ5" s="1">
        <v>212</v>
      </c>
      <c r="BA5" s="1">
        <v>216</v>
      </c>
      <c r="BB5" s="1">
        <v>499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216</v>
      </c>
      <c r="BI5" s="1">
        <v>142</v>
      </c>
      <c r="BJ5" s="1">
        <v>236</v>
      </c>
      <c r="BK5" s="1">
        <v>264</v>
      </c>
      <c r="BL5" s="1">
        <v>94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</row>
    <row r="6" spans="1:69" ht="12.75" x14ac:dyDescent="0.2">
      <c r="A6" s="1">
        <v>47012</v>
      </c>
      <c r="B6" s="1" t="s">
        <v>74</v>
      </c>
      <c r="C6" s="1">
        <v>18</v>
      </c>
      <c r="D6" s="1">
        <v>677</v>
      </c>
      <c r="E6" s="1" t="s">
        <v>64</v>
      </c>
      <c r="F6" s="1">
        <v>61</v>
      </c>
      <c r="G6" s="1" t="s">
        <v>66</v>
      </c>
      <c r="H6" s="2">
        <v>58.837899999999998</v>
      </c>
      <c r="I6" s="2">
        <v>1059.0822000000001</v>
      </c>
      <c r="J6" s="14">
        <f t="shared" si="1"/>
        <v>52954.11</v>
      </c>
      <c r="K6" s="36">
        <f t="shared" si="2"/>
        <v>50</v>
      </c>
      <c r="L6" s="37">
        <v>2</v>
      </c>
      <c r="M6" s="1">
        <v>12.19</v>
      </c>
      <c r="N6" s="1">
        <f>IFERROR(VLOOKUP(A6:A97,'140726 ph k.'!$A$64:$S$80,19,FALSE),"")</f>
        <v>2.5</v>
      </c>
      <c r="O6" s="1">
        <f>IFERROR(VLOOKUP(A6:A97,'140726 ph k.'!$A$7:$H$60,8,FALSE),"")</f>
        <v>377</v>
      </c>
      <c r="P6" s="35">
        <f>IFERROR(VLOOKUP(A6:A97,'140726 ph k.'!$A$64:$N$80,14,FALSE),"")</f>
        <v>20.94</v>
      </c>
      <c r="Q6" s="17">
        <f>MAX(0,(TRUNC((M6+N6*0.8)-P6)))</f>
        <v>0</v>
      </c>
      <c r="R6" s="1"/>
      <c r="S6" s="1">
        <v>37.89</v>
      </c>
      <c r="T6" s="1">
        <v>7.94</v>
      </c>
      <c r="U6" s="5">
        <v>25</v>
      </c>
      <c r="V6" s="1">
        <v>23.33</v>
      </c>
      <c r="W6" s="1">
        <v>1.5</v>
      </c>
      <c r="X6" s="5">
        <v>25</v>
      </c>
      <c r="Y6" s="1">
        <v>0</v>
      </c>
      <c r="Z6" s="34">
        <f t="shared" si="3"/>
        <v>75.91</v>
      </c>
      <c r="AA6" s="18">
        <f t="shared" si="4"/>
        <v>80394.929801999999</v>
      </c>
      <c r="AB6" s="34">
        <f t="shared" si="5"/>
        <v>30.380000000000003</v>
      </c>
      <c r="AC6" s="2">
        <f t="shared" si="6"/>
        <v>32174.917236000005</v>
      </c>
      <c r="AD6" s="1">
        <v>0</v>
      </c>
      <c r="AE6" s="1">
        <v>128</v>
      </c>
      <c r="AF6" s="1">
        <v>127</v>
      </c>
      <c r="AG6" s="1">
        <v>57</v>
      </c>
      <c r="AH6" s="1">
        <v>140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207</v>
      </c>
      <c r="AY6" s="1">
        <v>173</v>
      </c>
      <c r="AZ6" s="1">
        <v>280</v>
      </c>
      <c r="BA6" s="1">
        <v>217</v>
      </c>
      <c r="BB6" s="1">
        <v>143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124</v>
      </c>
      <c r="BI6" s="1">
        <v>113</v>
      </c>
      <c r="BJ6" s="1">
        <v>136</v>
      </c>
      <c r="BK6" s="1">
        <v>207</v>
      </c>
      <c r="BL6" s="1">
        <v>27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</row>
    <row r="7" spans="1:69" ht="12.75" x14ac:dyDescent="0.2">
      <c r="A7" s="1">
        <v>47002</v>
      </c>
      <c r="B7" s="1" t="s">
        <v>89</v>
      </c>
      <c r="C7" s="1">
        <v>24</v>
      </c>
      <c r="D7" s="1">
        <v>677</v>
      </c>
      <c r="E7" s="1" t="s">
        <v>64</v>
      </c>
      <c r="F7" s="1">
        <v>61</v>
      </c>
      <c r="G7" s="1" t="s">
        <v>66</v>
      </c>
      <c r="H7" s="2">
        <v>22.315999999999999</v>
      </c>
      <c r="I7" s="2">
        <v>535.58399999999995</v>
      </c>
      <c r="J7" s="14">
        <f t="shared" si="1"/>
        <v>21423.359999999997</v>
      </c>
      <c r="K7" s="15">
        <f t="shared" si="2"/>
        <v>40</v>
      </c>
      <c r="L7" s="15"/>
      <c r="M7" s="1">
        <v>10.98</v>
      </c>
      <c r="N7" s="1">
        <f>IFERROR(VLOOKUP(A7:A98,'140726 ph k.'!$A$64:$S$80,19,FALSE),"")</f>
        <v>2.5</v>
      </c>
      <c r="O7" s="1">
        <f>IFERROR(VLOOKUP(A7:A98,'140726 ph k.'!$A$7:$H$60,8,FALSE),"")</f>
        <v>165</v>
      </c>
      <c r="P7" s="35">
        <f>IFERROR(VLOOKUP(A7:A98,'140726 ph k.'!$A$64:$N$80,14,FALSE),"")</f>
        <v>6.88</v>
      </c>
      <c r="Q7" s="5">
        <v>20</v>
      </c>
      <c r="R7" s="1"/>
      <c r="S7" s="1">
        <v>9.73</v>
      </c>
      <c r="T7" s="1">
        <v>10.119999999999999</v>
      </c>
      <c r="U7" s="17">
        <f>MAX(0,(TRUNC((S7*0.8)-T7)))</f>
        <v>0</v>
      </c>
      <c r="V7" s="1">
        <v>7.25</v>
      </c>
      <c r="W7" s="1">
        <v>0</v>
      </c>
      <c r="X7" s="5">
        <v>20</v>
      </c>
      <c r="Y7" s="1">
        <v>0</v>
      </c>
      <c r="Z7" s="34">
        <f t="shared" si="3"/>
        <v>30.46</v>
      </c>
      <c r="AA7" s="18">
        <f t="shared" si="4"/>
        <v>16313.888639999999</v>
      </c>
      <c r="AB7" s="34">
        <f t="shared" si="5"/>
        <v>17</v>
      </c>
      <c r="AC7" s="2">
        <f t="shared" si="6"/>
        <v>9104.9279999999999</v>
      </c>
      <c r="AD7" s="1">
        <v>0</v>
      </c>
      <c r="AE7" s="1">
        <v>69</v>
      </c>
      <c r="AF7" s="1">
        <v>198</v>
      </c>
      <c r="AG7" s="1">
        <v>62</v>
      </c>
      <c r="AH7" s="1">
        <v>1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86</v>
      </c>
      <c r="AY7" s="1">
        <v>110</v>
      </c>
      <c r="AZ7" s="1">
        <v>70</v>
      </c>
      <c r="BA7" s="1">
        <v>45</v>
      </c>
      <c r="BB7" s="1">
        <v>243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5</v>
      </c>
      <c r="BI7" s="1">
        <v>22</v>
      </c>
      <c r="BJ7" s="1">
        <v>131</v>
      </c>
      <c r="BK7" s="1">
        <v>54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</row>
    <row r="8" spans="1:69" ht="12.75" x14ac:dyDescent="0.2">
      <c r="A8" s="1">
        <v>47038</v>
      </c>
      <c r="B8" s="1" t="s">
        <v>90</v>
      </c>
      <c r="C8" s="1">
        <v>28</v>
      </c>
      <c r="D8" s="1">
        <v>677</v>
      </c>
      <c r="E8" s="1" t="s">
        <v>64</v>
      </c>
      <c r="F8" s="1">
        <v>61</v>
      </c>
      <c r="G8" s="1" t="s">
        <v>66</v>
      </c>
      <c r="H8" s="2">
        <v>26.59</v>
      </c>
      <c r="I8" s="2">
        <v>744.52</v>
      </c>
      <c r="J8" s="14">
        <f t="shared" si="1"/>
        <v>18613</v>
      </c>
      <c r="K8" s="21">
        <f t="shared" si="2"/>
        <v>25</v>
      </c>
      <c r="L8" s="15"/>
      <c r="M8" s="1">
        <v>4.62</v>
      </c>
      <c r="N8" s="1">
        <f>IFERROR(VLOOKUP(A8:A99,'140726 ph k.'!$A$64:$S$80,19,FALSE),"")</f>
        <v>0.5</v>
      </c>
      <c r="O8" s="1">
        <f>IFERROR(VLOOKUP(A8:A99,'140726 ph k.'!$A$7:$H$60,8,FALSE),"")</f>
        <v>400</v>
      </c>
      <c r="P8" s="35">
        <f>IFERROR(VLOOKUP(A8:A99,'140726 ph k.'!$A$64:$N$80,14,FALSE),"")</f>
        <v>14.29</v>
      </c>
      <c r="Q8" s="17">
        <f t="shared" ref="Q8:Q10" si="7">MAX(0,(TRUNC((M8+N8*0.8)-P8)))</f>
        <v>0</v>
      </c>
      <c r="R8" s="1"/>
      <c r="S8" s="1">
        <v>20.54</v>
      </c>
      <c r="T8" s="1">
        <v>3.61</v>
      </c>
      <c r="U8" s="5">
        <v>15</v>
      </c>
      <c r="V8" s="1">
        <v>11.16</v>
      </c>
      <c r="W8" s="1">
        <v>0</v>
      </c>
      <c r="X8" s="5">
        <v>10</v>
      </c>
      <c r="Y8" s="1">
        <v>0</v>
      </c>
      <c r="Z8" s="34">
        <f t="shared" si="3"/>
        <v>36.82</v>
      </c>
      <c r="AA8" s="18">
        <f t="shared" si="4"/>
        <v>27413.2264</v>
      </c>
      <c r="AB8" s="34">
        <f t="shared" si="5"/>
        <v>17.899999999999999</v>
      </c>
      <c r="AC8" s="2">
        <f t="shared" si="6"/>
        <v>13326.907999999999</v>
      </c>
      <c r="AD8" s="1">
        <v>0</v>
      </c>
      <c r="AE8" s="1">
        <v>25</v>
      </c>
      <c r="AF8" s="1">
        <v>75</v>
      </c>
      <c r="AG8" s="1">
        <v>84</v>
      </c>
      <c r="AH8" s="1">
        <v>-1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286</v>
      </c>
      <c r="AY8" s="1">
        <v>75</v>
      </c>
      <c r="AZ8" s="1">
        <v>157</v>
      </c>
      <c r="BA8" s="1">
        <v>189</v>
      </c>
      <c r="BB8" s="1">
        <v>101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48</v>
      </c>
      <c r="BI8" s="1">
        <v>98</v>
      </c>
      <c r="BJ8" s="1">
        <v>101</v>
      </c>
      <c r="BK8" s="1">
        <v>229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</row>
    <row r="9" spans="1:69" ht="12.75" x14ac:dyDescent="0.2">
      <c r="A9" s="1">
        <v>47023</v>
      </c>
      <c r="B9" s="1" t="s">
        <v>76</v>
      </c>
      <c r="C9" s="1">
        <v>8</v>
      </c>
      <c r="D9" s="1">
        <v>677</v>
      </c>
      <c r="E9" s="1" t="s">
        <v>64</v>
      </c>
      <c r="F9" s="1">
        <v>61</v>
      </c>
      <c r="G9" s="1" t="s">
        <v>66</v>
      </c>
      <c r="H9" s="2">
        <v>105.55</v>
      </c>
      <c r="I9" s="2">
        <v>844.4</v>
      </c>
      <c r="J9" s="14">
        <f t="shared" si="1"/>
        <v>16888</v>
      </c>
      <c r="K9" s="21">
        <f t="shared" si="2"/>
        <v>20</v>
      </c>
      <c r="L9" s="15"/>
      <c r="M9" s="1">
        <v>10.94</v>
      </c>
      <c r="N9" s="1">
        <f>IFERROR(VLOOKUP(A9:A100,'140726 ph k.'!$A$64:$S$80,19,FALSE),"")</f>
        <v>2</v>
      </c>
      <c r="O9" s="1">
        <f>IFERROR(VLOOKUP(A9:A100,'140726 ph k.'!$A$7:$H$60,8,FALSE),"")</f>
        <v>241</v>
      </c>
      <c r="P9" s="35">
        <f>IFERROR(VLOOKUP(A9:A100,'140726 ph k.'!$A$64:$N$80,14,FALSE),"")</f>
        <v>30.13</v>
      </c>
      <c r="Q9" s="17">
        <f t="shared" si="7"/>
        <v>0</v>
      </c>
      <c r="R9" s="1"/>
      <c r="S9" s="1">
        <v>32</v>
      </c>
      <c r="T9" s="1">
        <v>26</v>
      </c>
      <c r="U9" s="17">
        <f>MAX(0,(TRUNC((S9*0.8)-T9)))</f>
        <v>0</v>
      </c>
      <c r="V9" s="1">
        <v>24.5</v>
      </c>
      <c r="W9" s="1">
        <v>0</v>
      </c>
      <c r="X9" s="5">
        <v>20</v>
      </c>
      <c r="Y9" s="1">
        <v>0</v>
      </c>
      <c r="Z9" s="34">
        <f t="shared" si="3"/>
        <v>69.44</v>
      </c>
      <c r="AA9" s="18">
        <f t="shared" si="4"/>
        <v>58635.135999999999</v>
      </c>
      <c r="AB9" s="34">
        <f t="shared" si="5"/>
        <v>56.129999999999995</v>
      </c>
      <c r="AC9" s="2">
        <f t="shared" si="6"/>
        <v>47396.171999999991</v>
      </c>
      <c r="AD9" s="1">
        <v>0</v>
      </c>
      <c r="AE9" s="1">
        <v>16</v>
      </c>
      <c r="AF9" s="1">
        <v>33</v>
      </c>
      <c r="AG9" s="1">
        <v>93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133</v>
      </c>
      <c r="AY9" s="1">
        <v>60</v>
      </c>
      <c r="AZ9" s="1">
        <v>32</v>
      </c>
      <c r="BA9" s="1">
        <v>122</v>
      </c>
      <c r="BB9" s="1">
        <v>208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48</v>
      </c>
      <c r="BI9" s="1">
        <v>87</v>
      </c>
      <c r="BJ9" s="1">
        <v>53</v>
      </c>
      <c r="BK9" s="1">
        <v>103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</row>
    <row r="10" spans="1:69" ht="12.75" x14ac:dyDescent="0.2">
      <c r="A10" s="1">
        <v>47039</v>
      </c>
      <c r="B10" s="1" t="s">
        <v>79</v>
      </c>
      <c r="C10" s="1">
        <v>24</v>
      </c>
      <c r="D10" s="1">
        <v>677</v>
      </c>
      <c r="E10" s="1" t="s">
        <v>64</v>
      </c>
      <c r="F10" s="1">
        <v>61</v>
      </c>
      <c r="G10" s="1" t="s">
        <v>66</v>
      </c>
      <c r="H10" s="2">
        <v>52.259</v>
      </c>
      <c r="I10" s="2">
        <v>1254.2159999999999</v>
      </c>
      <c r="J10" s="14">
        <f t="shared" si="1"/>
        <v>25084.32</v>
      </c>
      <c r="K10" s="15">
        <f t="shared" si="2"/>
        <v>20</v>
      </c>
      <c r="L10" s="15"/>
      <c r="M10" s="1">
        <v>3.27</v>
      </c>
      <c r="N10" s="1">
        <f>IFERROR(VLOOKUP(A10:A101,'140726 ph k.'!$A$64:$S$80,19,FALSE),"")</f>
        <v>1.1000000000000001</v>
      </c>
      <c r="O10" s="1">
        <f>IFERROR(VLOOKUP(A10:A101,'140726 ph k.'!$A$7:$H$60,8,FALSE),"")</f>
        <v>439</v>
      </c>
      <c r="P10" s="35">
        <f>IFERROR(VLOOKUP(A10:A101,'140726 ph k.'!$A$64:$N$80,14,FALSE),"")</f>
        <v>18.29</v>
      </c>
      <c r="Q10" s="17">
        <f t="shared" si="7"/>
        <v>0</v>
      </c>
      <c r="R10" s="1"/>
      <c r="S10" s="1">
        <v>16.690000000000001</v>
      </c>
      <c r="T10" s="1">
        <v>10.67</v>
      </c>
      <c r="U10" s="5">
        <v>20</v>
      </c>
      <c r="V10" s="1">
        <v>9.02</v>
      </c>
      <c r="W10" s="1">
        <v>14.46</v>
      </c>
      <c r="X10" s="17">
        <f>MAX(0,(TRUNC((V10*0.8)-W10)))</f>
        <v>0</v>
      </c>
      <c r="Y10" s="1">
        <v>0</v>
      </c>
      <c r="Z10" s="34">
        <f t="shared" si="3"/>
        <v>30.080000000000002</v>
      </c>
      <c r="AA10" s="18">
        <f t="shared" si="4"/>
        <v>37726.817279999996</v>
      </c>
      <c r="AB10" s="34">
        <f t="shared" si="5"/>
        <v>43.42</v>
      </c>
      <c r="AC10" s="2">
        <f t="shared" si="6"/>
        <v>54458.058720000001</v>
      </c>
      <c r="AD10" s="1">
        <v>0</v>
      </c>
      <c r="AE10" s="1">
        <v>5</v>
      </c>
      <c r="AF10" s="1">
        <v>60</v>
      </c>
      <c r="AG10" s="1">
        <v>32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142</v>
      </c>
      <c r="AY10" s="1">
        <v>74</v>
      </c>
      <c r="AZ10" s="1">
        <v>128</v>
      </c>
      <c r="BA10" s="1">
        <v>187</v>
      </c>
      <c r="BB10" s="1">
        <v>256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133</v>
      </c>
      <c r="BI10" s="1">
        <v>2</v>
      </c>
      <c r="BJ10" s="1">
        <v>65</v>
      </c>
      <c r="BK10" s="1">
        <v>35</v>
      </c>
      <c r="BL10" s="1">
        <v>347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</row>
    <row r="11" spans="1:69" ht="12.75" x14ac:dyDescent="0.2">
      <c r="A11" s="1">
        <v>10703</v>
      </c>
      <c r="B11" s="1" t="s">
        <v>82</v>
      </c>
      <c r="C11" s="1">
        <v>12</v>
      </c>
      <c r="D11" s="1">
        <v>677</v>
      </c>
      <c r="E11" s="1" t="s">
        <v>64</v>
      </c>
      <c r="F11" s="1">
        <v>542</v>
      </c>
      <c r="G11" s="1" t="s">
        <v>84</v>
      </c>
      <c r="H11" s="2">
        <v>133.74420000000001</v>
      </c>
      <c r="I11" s="2">
        <v>1604.9304</v>
      </c>
      <c r="J11" s="14">
        <f t="shared" si="1"/>
        <v>32098.608</v>
      </c>
      <c r="K11" s="36">
        <f t="shared" si="2"/>
        <v>20</v>
      </c>
      <c r="L11" s="4" t="s">
        <v>191</v>
      </c>
      <c r="M11" s="1">
        <v>3.88</v>
      </c>
      <c r="N11" s="1" t="str">
        <f>IFERROR(VLOOKUP(A11:A102,'140726 ph k.'!$A$64:$S$80,19,FALSE),"")</f>
        <v/>
      </c>
      <c r="O11" s="1">
        <f>IFERROR(VLOOKUP(A11:A102,'140726 ph k.'!$A$7:$H$60,8,FALSE),"")</f>
        <v>60</v>
      </c>
      <c r="P11" s="1" t="str">
        <f>IFERROR(VLOOKUP(A11:A102,'140726 ph k.'!$A$64:$N$80,14,FALSE),"")</f>
        <v/>
      </c>
      <c r="Q11" s="5">
        <v>5</v>
      </c>
      <c r="R11" s="1"/>
      <c r="S11" s="1">
        <v>8.25</v>
      </c>
      <c r="T11" s="1">
        <v>1.92</v>
      </c>
      <c r="U11" s="5">
        <v>5</v>
      </c>
      <c r="V11" s="1">
        <v>7.5</v>
      </c>
      <c r="W11" s="1">
        <v>0</v>
      </c>
      <c r="X11" s="5">
        <v>10</v>
      </c>
      <c r="Y11" s="1">
        <v>0</v>
      </c>
      <c r="Z11" s="34" t="e">
        <f t="shared" si="3"/>
        <v>#VALUE!</v>
      </c>
      <c r="AA11" s="18" t="e">
        <f t="shared" si="4"/>
        <v>#VALUE!</v>
      </c>
      <c r="AB11" s="34" t="e">
        <f t="shared" si="5"/>
        <v>#VALUE!</v>
      </c>
      <c r="AC11" s="2" t="e">
        <f t="shared" si="6"/>
        <v>#VALUE!</v>
      </c>
      <c r="AD11" s="1">
        <v>0</v>
      </c>
      <c r="AE11" s="1">
        <v>18</v>
      </c>
      <c r="AF11" s="1">
        <v>23</v>
      </c>
      <c r="AG11" s="1">
        <v>29</v>
      </c>
      <c r="AH11" s="1">
        <v>-4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37</v>
      </c>
      <c r="AY11" s="1">
        <v>24</v>
      </c>
      <c r="AZ11" s="1">
        <v>27</v>
      </c>
      <c r="BA11" s="1">
        <v>46</v>
      </c>
      <c r="BB11" s="1">
        <v>23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52</v>
      </c>
      <c r="BK11" s="1">
        <v>76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</row>
    <row r="12" spans="1:69" ht="12.75" x14ac:dyDescent="0.2">
      <c r="A12" s="1">
        <v>47003</v>
      </c>
      <c r="B12" s="1" t="s">
        <v>91</v>
      </c>
      <c r="C12" s="1">
        <v>24</v>
      </c>
      <c r="D12" s="1">
        <v>677</v>
      </c>
      <c r="E12" s="1" t="s">
        <v>64</v>
      </c>
      <c r="F12" s="1">
        <v>61</v>
      </c>
      <c r="G12" s="1" t="s">
        <v>66</v>
      </c>
      <c r="H12" s="2">
        <v>22.315999999999999</v>
      </c>
      <c r="I12" s="2">
        <v>535.58399999999995</v>
      </c>
      <c r="J12" s="14">
        <f t="shared" si="1"/>
        <v>10711.679999999998</v>
      </c>
      <c r="K12" s="15">
        <f t="shared" si="2"/>
        <v>20</v>
      </c>
      <c r="L12" s="15"/>
      <c r="M12" s="1">
        <v>5.33</v>
      </c>
      <c r="N12" s="1">
        <f>IFERROR(VLOOKUP(A12:A103,'140726 ph k.'!$A$64:$S$80,19,FALSE),"")</f>
        <v>2.6</v>
      </c>
      <c r="O12" s="1">
        <f>IFERROR(VLOOKUP(A12:A103,'140726 ph k.'!$A$7:$H$60,8,FALSE),"")</f>
        <v>207</v>
      </c>
      <c r="P12" s="35">
        <f>IFERROR(VLOOKUP(A12:A103,'140726 ph k.'!$A$64:$N$80,14,FALSE),"")</f>
        <v>8.6300000000000008</v>
      </c>
      <c r="Q12" s="17">
        <f>MAX(0,(TRUNC((M12+N12*0.8)-P12)))</f>
        <v>0</v>
      </c>
      <c r="R12" s="1"/>
      <c r="S12" s="1">
        <v>14.23</v>
      </c>
      <c r="T12" s="1">
        <v>10.210000000000001</v>
      </c>
      <c r="U12" s="5">
        <v>0</v>
      </c>
      <c r="V12" s="1">
        <v>9.23</v>
      </c>
      <c r="W12" s="1">
        <v>0.25</v>
      </c>
      <c r="X12" s="5">
        <v>20</v>
      </c>
      <c r="Y12" s="1">
        <v>0</v>
      </c>
      <c r="Z12" s="34">
        <f t="shared" si="3"/>
        <v>31.39</v>
      </c>
      <c r="AA12" s="18">
        <f t="shared" si="4"/>
        <v>16811.981759999999</v>
      </c>
      <c r="AB12" s="34">
        <f t="shared" si="5"/>
        <v>19.090000000000003</v>
      </c>
      <c r="AC12" s="2">
        <f t="shared" si="6"/>
        <v>10224.298560000001</v>
      </c>
      <c r="AD12" s="1">
        <v>0</v>
      </c>
      <c r="AE12" s="1">
        <v>78</v>
      </c>
      <c r="AF12" s="1">
        <v>58</v>
      </c>
      <c r="AG12" s="1">
        <v>62</v>
      </c>
      <c r="AH12" s="1">
        <v>3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155</v>
      </c>
      <c r="AY12" s="1">
        <v>128</v>
      </c>
      <c r="AZ12" s="1">
        <v>104</v>
      </c>
      <c r="BA12" s="1">
        <v>37</v>
      </c>
      <c r="BB12" s="1">
        <v>245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54</v>
      </c>
      <c r="BI12" s="1">
        <v>50</v>
      </c>
      <c r="BJ12" s="1">
        <v>107</v>
      </c>
      <c r="BK12" s="1">
        <v>71</v>
      </c>
      <c r="BL12" s="1">
        <v>6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</row>
    <row r="13" spans="1:69" ht="12.75" x14ac:dyDescent="0.2">
      <c r="A13" s="1">
        <v>48084</v>
      </c>
      <c r="B13" s="1" t="s">
        <v>100</v>
      </c>
      <c r="C13" s="1">
        <v>12</v>
      </c>
      <c r="D13" s="1">
        <v>677</v>
      </c>
      <c r="E13" s="1" t="s">
        <v>64</v>
      </c>
      <c r="F13" s="1">
        <v>690</v>
      </c>
      <c r="G13" s="1" t="s">
        <v>101</v>
      </c>
      <c r="H13" s="2">
        <v>54.916699999999999</v>
      </c>
      <c r="I13" s="2">
        <v>659.00040000000001</v>
      </c>
      <c r="J13" s="14">
        <f t="shared" si="1"/>
        <v>9885.0059999999994</v>
      </c>
      <c r="K13" s="15">
        <f t="shared" si="2"/>
        <v>15</v>
      </c>
      <c r="L13" s="39">
        <v>15</v>
      </c>
      <c r="M13" s="1">
        <v>3.88</v>
      </c>
      <c r="N13" s="1" t="str">
        <f>IFERROR(VLOOKUP(A13:A104,'140726 ph k.'!$A$64:$S$80,19,FALSE),"")</f>
        <v/>
      </c>
      <c r="O13" s="1">
        <f>IFERROR(VLOOKUP(A13:A104,'140726 ph k.'!$A$7:$H$60,8,FALSE),"")</f>
        <v>0</v>
      </c>
      <c r="P13" s="1" t="str">
        <f>IFERROR(VLOOKUP(A13:A104,'140726 ph k.'!$A$64:$N$80,14,FALSE),"")</f>
        <v/>
      </c>
      <c r="Q13" s="5">
        <v>6</v>
      </c>
      <c r="R13" s="1"/>
      <c r="S13" s="1">
        <v>2.42</v>
      </c>
      <c r="T13" s="1">
        <v>0</v>
      </c>
      <c r="U13" s="5">
        <v>3</v>
      </c>
      <c r="V13" s="1">
        <v>5.46</v>
      </c>
      <c r="W13" s="1">
        <v>0</v>
      </c>
      <c r="X13" s="5">
        <v>6</v>
      </c>
      <c r="Y13" s="1">
        <v>0</v>
      </c>
      <c r="Z13" s="34" t="e">
        <f t="shared" si="3"/>
        <v>#VALUE!</v>
      </c>
      <c r="AA13" s="22" t="e">
        <f t="shared" si="4"/>
        <v>#VALUE!</v>
      </c>
      <c r="AB13" s="34" t="e">
        <f t="shared" si="5"/>
        <v>#VALUE!</v>
      </c>
      <c r="AC13" s="2" t="e">
        <f t="shared" si="6"/>
        <v>#VALUE!</v>
      </c>
      <c r="AD13" s="1">
        <v>0</v>
      </c>
      <c r="AE13" s="1">
        <v>0</v>
      </c>
      <c r="AF13" s="1">
        <v>28</v>
      </c>
      <c r="AG13" s="1">
        <v>37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16</v>
      </c>
      <c r="BA13" s="1">
        <v>26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50</v>
      </c>
      <c r="BK13" s="1">
        <v>31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</row>
    <row r="14" spans="1:69" ht="12.75" x14ac:dyDescent="0.2">
      <c r="A14" s="1">
        <v>48091</v>
      </c>
      <c r="B14" s="1" t="s">
        <v>103</v>
      </c>
      <c r="C14" s="1">
        <v>12</v>
      </c>
      <c r="D14" s="1">
        <v>677</v>
      </c>
      <c r="E14" s="1" t="s">
        <v>64</v>
      </c>
      <c r="F14" s="1">
        <v>690</v>
      </c>
      <c r="G14" s="1" t="s">
        <v>101</v>
      </c>
      <c r="H14" s="2">
        <v>54.916699999999999</v>
      </c>
      <c r="I14" s="2">
        <v>659.00040000000001</v>
      </c>
      <c r="J14" s="14">
        <f t="shared" si="1"/>
        <v>9226.0056000000004</v>
      </c>
      <c r="K14" s="15">
        <f t="shared" si="2"/>
        <v>14</v>
      </c>
      <c r="L14" s="39">
        <v>15</v>
      </c>
      <c r="M14" s="1">
        <v>4.71</v>
      </c>
      <c r="N14" s="1" t="str">
        <f>IFERROR(VLOOKUP(A14:A105,'140726 ph k.'!$A$64:$S$80,19,FALSE),"")</f>
        <v/>
      </c>
      <c r="O14" s="1">
        <f>IFERROR(VLOOKUP(A14:A105,'140726 ph k.'!$A$7:$H$60,8,FALSE),"")</f>
        <v>8</v>
      </c>
      <c r="P14" s="1" t="str">
        <f>IFERROR(VLOOKUP(A14:A105,'140726 ph k.'!$A$64:$N$80,14,FALSE),"")</f>
        <v/>
      </c>
      <c r="Q14" s="5">
        <v>6</v>
      </c>
      <c r="R14" s="1"/>
      <c r="S14" s="1">
        <v>1.38</v>
      </c>
      <c r="T14" s="1">
        <v>0</v>
      </c>
      <c r="U14" s="5">
        <v>3</v>
      </c>
      <c r="V14" s="1">
        <v>4.75</v>
      </c>
      <c r="W14" s="1">
        <v>0</v>
      </c>
      <c r="X14" s="5">
        <v>5</v>
      </c>
      <c r="Y14" s="1">
        <v>0</v>
      </c>
      <c r="Z14" s="34" t="e">
        <f t="shared" si="3"/>
        <v>#VALUE!</v>
      </c>
      <c r="AA14" s="22" t="e">
        <f t="shared" si="4"/>
        <v>#VALUE!</v>
      </c>
      <c r="AB14" s="34" t="e">
        <f t="shared" si="5"/>
        <v>#VALUE!</v>
      </c>
      <c r="AC14" s="2" t="e">
        <f t="shared" si="6"/>
        <v>#VALUE!</v>
      </c>
      <c r="AD14" s="1">
        <v>0</v>
      </c>
      <c r="AE14" s="1">
        <v>0</v>
      </c>
      <c r="AF14" s="1">
        <v>37</v>
      </c>
      <c r="AG14" s="1">
        <v>39</v>
      </c>
      <c r="AH14" s="1">
        <v>-1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12</v>
      </c>
      <c r="BA14" s="1">
        <v>9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41</v>
      </c>
      <c r="BK14" s="1">
        <v>32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</row>
    <row r="15" spans="1:69" ht="12.75" x14ac:dyDescent="0.2">
      <c r="A15" s="1">
        <v>48067</v>
      </c>
      <c r="B15" s="1" t="s">
        <v>106</v>
      </c>
      <c r="C15" s="1">
        <v>12</v>
      </c>
      <c r="D15" s="1">
        <v>677</v>
      </c>
      <c r="E15" s="1" t="s">
        <v>64</v>
      </c>
      <c r="F15" s="1">
        <v>690</v>
      </c>
      <c r="G15" s="1" t="s">
        <v>101</v>
      </c>
      <c r="H15" s="2">
        <v>54.916699999999999</v>
      </c>
      <c r="I15" s="2">
        <v>659.00040000000001</v>
      </c>
      <c r="J15" s="14">
        <f t="shared" si="1"/>
        <v>9226.0056000000004</v>
      </c>
      <c r="K15" s="15">
        <f t="shared" si="2"/>
        <v>14</v>
      </c>
      <c r="L15" s="39">
        <v>15</v>
      </c>
      <c r="M15" s="1">
        <v>4.04</v>
      </c>
      <c r="N15" s="1" t="str">
        <f>IFERROR(VLOOKUP(A15:A106,'140726 ph k.'!$A$64:$S$80,19,FALSE),"")</f>
        <v/>
      </c>
      <c r="O15" s="1">
        <f>IFERROR(VLOOKUP(A15:A106,'140726 ph k.'!$A$7:$H$60,8,FALSE),"")</f>
        <v>16</v>
      </c>
      <c r="P15" s="1" t="str">
        <f>IFERROR(VLOOKUP(A15:A106,'140726 ph k.'!$A$64:$N$80,14,FALSE),"")</f>
        <v/>
      </c>
      <c r="Q15" s="5">
        <v>6</v>
      </c>
      <c r="R15" s="1"/>
      <c r="S15" s="1">
        <v>1.33</v>
      </c>
      <c r="T15" s="1">
        <v>0</v>
      </c>
      <c r="U15" s="5">
        <v>3</v>
      </c>
      <c r="V15" s="1">
        <v>4.67</v>
      </c>
      <c r="W15" s="1">
        <v>0</v>
      </c>
      <c r="X15" s="5">
        <v>5</v>
      </c>
      <c r="Y15" s="1">
        <v>0</v>
      </c>
      <c r="Z15" s="34" t="e">
        <f t="shared" si="3"/>
        <v>#VALUE!</v>
      </c>
      <c r="AA15" s="22" t="e">
        <f t="shared" si="4"/>
        <v>#VALUE!</v>
      </c>
      <c r="AB15" s="34" t="e">
        <f t="shared" si="5"/>
        <v>#VALUE!</v>
      </c>
      <c r="AC15" s="2" t="e">
        <f t="shared" si="6"/>
        <v>#VALUE!</v>
      </c>
      <c r="AD15" s="1">
        <v>0</v>
      </c>
      <c r="AE15" s="1">
        <v>16</v>
      </c>
      <c r="AF15" s="1">
        <v>25</v>
      </c>
      <c r="AG15" s="1">
        <v>31</v>
      </c>
      <c r="AH15" s="1">
        <v>-2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1</v>
      </c>
      <c r="AY15" s="1">
        <v>5</v>
      </c>
      <c r="AZ15" s="1">
        <v>8</v>
      </c>
      <c r="BA15" s="1">
        <v>9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1</v>
      </c>
      <c r="BI15" s="1">
        <v>30</v>
      </c>
      <c r="BJ15" s="1">
        <v>32</v>
      </c>
      <c r="BK15" s="1">
        <v>16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</row>
    <row r="16" spans="1:69" ht="12.75" x14ac:dyDescent="0.2">
      <c r="A16" s="1">
        <v>47024</v>
      </c>
      <c r="B16" s="1" t="s">
        <v>88</v>
      </c>
      <c r="C16" s="1">
        <v>12</v>
      </c>
      <c r="D16" s="1">
        <v>677</v>
      </c>
      <c r="E16" s="1" t="s">
        <v>64</v>
      </c>
      <c r="F16" s="1">
        <v>61</v>
      </c>
      <c r="G16" s="1" t="s">
        <v>66</v>
      </c>
      <c r="H16" s="2">
        <v>135.38999999999999</v>
      </c>
      <c r="I16" s="2">
        <v>1624.68</v>
      </c>
      <c r="J16" s="14">
        <f t="shared" si="1"/>
        <v>16246.800000000001</v>
      </c>
      <c r="K16" s="36">
        <f t="shared" si="2"/>
        <v>10</v>
      </c>
      <c r="L16" s="15"/>
      <c r="M16" s="1">
        <v>6.25</v>
      </c>
      <c r="N16" s="1">
        <f>IFERROR(VLOOKUP(A16:A107,'140726 ph k.'!$A$64:$S$80,19,FALSE),"")</f>
        <v>0.3</v>
      </c>
      <c r="O16" s="1">
        <f>IFERROR(VLOOKUP(A16:A107,'140726 ph k.'!$A$7:$H$60,8,FALSE),"")</f>
        <v>41</v>
      </c>
      <c r="P16" s="35">
        <f>IFERROR(VLOOKUP(A16:A107,'140726 ph k.'!$A$64:$N$80,14,FALSE),"")</f>
        <v>3.42</v>
      </c>
      <c r="Q16" s="5">
        <v>5</v>
      </c>
      <c r="R16" s="1"/>
      <c r="S16" s="1">
        <v>5.5</v>
      </c>
      <c r="T16" s="1">
        <v>3.42</v>
      </c>
      <c r="U16" s="17">
        <f t="shared" ref="U16:U17" si="8">MAX(0,(TRUNC((S16*0.8)-T16)))</f>
        <v>0</v>
      </c>
      <c r="V16" s="1">
        <v>10.29</v>
      </c>
      <c r="W16" s="1">
        <v>2.25</v>
      </c>
      <c r="X16" s="17">
        <f>MAX(0,(TRUNC((V16*0.8)-W16)))</f>
        <v>5</v>
      </c>
      <c r="Y16" s="1">
        <v>0</v>
      </c>
      <c r="Z16" s="34">
        <f t="shared" si="3"/>
        <v>22.34</v>
      </c>
      <c r="AA16" s="18">
        <f t="shared" si="4"/>
        <v>36295.351200000005</v>
      </c>
      <c r="AB16" s="34">
        <f t="shared" si="5"/>
        <v>9.09</v>
      </c>
      <c r="AC16" s="2">
        <f t="shared" si="6"/>
        <v>14768.341200000001</v>
      </c>
      <c r="AD16" s="1">
        <v>0</v>
      </c>
      <c r="AE16" s="1">
        <v>25</v>
      </c>
      <c r="AF16" s="1">
        <v>35</v>
      </c>
      <c r="AG16" s="1">
        <v>55</v>
      </c>
      <c r="AH16" s="1">
        <v>1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13</v>
      </c>
      <c r="AY16" s="1">
        <v>7</v>
      </c>
      <c r="AZ16" s="1">
        <v>40</v>
      </c>
      <c r="BA16" s="1">
        <v>19</v>
      </c>
      <c r="BB16" s="1">
        <v>41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35</v>
      </c>
      <c r="BI16" s="1">
        <v>30</v>
      </c>
      <c r="BJ16" s="1">
        <v>56</v>
      </c>
      <c r="BK16" s="1">
        <v>35</v>
      </c>
      <c r="BL16" s="1">
        <v>27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</row>
    <row r="17" spans="1:69" ht="12.75" x14ac:dyDescent="0.2">
      <c r="A17" s="1">
        <v>47029</v>
      </c>
      <c r="B17" s="1" t="s">
        <v>94</v>
      </c>
      <c r="C17" s="1">
        <v>24</v>
      </c>
      <c r="D17" s="1">
        <v>677</v>
      </c>
      <c r="E17" s="1" t="s">
        <v>64</v>
      </c>
      <c r="F17" s="1">
        <v>61</v>
      </c>
      <c r="G17" s="1" t="s">
        <v>66</v>
      </c>
      <c r="H17" s="2">
        <v>41.26</v>
      </c>
      <c r="I17" s="2">
        <v>990.24</v>
      </c>
      <c r="J17" s="14">
        <f t="shared" si="1"/>
        <v>9902.4</v>
      </c>
      <c r="K17" s="15">
        <f t="shared" si="2"/>
        <v>10</v>
      </c>
      <c r="L17" s="15"/>
      <c r="M17" s="1">
        <v>3.52</v>
      </c>
      <c r="N17" s="1">
        <f>IFERROR(VLOOKUP(A17:A108,'140726 ph k.'!$A$64:$S$80,19,FALSE),"")</f>
        <v>0.8</v>
      </c>
      <c r="O17" s="1">
        <f>IFERROR(VLOOKUP(A17:A108,'140726 ph k.'!$A$7:$H$60,8,FALSE),"")</f>
        <v>137</v>
      </c>
      <c r="P17" s="35">
        <f>IFERROR(VLOOKUP(A17:A108,'140726 ph k.'!$A$64:$N$80,14,FALSE),"")</f>
        <v>5.71</v>
      </c>
      <c r="Q17" s="17">
        <f>MAX(0,(TRUNC((M17+N17*0.8)-P17)))</f>
        <v>0</v>
      </c>
      <c r="R17" s="1"/>
      <c r="S17" s="1">
        <v>12.67</v>
      </c>
      <c r="T17" s="1">
        <v>4.17</v>
      </c>
      <c r="U17" s="17">
        <f t="shared" si="8"/>
        <v>5</v>
      </c>
      <c r="V17" s="1">
        <v>6.31</v>
      </c>
      <c r="W17" s="1">
        <v>2.29</v>
      </c>
      <c r="X17" s="5">
        <v>5</v>
      </c>
      <c r="Y17" s="1">
        <v>0</v>
      </c>
      <c r="Z17" s="34">
        <f t="shared" si="3"/>
        <v>23.3</v>
      </c>
      <c r="AA17" s="18">
        <f t="shared" si="4"/>
        <v>23072.592000000001</v>
      </c>
      <c r="AB17" s="34">
        <f t="shared" si="5"/>
        <v>12.169999999999998</v>
      </c>
      <c r="AC17" s="2">
        <f t="shared" si="6"/>
        <v>12051.220799999999</v>
      </c>
      <c r="AD17" s="1">
        <v>0</v>
      </c>
      <c r="AE17" s="1">
        <v>22</v>
      </c>
      <c r="AF17" s="1">
        <v>67</v>
      </c>
      <c r="AG17" s="1">
        <v>13</v>
      </c>
      <c r="AH17" s="1">
        <v>43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138</v>
      </c>
      <c r="AY17" s="1">
        <v>39</v>
      </c>
      <c r="AZ17" s="1">
        <v>96</v>
      </c>
      <c r="BA17" s="1">
        <v>101</v>
      </c>
      <c r="BB17" s="1">
        <v>100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65</v>
      </c>
      <c r="BI17" s="1">
        <v>11</v>
      </c>
      <c r="BJ17" s="1">
        <v>33</v>
      </c>
      <c r="BK17" s="1">
        <v>96</v>
      </c>
      <c r="BL17" s="1">
        <v>55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</row>
    <row r="18" spans="1:69" ht="12.75" x14ac:dyDescent="0.2">
      <c r="A18" s="1">
        <v>48085</v>
      </c>
      <c r="B18" s="1" t="s">
        <v>105</v>
      </c>
      <c r="C18" s="1">
        <v>12</v>
      </c>
      <c r="D18" s="1">
        <v>677</v>
      </c>
      <c r="E18" s="1" t="s">
        <v>64</v>
      </c>
      <c r="F18" s="1">
        <v>690</v>
      </c>
      <c r="G18" s="1" t="s">
        <v>101</v>
      </c>
      <c r="H18" s="2">
        <v>54.916699999999999</v>
      </c>
      <c r="I18" s="2">
        <v>659.00040000000001</v>
      </c>
      <c r="J18" s="14">
        <f t="shared" si="1"/>
        <v>6590.0039999999999</v>
      </c>
      <c r="K18" s="53">
        <f t="shared" si="2"/>
        <v>10</v>
      </c>
      <c r="L18" s="15"/>
      <c r="M18" s="1">
        <v>2.5</v>
      </c>
      <c r="N18" s="1" t="str">
        <f>IFERROR(VLOOKUP(A18:A109,'140726 ph k.'!$A$64:$S$80,19,FALSE),"")</f>
        <v/>
      </c>
      <c r="O18" s="1">
        <f>IFERROR(VLOOKUP(A18:A109,'140726 ph k.'!$A$7:$H$60,8,FALSE),"")</f>
        <v>0</v>
      </c>
      <c r="P18" s="1" t="str">
        <f>IFERROR(VLOOKUP(A18:A109,'140726 ph k.'!$A$64:$N$80,14,FALSE),"")</f>
        <v/>
      </c>
      <c r="Q18" s="5">
        <v>4</v>
      </c>
      <c r="R18" s="1"/>
      <c r="S18" s="1">
        <v>1.29</v>
      </c>
      <c r="T18" s="1">
        <v>0</v>
      </c>
      <c r="U18" s="5">
        <v>2</v>
      </c>
      <c r="V18" s="1">
        <v>3.79</v>
      </c>
      <c r="W18" s="1">
        <v>0</v>
      </c>
      <c r="X18" s="5">
        <v>4</v>
      </c>
      <c r="Y18" s="1">
        <v>0</v>
      </c>
      <c r="Z18" s="34" t="e">
        <f t="shared" si="3"/>
        <v>#VALUE!</v>
      </c>
      <c r="AA18" s="20" t="e">
        <f t="shared" si="4"/>
        <v>#VALUE!</v>
      </c>
      <c r="AB18" s="34" t="e">
        <f t="shared" si="5"/>
        <v>#VALUE!</v>
      </c>
      <c r="AC18" s="2" t="e">
        <f t="shared" si="6"/>
        <v>#VALUE!</v>
      </c>
      <c r="AD18" s="1">
        <v>0</v>
      </c>
      <c r="AE18" s="1">
        <v>0</v>
      </c>
      <c r="AF18" s="1">
        <v>24</v>
      </c>
      <c r="AG18" s="1">
        <v>12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9</v>
      </c>
      <c r="BA18" s="1">
        <v>13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33</v>
      </c>
      <c r="BK18" s="1">
        <v>25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</row>
    <row r="19" spans="1:69" ht="12.75" x14ac:dyDescent="0.2">
      <c r="A19" s="1">
        <v>48081</v>
      </c>
      <c r="B19" s="1" t="s">
        <v>104</v>
      </c>
      <c r="C19" s="1">
        <v>12</v>
      </c>
      <c r="D19" s="1">
        <v>677</v>
      </c>
      <c r="E19" s="1" t="s">
        <v>64</v>
      </c>
      <c r="F19" s="1">
        <v>690</v>
      </c>
      <c r="G19" s="1" t="s">
        <v>101</v>
      </c>
      <c r="H19" s="2">
        <v>54.916699999999999</v>
      </c>
      <c r="I19" s="2">
        <v>659.00040000000001</v>
      </c>
      <c r="J19" s="14">
        <f t="shared" si="1"/>
        <v>6590.0039999999999</v>
      </c>
      <c r="K19" s="15">
        <f t="shared" si="2"/>
        <v>10</v>
      </c>
      <c r="L19" s="39">
        <v>10</v>
      </c>
      <c r="M19" s="1">
        <v>2.12</v>
      </c>
      <c r="N19" s="1" t="str">
        <f>IFERROR(VLOOKUP(A19:A110,'140726 ph k.'!$A$64:$S$80,19,FALSE),"")</f>
        <v/>
      </c>
      <c r="O19" s="1">
        <f>IFERROR(VLOOKUP(A19:A110,'140726 ph k.'!$A$7:$H$60,8,FALSE),"")</f>
        <v>8</v>
      </c>
      <c r="P19" s="1" t="str">
        <f>IFERROR(VLOOKUP(A19:A110,'140726 ph k.'!$A$64:$N$80,14,FALSE),"")</f>
        <v/>
      </c>
      <c r="Q19" s="5">
        <v>4</v>
      </c>
      <c r="R19" s="1"/>
      <c r="S19" s="1">
        <v>2.46</v>
      </c>
      <c r="T19" s="1">
        <v>1.67</v>
      </c>
      <c r="U19" s="5">
        <v>1</v>
      </c>
      <c r="V19" s="1">
        <v>4.96</v>
      </c>
      <c r="W19" s="1">
        <v>0</v>
      </c>
      <c r="X19" s="5">
        <v>5</v>
      </c>
      <c r="Y19" s="1">
        <v>0</v>
      </c>
      <c r="Z19" s="34" t="e">
        <f t="shared" si="3"/>
        <v>#VALUE!</v>
      </c>
      <c r="AA19" s="22" t="e">
        <f t="shared" si="4"/>
        <v>#VALUE!</v>
      </c>
      <c r="AB19" s="34" t="e">
        <f t="shared" si="5"/>
        <v>#VALUE!</v>
      </c>
      <c r="AC19" s="2" t="e">
        <f t="shared" si="6"/>
        <v>#VALUE!</v>
      </c>
      <c r="AD19" s="1">
        <v>0</v>
      </c>
      <c r="AE19" s="1">
        <v>0</v>
      </c>
      <c r="AF19" s="1">
        <v>15</v>
      </c>
      <c r="AG19" s="1">
        <v>21</v>
      </c>
      <c r="AH19" s="1">
        <v>-1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8</v>
      </c>
      <c r="AY19" s="1">
        <v>14</v>
      </c>
      <c r="AZ19" s="1">
        <v>8</v>
      </c>
      <c r="BA19" s="1">
        <v>13</v>
      </c>
      <c r="BB19" s="1">
        <v>20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2</v>
      </c>
      <c r="BJ19" s="1">
        <v>44</v>
      </c>
      <c r="BK19" s="1">
        <v>29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</row>
    <row r="20" spans="1:69" ht="12.75" x14ac:dyDescent="0.2">
      <c r="A20" s="1">
        <v>48044</v>
      </c>
      <c r="B20" s="1" t="s">
        <v>121</v>
      </c>
      <c r="C20" s="1">
        <v>12</v>
      </c>
      <c r="D20" s="1">
        <v>677</v>
      </c>
      <c r="E20" s="1" t="s">
        <v>64</v>
      </c>
      <c r="F20" s="1">
        <v>690</v>
      </c>
      <c r="G20" s="1" t="s">
        <v>101</v>
      </c>
      <c r="H20" s="2">
        <v>54.916699999999999</v>
      </c>
      <c r="I20" s="2">
        <v>659.00040000000001</v>
      </c>
      <c r="J20" s="14">
        <f t="shared" si="1"/>
        <v>5272.0032000000001</v>
      </c>
      <c r="K20" s="15">
        <f t="shared" si="2"/>
        <v>8</v>
      </c>
      <c r="L20" s="15"/>
      <c r="M20" s="1">
        <v>1.17</v>
      </c>
      <c r="N20" s="1" t="str">
        <f>IFERROR(VLOOKUP(A20:A111,'140726 ph k.'!$A$64:$S$80,19,FALSE),"")</f>
        <v/>
      </c>
      <c r="O20" s="1">
        <f>IFERROR(VLOOKUP(A20:A111,'140726 ph k.'!$A$7:$H$60,8,FALSE),"")</f>
        <v>0</v>
      </c>
      <c r="P20" s="1" t="str">
        <f>IFERROR(VLOOKUP(A20:A111,'140726 ph k.'!$A$64:$N$80,14,FALSE),"")</f>
        <v/>
      </c>
      <c r="Q20" s="5">
        <v>3</v>
      </c>
      <c r="R20" s="1"/>
      <c r="S20" s="1">
        <v>1</v>
      </c>
      <c r="T20" s="1">
        <v>0</v>
      </c>
      <c r="U20" s="5">
        <v>2</v>
      </c>
      <c r="V20" s="1">
        <v>2</v>
      </c>
      <c r="W20" s="1">
        <v>0</v>
      </c>
      <c r="X20" s="5">
        <v>3</v>
      </c>
      <c r="Y20" s="1">
        <v>0</v>
      </c>
      <c r="Z20" s="34" t="e">
        <f t="shared" si="3"/>
        <v>#VALUE!</v>
      </c>
      <c r="AA20" s="20" t="e">
        <f t="shared" si="4"/>
        <v>#VALUE!</v>
      </c>
      <c r="AB20" s="34" t="e">
        <f t="shared" si="5"/>
        <v>#VALUE!</v>
      </c>
      <c r="AC20" s="2" t="e">
        <f t="shared" si="6"/>
        <v>#VALUE!</v>
      </c>
      <c r="AD20" s="1">
        <v>0</v>
      </c>
      <c r="AE20" s="1">
        <v>0</v>
      </c>
      <c r="AF20" s="1">
        <v>7</v>
      </c>
      <c r="AG20" s="1">
        <v>14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7</v>
      </c>
      <c r="BA20" s="1">
        <v>10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19</v>
      </c>
      <c r="BK20" s="1">
        <v>10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</row>
    <row r="21" spans="1:69" ht="12.75" x14ac:dyDescent="0.2">
      <c r="A21" s="1">
        <v>48068</v>
      </c>
      <c r="B21" s="1" t="s">
        <v>109</v>
      </c>
      <c r="C21" s="1">
        <v>12</v>
      </c>
      <c r="D21" s="1">
        <v>677</v>
      </c>
      <c r="E21" s="1" t="s">
        <v>64</v>
      </c>
      <c r="F21" s="1">
        <v>690</v>
      </c>
      <c r="G21" s="1" t="s">
        <v>101</v>
      </c>
      <c r="H21" s="2">
        <v>54.916699999999999</v>
      </c>
      <c r="I21" s="2">
        <v>659.00040000000001</v>
      </c>
      <c r="J21" s="14">
        <f t="shared" si="1"/>
        <v>6590.0039999999999</v>
      </c>
      <c r="K21" s="15">
        <f t="shared" si="2"/>
        <v>10</v>
      </c>
      <c r="L21" s="39">
        <v>10</v>
      </c>
      <c r="M21" s="1">
        <v>1.17</v>
      </c>
      <c r="N21" s="1" t="str">
        <f>IFERROR(VLOOKUP(A21:A112,'140726 ph k.'!$A$64:$S$80,19,FALSE),"")</f>
        <v/>
      </c>
      <c r="O21" s="1">
        <f>IFERROR(VLOOKUP(A21:A112,'140726 ph k.'!$A$7:$H$60,8,FALSE),"")</f>
        <v>0</v>
      </c>
      <c r="P21" s="1" t="str">
        <f>IFERROR(VLOOKUP(A21:A112,'140726 ph k.'!$A$64:$N$80,14,FALSE),"")</f>
        <v/>
      </c>
      <c r="Q21" s="5">
        <v>4</v>
      </c>
      <c r="R21" s="1"/>
      <c r="S21" s="1">
        <v>0.42</v>
      </c>
      <c r="T21" s="1">
        <v>0</v>
      </c>
      <c r="U21" s="5">
        <v>2</v>
      </c>
      <c r="V21" s="1">
        <v>2.42</v>
      </c>
      <c r="W21" s="1">
        <v>0</v>
      </c>
      <c r="X21" s="5">
        <v>4</v>
      </c>
      <c r="Y21" s="1">
        <v>0</v>
      </c>
      <c r="Z21" s="34" t="e">
        <f t="shared" si="3"/>
        <v>#VALUE!</v>
      </c>
      <c r="AA21" s="20" t="e">
        <f t="shared" si="4"/>
        <v>#VALUE!</v>
      </c>
      <c r="AB21" s="34" t="e">
        <f t="shared" si="5"/>
        <v>#VALUE!</v>
      </c>
      <c r="AC21" s="2" t="e">
        <f t="shared" si="6"/>
        <v>#VALUE!</v>
      </c>
      <c r="AD21" s="1">
        <v>0</v>
      </c>
      <c r="AE21" s="1">
        <v>0</v>
      </c>
      <c r="AF21" s="1">
        <v>7</v>
      </c>
      <c r="AG21" s="1">
        <v>14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3</v>
      </c>
      <c r="BA21" s="1">
        <v>4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23</v>
      </c>
      <c r="BK21" s="1">
        <v>12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</row>
    <row r="22" spans="1:69" ht="12.75" x14ac:dyDescent="0.2">
      <c r="A22" s="1">
        <v>48082</v>
      </c>
      <c r="B22" s="1" t="s">
        <v>114</v>
      </c>
      <c r="C22" s="1">
        <v>12</v>
      </c>
      <c r="D22" s="1">
        <v>677</v>
      </c>
      <c r="E22" s="1" t="s">
        <v>64</v>
      </c>
      <c r="F22" s="1">
        <v>690</v>
      </c>
      <c r="G22" s="1" t="s">
        <v>101</v>
      </c>
      <c r="H22" s="2">
        <v>54.916699999999999</v>
      </c>
      <c r="I22" s="2">
        <v>659.00040000000001</v>
      </c>
      <c r="J22" s="14">
        <f t="shared" si="1"/>
        <v>5272.0032000000001</v>
      </c>
      <c r="K22" s="15">
        <f t="shared" si="2"/>
        <v>8</v>
      </c>
      <c r="L22" s="15"/>
      <c r="M22" s="1">
        <v>1.1200000000000001</v>
      </c>
      <c r="N22" s="1" t="str">
        <f>IFERROR(VLOOKUP(A22:A113,'140726 ph k.'!$A$64:$S$80,19,FALSE),"")</f>
        <v/>
      </c>
      <c r="O22" s="1">
        <f>IFERROR(VLOOKUP(A22:A113,'140726 ph k.'!$A$7:$H$60,8,FALSE),"")</f>
        <v>0</v>
      </c>
      <c r="P22" s="1" t="str">
        <f>IFERROR(VLOOKUP(A22:A113,'140726 ph k.'!$A$64:$N$80,14,FALSE),"")</f>
        <v/>
      </c>
      <c r="Q22" s="5">
        <v>3</v>
      </c>
      <c r="R22" s="1"/>
      <c r="S22" s="1">
        <v>0.38</v>
      </c>
      <c r="T22" s="1">
        <v>0</v>
      </c>
      <c r="U22" s="5">
        <v>2</v>
      </c>
      <c r="V22" s="1">
        <v>2.25</v>
      </c>
      <c r="W22" s="1">
        <v>0</v>
      </c>
      <c r="X22" s="5">
        <v>3</v>
      </c>
      <c r="Y22" s="1">
        <v>0</v>
      </c>
      <c r="Z22" s="34" t="e">
        <f t="shared" si="3"/>
        <v>#VALUE!</v>
      </c>
      <c r="AA22" s="20" t="e">
        <f t="shared" si="4"/>
        <v>#VALUE!</v>
      </c>
      <c r="AB22" s="34" t="e">
        <f t="shared" si="5"/>
        <v>#VALUE!</v>
      </c>
      <c r="AC22" s="2" t="e">
        <f t="shared" si="6"/>
        <v>#VALUE!</v>
      </c>
      <c r="AD22" s="1">
        <v>0</v>
      </c>
      <c r="AE22" s="1">
        <v>0</v>
      </c>
      <c r="AF22" s="1">
        <v>9</v>
      </c>
      <c r="AG22" s="1">
        <v>9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1</v>
      </c>
      <c r="BA22" s="1">
        <v>7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21</v>
      </c>
      <c r="BK22" s="1">
        <v>12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</row>
    <row r="23" spans="1:69" ht="12.75" x14ac:dyDescent="0.2">
      <c r="A23" s="1">
        <v>48063</v>
      </c>
      <c r="B23" s="1" t="s">
        <v>118</v>
      </c>
      <c r="C23" s="1">
        <v>12</v>
      </c>
      <c r="D23" s="1">
        <v>677</v>
      </c>
      <c r="E23" s="1" t="s">
        <v>64</v>
      </c>
      <c r="F23" s="1">
        <v>690</v>
      </c>
      <c r="G23" s="1" t="s">
        <v>101</v>
      </c>
      <c r="H23" s="2">
        <v>54.916699999999999</v>
      </c>
      <c r="I23" s="2">
        <v>659.00040000000001</v>
      </c>
      <c r="J23" s="14">
        <f t="shared" si="1"/>
        <v>6590.0039999999999</v>
      </c>
      <c r="K23" s="15">
        <f t="shared" si="2"/>
        <v>10</v>
      </c>
      <c r="L23" s="39">
        <v>10</v>
      </c>
      <c r="M23" s="1">
        <v>2</v>
      </c>
      <c r="N23" s="1" t="str">
        <f>IFERROR(VLOOKUP(A23:A114,'140726 ph k.'!$A$64:$S$80,19,FALSE),"")</f>
        <v/>
      </c>
      <c r="O23" s="1">
        <f>IFERROR(VLOOKUP(A23:A114,'140726 ph k.'!$A$7:$H$60,8,FALSE),"")</f>
        <v>0</v>
      </c>
      <c r="P23" s="1" t="str">
        <f>IFERROR(VLOOKUP(A23:A114,'140726 ph k.'!$A$64:$N$80,14,FALSE),"")</f>
        <v/>
      </c>
      <c r="Q23" s="5">
        <v>4</v>
      </c>
      <c r="R23" s="1"/>
      <c r="S23" s="1">
        <v>0.33</v>
      </c>
      <c r="T23" s="1">
        <v>0</v>
      </c>
      <c r="U23" s="5">
        <v>2</v>
      </c>
      <c r="V23" s="1">
        <v>1</v>
      </c>
      <c r="W23" s="1">
        <v>0</v>
      </c>
      <c r="X23" s="5">
        <v>4</v>
      </c>
      <c r="Y23" s="1">
        <v>0</v>
      </c>
      <c r="Z23" s="34" t="e">
        <f t="shared" si="3"/>
        <v>#VALUE!</v>
      </c>
      <c r="AA23" s="20" t="e">
        <f t="shared" si="4"/>
        <v>#VALUE!</v>
      </c>
      <c r="AB23" s="34" t="e">
        <f t="shared" si="5"/>
        <v>#VALUE!</v>
      </c>
      <c r="AC23" s="2" t="e">
        <f t="shared" si="6"/>
        <v>#VALUE!</v>
      </c>
      <c r="AD23" s="1">
        <v>0</v>
      </c>
      <c r="AE23" s="1">
        <v>0</v>
      </c>
      <c r="AF23" s="1">
        <v>19</v>
      </c>
      <c r="AG23" s="1">
        <v>10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2</v>
      </c>
      <c r="BA23" s="1">
        <v>4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7</v>
      </c>
      <c r="BK23" s="1">
        <v>10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</row>
    <row r="24" spans="1:69" ht="12.75" hidden="1" x14ac:dyDescent="0.2">
      <c r="A24" s="1">
        <v>48049</v>
      </c>
      <c r="B24" s="1" t="s">
        <v>124</v>
      </c>
      <c r="C24" s="1">
        <v>12</v>
      </c>
      <c r="D24" s="1">
        <v>677</v>
      </c>
      <c r="E24" s="1" t="s">
        <v>64</v>
      </c>
      <c r="F24" s="1">
        <v>690</v>
      </c>
      <c r="G24" s="1" t="s">
        <v>101</v>
      </c>
      <c r="H24" s="2">
        <v>54.916699999999999</v>
      </c>
      <c r="I24" s="2">
        <v>659.00040000000001</v>
      </c>
      <c r="J24" s="14">
        <f t="shared" si="1"/>
        <v>4613.0028000000002</v>
      </c>
      <c r="K24" s="15">
        <f t="shared" si="2"/>
        <v>7</v>
      </c>
      <c r="L24" s="15"/>
      <c r="M24" s="1">
        <v>0.62</v>
      </c>
      <c r="N24" s="1" t="str">
        <f>IFERROR(VLOOKUP(A24:A115,'140726 ph k.'!$A$64:$S$80,19,FALSE),"")</f>
        <v/>
      </c>
      <c r="O24" s="1">
        <f>IFERROR(VLOOKUP(A24:A115,'140726 ph k.'!$A$7:$H$60,8,FALSE),"")</f>
        <v>0</v>
      </c>
      <c r="P24" s="1" t="str">
        <f>IFERROR(VLOOKUP(A24:A115,'140726 ph k.'!$A$64:$N$80,14,FALSE),"")</f>
        <v/>
      </c>
      <c r="Q24" s="5">
        <v>3</v>
      </c>
      <c r="R24" s="1"/>
      <c r="S24" s="1">
        <v>0.83</v>
      </c>
      <c r="T24" s="1">
        <v>0</v>
      </c>
      <c r="U24" s="5">
        <v>1</v>
      </c>
      <c r="V24" s="1">
        <v>1.92</v>
      </c>
      <c r="W24" s="1">
        <v>0</v>
      </c>
      <c r="X24" s="5">
        <v>3</v>
      </c>
      <c r="Y24" s="1">
        <v>0</v>
      </c>
      <c r="Z24" s="34" t="e">
        <f t="shared" si="3"/>
        <v>#VALUE!</v>
      </c>
      <c r="AA24" s="20" t="e">
        <f t="shared" si="4"/>
        <v>#VALUE!</v>
      </c>
      <c r="AB24" s="34" t="e">
        <f t="shared" si="5"/>
        <v>#VALUE!</v>
      </c>
      <c r="AC24" s="2" t="e">
        <f t="shared" si="6"/>
        <v>#VALUE!</v>
      </c>
      <c r="AD24" s="1">
        <v>0</v>
      </c>
      <c r="AE24" s="1">
        <v>0</v>
      </c>
      <c r="AF24" s="1">
        <v>5</v>
      </c>
      <c r="AG24" s="1">
        <v>5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4</v>
      </c>
      <c r="BA24" s="1">
        <v>12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21</v>
      </c>
      <c r="BK24" s="1">
        <v>4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</row>
    <row r="25" spans="1:69" ht="12.75" x14ac:dyDescent="0.2">
      <c r="A25" s="1">
        <v>47008</v>
      </c>
      <c r="B25" s="1" t="s">
        <v>93</v>
      </c>
      <c r="C25" s="1">
        <v>24</v>
      </c>
      <c r="D25" s="1">
        <v>677</v>
      </c>
      <c r="E25" s="1" t="s">
        <v>64</v>
      </c>
      <c r="F25" s="1">
        <v>61</v>
      </c>
      <c r="G25" s="1" t="s">
        <v>66</v>
      </c>
      <c r="H25" s="2">
        <v>35.74</v>
      </c>
      <c r="I25" s="2">
        <v>857.76</v>
      </c>
      <c r="J25" s="14">
        <f t="shared" si="1"/>
        <v>4288.8</v>
      </c>
      <c r="K25" s="36">
        <f t="shared" si="2"/>
        <v>5</v>
      </c>
      <c r="L25" s="15"/>
      <c r="M25" s="1">
        <v>4.8099999999999996</v>
      </c>
      <c r="N25" s="1">
        <f>IFERROR(VLOOKUP(A25:A116,'140726 ph k.'!$A$64:$S$80,19,FALSE),"")</f>
        <v>1.4</v>
      </c>
      <c r="O25" s="1">
        <f>IFERROR(VLOOKUP(A25:A116,'140726 ph k.'!$A$7:$H$60,8,FALSE),"")</f>
        <v>425</v>
      </c>
      <c r="P25" s="35">
        <f>IFERROR(VLOOKUP(A25:A116,'140726 ph k.'!$A$64:$N$80,14,FALSE),"")</f>
        <v>17.71</v>
      </c>
      <c r="Q25" s="17">
        <f t="shared" ref="Q25:Q27" si="9">MAX(0,(TRUNC((M25+N25*0.8)-P25)))</f>
        <v>0</v>
      </c>
      <c r="R25" s="1"/>
      <c r="S25" s="1">
        <v>15.92</v>
      </c>
      <c r="T25" s="1">
        <v>18.29</v>
      </c>
      <c r="U25" s="17">
        <f>MAX(0,(TRUNC((S25*0.8)-T25)))</f>
        <v>0</v>
      </c>
      <c r="V25" s="1">
        <v>18.579999999999998</v>
      </c>
      <c r="W25" s="1">
        <v>11.25</v>
      </c>
      <c r="X25" s="5">
        <v>5</v>
      </c>
      <c r="Y25" s="1">
        <v>0</v>
      </c>
      <c r="Z25" s="34">
        <f t="shared" si="3"/>
        <v>40.709999999999994</v>
      </c>
      <c r="AA25" s="18">
        <f t="shared" si="4"/>
        <v>34919.409599999992</v>
      </c>
      <c r="AB25" s="34">
        <f t="shared" si="5"/>
        <v>47.25</v>
      </c>
      <c r="AC25" s="2">
        <f t="shared" si="6"/>
        <v>40529.159999999996</v>
      </c>
      <c r="AD25" s="1">
        <v>0</v>
      </c>
      <c r="AE25" s="1">
        <v>0</v>
      </c>
      <c r="AF25" s="1">
        <v>45</v>
      </c>
      <c r="AG25" s="1">
        <v>141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91</v>
      </c>
      <c r="AY25" s="1">
        <v>131</v>
      </c>
      <c r="AZ25" s="1">
        <v>136</v>
      </c>
      <c r="BA25" s="1">
        <v>179</v>
      </c>
      <c r="BB25" s="1">
        <v>439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217</v>
      </c>
      <c r="BI25" s="1">
        <v>20</v>
      </c>
      <c r="BJ25" s="1">
        <v>114</v>
      </c>
      <c r="BK25" s="1">
        <v>210</v>
      </c>
      <c r="BL25" s="1">
        <v>270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</row>
    <row r="26" spans="1:69" ht="12.75" x14ac:dyDescent="0.2">
      <c r="A26" s="1">
        <v>47051</v>
      </c>
      <c r="B26" s="1" t="s">
        <v>199</v>
      </c>
      <c r="C26" s="1">
        <v>18</v>
      </c>
      <c r="D26" s="1">
        <v>677</v>
      </c>
      <c r="E26" s="1" t="s">
        <v>64</v>
      </c>
      <c r="F26" s="1">
        <v>525</v>
      </c>
      <c r="G26" s="1" t="s">
        <v>84</v>
      </c>
      <c r="H26" s="2">
        <v>37.43</v>
      </c>
      <c r="I26" s="2">
        <v>673.74</v>
      </c>
      <c r="J26" s="14" t="e">
        <f t="shared" si="1"/>
        <v>#VALUE!</v>
      </c>
      <c r="K26" s="54" t="e">
        <f t="shared" si="2"/>
        <v>#VALUE!</v>
      </c>
      <c r="L26" s="4"/>
      <c r="M26" s="1">
        <v>0</v>
      </c>
      <c r="N26" s="1" t="str">
        <f>IFERROR(VLOOKUP(A26:A117,'140726 ph k.'!$A$64:$S$80,19,FALSE),"")</f>
        <v/>
      </c>
      <c r="O26" s="1">
        <f>IFERROR(VLOOKUP(A26:A117,'140726 ph k.'!$A$7:$H$60,8,FALSE),"")</f>
        <v>29</v>
      </c>
      <c r="P26" s="34">
        <f t="shared" ref="P26:P27" si="10">O26/C26</f>
        <v>1.6111111111111112</v>
      </c>
      <c r="Q26" s="17" t="e">
        <f t="shared" si="9"/>
        <v>#VALUE!</v>
      </c>
      <c r="R26" s="1"/>
      <c r="S26" s="1">
        <v>4.58</v>
      </c>
      <c r="T26" s="1">
        <v>0.06</v>
      </c>
      <c r="U26" s="5">
        <v>5</v>
      </c>
      <c r="V26" s="1">
        <v>2.56</v>
      </c>
      <c r="W26" s="1">
        <v>2.44</v>
      </c>
      <c r="X26" s="17">
        <f t="shared" ref="X26:X27" si="11">MAX(0,(TRUNC((V26*0.8)-W26)))</f>
        <v>0</v>
      </c>
      <c r="Y26" s="1">
        <v>0</v>
      </c>
      <c r="Z26" s="34" t="e">
        <f t="shared" si="3"/>
        <v>#VALUE!</v>
      </c>
      <c r="AA26" s="20" t="e">
        <f t="shared" si="4"/>
        <v>#VALUE!</v>
      </c>
      <c r="AB26" s="34">
        <f t="shared" si="5"/>
        <v>4.1111111111111107</v>
      </c>
      <c r="AC26" s="2">
        <f t="shared" si="6"/>
        <v>2769.8199999999997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76</v>
      </c>
      <c r="AY26" s="1">
        <v>13</v>
      </c>
      <c r="AZ26" s="1">
        <v>0</v>
      </c>
      <c r="BA26" s="1">
        <v>0</v>
      </c>
      <c r="BB26" s="1">
        <v>1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46</v>
      </c>
      <c r="BI26" s="1">
        <v>0</v>
      </c>
      <c r="BJ26" s="1">
        <v>0</v>
      </c>
      <c r="BK26" s="1">
        <v>0</v>
      </c>
      <c r="BL26" s="1">
        <v>44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</row>
    <row r="27" spans="1:69" ht="12.75" x14ac:dyDescent="0.2">
      <c r="A27" s="1">
        <v>47053</v>
      </c>
      <c r="B27" s="1" t="s">
        <v>201</v>
      </c>
      <c r="C27" s="1">
        <v>18</v>
      </c>
      <c r="D27" s="1">
        <v>677</v>
      </c>
      <c r="E27" s="1" t="s">
        <v>64</v>
      </c>
      <c r="F27" s="1">
        <v>61</v>
      </c>
      <c r="G27" s="1" t="s">
        <v>66</v>
      </c>
      <c r="H27" s="2">
        <v>37.43</v>
      </c>
      <c r="I27" s="2">
        <v>673.74</v>
      </c>
      <c r="J27" s="14" t="e">
        <f t="shared" si="1"/>
        <v>#VALUE!</v>
      </c>
      <c r="K27" s="54" t="e">
        <f t="shared" si="2"/>
        <v>#VALUE!</v>
      </c>
      <c r="L27" s="4"/>
      <c r="M27" s="1">
        <v>0</v>
      </c>
      <c r="N27" s="1" t="str">
        <f>IFERROR(VLOOKUP(A27:A118,'140726 ph k.'!$A$64:$S$80,19,FALSE),"")</f>
        <v/>
      </c>
      <c r="O27" s="1">
        <f>IFERROR(VLOOKUP(A27:A118,'140726 ph k.'!$A$7:$H$60,8,FALSE),"")</f>
        <v>34</v>
      </c>
      <c r="P27" s="34">
        <f t="shared" si="10"/>
        <v>1.8888888888888888</v>
      </c>
      <c r="Q27" s="17" t="e">
        <f t="shared" si="9"/>
        <v>#VALUE!</v>
      </c>
      <c r="R27" s="1"/>
      <c r="S27" s="1">
        <v>0</v>
      </c>
      <c r="T27" s="1">
        <v>0</v>
      </c>
      <c r="U27" s="5">
        <v>5</v>
      </c>
      <c r="V27" s="1">
        <v>3.44</v>
      </c>
      <c r="W27" s="1">
        <v>6.56</v>
      </c>
      <c r="X27" s="17">
        <f t="shared" si="11"/>
        <v>0</v>
      </c>
      <c r="Y27" s="1">
        <v>0</v>
      </c>
      <c r="Z27" s="34" t="e">
        <f t="shared" si="3"/>
        <v>#VALUE!</v>
      </c>
      <c r="AA27" s="20" t="e">
        <f t="shared" si="4"/>
        <v>#VALUE!</v>
      </c>
      <c r="AB27" s="34">
        <f t="shared" si="5"/>
        <v>8.448888888888888</v>
      </c>
      <c r="AC27" s="2">
        <f t="shared" si="6"/>
        <v>5692.3543999999993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62</v>
      </c>
      <c r="BI27" s="1">
        <v>0</v>
      </c>
      <c r="BJ27" s="1">
        <v>0</v>
      </c>
      <c r="BK27" s="1">
        <v>0</v>
      </c>
      <c r="BL27" s="1">
        <v>118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</row>
    <row r="28" spans="1:69" ht="12.75" hidden="1" x14ac:dyDescent="0.2">
      <c r="A28" s="1">
        <v>48080</v>
      </c>
      <c r="B28" s="1" t="s">
        <v>122</v>
      </c>
      <c r="C28" s="1">
        <v>12</v>
      </c>
      <c r="D28" s="1">
        <v>677</v>
      </c>
      <c r="E28" s="1" t="s">
        <v>64</v>
      </c>
      <c r="F28" s="1">
        <v>690</v>
      </c>
      <c r="G28" s="1" t="s">
        <v>101</v>
      </c>
      <c r="H28" s="2">
        <v>54.916699999999999</v>
      </c>
      <c r="I28" s="2">
        <v>659.00040000000001</v>
      </c>
      <c r="J28" s="14">
        <f t="shared" si="1"/>
        <v>3295.002</v>
      </c>
      <c r="K28" s="15">
        <f t="shared" si="2"/>
        <v>5</v>
      </c>
      <c r="L28" s="15"/>
      <c r="M28" s="1">
        <v>0.92</v>
      </c>
      <c r="N28" s="1" t="str">
        <f>IFERROR(VLOOKUP(A28:A119,'140726 ph k.'!$A$64:$S$80,19,FALSE),"")</f>
        <v/>
      </c>
      <c r="O28" s="1">
        <f>IFERROR(VLOOKUP(A28:A119,'140726 ph k.'!$A$7:$H$60,8,FALSE),"")</f>
        <v>0</v>
      </c>
      <c r="P28" s="1" t="str">
        <f>IFERROR(VLOOKUP(A28:A119,'140726 ph k.'!$A$64:$N$80,14,FALSE),"")</f>
        <v/>
      </c>
      <c r="Q28" s="5">
        <v>2</v>
      </c>
      <c r="R28" s="1"/>
      <c r="S28" s="1">
        <v>0.75</v>
      </c>
      <c r="T28" s="1">
        <v>0</v>
      </c>
      <c r="U28" s="5">
        <v>1</v>
      </c>
      <c r="V28" s="1">
        <v>1.25</v>
      </c>
      <c r="W28" s="1">
        <v>0</v>
      </c>
      <c r="X28" s="5">
        <v>2</v>
      </c>
      <c r="Y28" s="1">
        <v>0</v>
      </c>
      <c r="Z28" s="34" t="e">
        <f t="shared" si="3"/>
        <v>#VALUE!</v>
      </c>
      <c r="AA28" s="20" t="e">
        <f t="shared" si="4"/>
        <v>#VALUE!</v>
      </c>
      <c r="AB28" s="34" t="e">
        <f t="shared" si="5"/>
        <v>#VALUE!</v>
      </c>
      <c r="AC28" s="2" t="e">
        <f t="shared" si="6"/>
        <v>#VALUE!</v>
      </c>
      <c r="AD28" s="1">
        <v>0</v>
      </c>
      <c r="AE28" s="1">
        <v>0</v>
      </c>
      <c r="AF28" s="1">
        <v>7</v>
      </c>
      <c r="AG28" s="1">
        <v>8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6</v>
      </c>
      <c r="BA28" s="1">
        <v>6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12</v>
      </c>
      <c r="BK28" s="1">
        <v>6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</row>
    <row r="29" spans="1:69" ht="12.75" hidden="1" x14ac:dyDescent="0.2">
      <c r="A29" s="1">
        <v>48066</v>
      </c>
      <c r="B29" s="1" t="s">
        <v>129</v>
      </c>
      <c r="C29" s="1">
        <v>12</v>
      </c>
      <c r="D29" s="1">
        <v>677</v>
      </c>
      <c r="E29" s="1" t="s">
        <v>64</v>
      </c>
      <c r="F29" s="1">
        <v>690</v>
      </c>
      <c r="G29" s="1" t="s">
        <v>101</v>
      </c>
      <c r="H29" s="2">
        <v>54.916699999999999</v>
      </c>
      <c r="I29" s="2">
        <v>659.00040000000001</v>
      </c>
      <c r="J29" s="14">
        <f t="shared" si="1"/>
        <v>3295.002</v>
      </c>
      <c r="K29" s="15">
        <f t="shared" si="2"/>
        <v>5</v>
      </c>
      <c r="L29" s="15"/>
      <c r="M29" s="1">
        <v>0.79</v>
      </c>
      <c r="N29" s="1" t="str">
        <f>IFERROR(VLOOKUP(A29:A120,'140726 ph k.'!$A$64:$S$80,19,FALSE),"")</f>
        <v/>
      </c>
      <c r="O29" s="1">
        <f>IFERROR(VLOOKUP(A29:A120,'140726 ph k.'!$A$7:$H$60,8,FALSE),"")</f>
        <v>0</v>
      </c>
      <c r="P29" s="1" t="str">
        <f>IFERROR(VLOOKUP(A29:A120,'140726 ph k.'!$A$64:$N$80,14,FALSE),"")</f>
        <v/>
      </c>
      <c r="Q29" s="5">
        <v>2</v>
      </c>
      <c r="R29" s="1"/>
      <c r="S29" s="1">
        <v>0.5</v>
      </c>
      <c r="T29" s="1">
        <v>0.08</v>
      </c>
      <c r="U29" s="5">
        <v>1</v>
      </c>
      <c r="V29" s="1">
        <v>1.42</v>
      </c>
      <c r="W29" s="1">
        <v>0</v>
      </c>
      <c r="X29" s="5">
        <v>2</v>
      </c>
      <c r="Y29" s="1">
        <v>0</v>
      </c>
      <c r="Z29" s="34" t="e">
        <f t="shared" si="3"/>
        <v>#VALUE!</v>
      </c>
      <c r="AA29" s="20" t="e">
        <f t="shared" si="4"/>
        <v>#VALUE!</v>
      </c>
      <c r="AB29" s="34" t="e">
        <f t="shared" si="5"/>
        <v>#VALUE!</v>
      </c>
      <c r="AC29" s="2" t="e">
        <f t="shared" si="6"/>
        <v>#VALUE!</v>
      </c>
      <c r="AD29" s="1">
        <v>0</v>
      </c>
      <c r="AE29" s="1">
        <v>0</v>
      </c>
      <c r="AF29" s="1">
        <v>3</v>
      </c>
      <c r="AG29" s="1">
        <v>13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2</v>
      </c>
      <c r="AZ29" s="1">
        <v>3</v>
      </c>
      <c r="BA29" s="1">
        <v>4</v>
      </c>
      <c r="BB29" s="1">
        <v>1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16</v>
      </c>
      <c r="BK29" s="1">
        <v>2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</row>
    <row r="30" spans="1:69" ht="12.75" hidden="1" x14ac:dyDescent="0.2">
      <c r="A30" s="1">
        <v>48069</v>
      </c>
      <c r="B30" s="1" t="s">
        <v>110</v>
      </c>
      <c r="C30" s="1">
        <v>12</v>
      </c>
      <c r="D30" s="1">
        <v>677</v>
      </c>
      <c r="E30" s="1" t="s">
        <v>64</v>
      </c>
      <c r="F30" s="1">
        <v>690</v>
      </c>
      <c r="G30" s="1" t="s">
        <v>101</v>
      </c>
      <c r="H30" s="2">
        <v>54.916699999999999</v>
      </c>
      <c r="I30" s="2">
        <v>659.00040000000001</v>
      </c>
      <c r="J30" s="14">
        <f t="shared" si="1"/>
        <v>3295.002</v>
      </c>
      <c r="K30" s="15">
        <f t="shared" si="2"/>
        <v>5</v>
      </c>
      <c r="L30" s="15"/>
      <c r="M30" s="1">
        <v>0</v>
      </c>
      <c r="N30" s="1" t="str">
        <f>IFERROR(VLOOKUP(A30:A121,'140726 ph k.'!$A$64:$S$80,19,FALSE),"")</f>
        <v/>
      </c>
      <c r="O30" s="1">
        <f>IFERROR(VLOOKUP(A30:A121,'140726 ph k.'!$A$7:$H$60,8,FALSE),"")</f>
        <v>0</v>
      </c>
      <c r="P30" s="1" t="str">
        <f>IFERROR(VLOOKUP(A30:A121,'140726 ph k.'!$A$64:$N$80,14,FALSE),"")</f>
        <v/>
      </c>
      <c r="Q30" s="5">
        <v>2</v>
      </c>
      <c r="R30" s="1"/>
      <c r="S30" s="1">
        <v>0.67</v>
      </c>
      <c r="T30" s="1">
        <v>0</v>
      </c>
      <c r="U30" s="5">
        <v>1</v>
      </c>
      <c r="V30" s="1">
        <v>1.96</v>
      </c>
      <c r="W30" s="1">
        <v>0</v>
      </c>
      <c r="X30" s="5">
        <v>2</v>
      </c>
      <c r="Y30" s="1">
        <v>0</v>
      </c>
      <c r="Z30" s="34" t="e">
        <f t="shared" si="3"/>
        <v>#VALUE!</v>
      </c>
      <c r="AA30" s="20" t="e">
        <f t="shared" si="4"/>
        <v>#VALUE!</v>
      </c>
      <c r="AB30" s="34" t="e">
        <f t="shared" si="5"/>
        <v>#VALUE!</v>
      </c>
      <c r="AC30" s="2" t="e">
        <f t="shared" si="6"/>
        <v>#VALUE!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6</v>
      </c>
      <c r="BA30" s="1">
        <v>4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21</v>
      </c>
      <c r="BK30" s="1">
        <v>5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</row>
    <row r="31" spans="1:69" ht="12.75" hidden="1" x14ac:dyDescent="0.2">
      <c r="A31" s="1">
        <v>48056</v>
      </c>
      <c r="B31" s="1" t="s">
        <v>134</v>
      </c>
      <c r="C31" s="1">
        <v>12</v>
      </c>
      <c r="D31" s="1">
        <v>677</v>
      </c>
      <c r="E31" s="1" t="s">
        <v>64</v>
      </c>
      <c r="F31" s="1">
        <v>690</v>
      </c>
      <c r="G31" s="1" t="s">
        <v>101</v>
      </c>
      <c r="H31" s="2">
        <v>54.916699999999999</v>
      </c>
      <c r="I31" s="2">
        <v>659.00040000000001</v>
      </c>
      <c r="J31" s="14">
        <f t="shared" si="1"/>
        <v>3295.002</v>
      </c>
      <c r="K31" s="15">
        <f t="shared" si="2"/>
        <v>5</v>
      </c>
      <c r="L31" s="15"/>
      <c r="M31" s="1">
        <v>0.57999999999999996</v>
      </c>
      <c r="N31" s="1" t="str">
        <f>IFERROR(VLOOKUP(A31:A122,'140726 ph k.'!$A$64:$S$80,19,FALSE),"")</f>
        <v/>
      </c>
      <c r="O31" s="1">
        <f>IFERROR(VLOOKUP(A31:A122,'140726 ph k.'!$A$7:$H$60,8,FALSE),"")</f>
        <v>0</v>
      </c>
      <c r="P31" s="1" t="str">
        <f>IFERROR(VLOOKUP(A31:A122,'140726 ph k.'!$A$64:$N$80,14,FALSE),"")</f>
        <v/>
      </c>
      <c r="Q31" s="5">
        <v>2</v>
      </c>
      <c r="R31" s="1"/>
      <c r="S31" s="1">
        <v>0.42</v>
      </c>
      <c r="T31" s="1">
        <v>0</v>
      </c>
      <c r="U31" s="5">
        <v>1</v>
      </c>
      <c r="V31" s="1">
        <v>1.5</v>
      </c>
      <c r="W31" s="1">
        <v>0</v>
      </c>
      <c r="X31" s="5">
        <v>2</v>
      </c>
      <c r="Y31" s="1">
        <v>0</v>
      </c>
      <c r="Z31" s="34" t="e">
        <f t="shared" si="3"/>
        <v>#VALUE!</v>
      </c>
      <c r="AA31" s="20" t="e">
        <f t="shared" si="4"/>
        <v>#VALUE!</v>
      </c>
      <c r="AB31" s="34" t="e">
        <f t="shared" si="5"/>
        <v>#VALUE!</v>
      </c>
      <c r="AC31" s="2" t="e">
        <f t="shared" si="6"/>
        <v>#VALUE!</v>
      </c>
      <c r="AD31" s="1">
        <v>0</v>
      </c>
      <c r="AE31" s="1">
        <v>0</v>
      </c>
      <c r="AF31" s="1">
        <v>3</v>
      </c>
      <c r="AG31" s="1">
        <v>8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1</v>
      </c>
      <c r="BA31" s="1">
        <v>8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16</v>
      </c>
      <c r="BK31" s="1">
        <v>4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</row>
    <row r="32" spans="1:69" ht="12.75" hidden="1" x14ac:dyDescent="0.2">
      <c r="A32" s="1">
        <v>48055</v>
      </c>
      <c r="B32" s="1" t="s">
        <v>119</v>
      </c>
      <c r="C32" s="1">
        <v>12</v>
      </c>
      <c r="D32" s="1">
        <v>677</v>
      </c>
      <c r="E32" s="1" t="s">
        <v>64</v>
      </c>
      <c r="F32" s="1">
        <v>690</v>
      </c>
      <c r="G32" s="1" t="s">
        <v>101</v>
      </c>
      <c r="H32" s="2">
        <v>54.916699999999999</v>
      </c>
      <c r="I32" s="2">
        <v>659.00040000000001</v>
      </c>
      <c r="J32" s="14">
        <f t="shared" si="1"/>
        <v>1977.0012000000002</v>
      </c>
      <c r="K32" s="15">
        <f t="shared" si="2"/>
        <v>3</v>
      </c>
      <c r="L32" s="15"/>
      <c r="M32" s="1">
        <v>1.21</v>
      </c>
      <c r="N32" s="1" t="str">
        <f>IFERROR(VLOOKUP(A32:A123,'140726 ph k.'!$A$64:$S$80,19,FALSE),"")</f>
        <v/>
      </c>
      <c r="O32" s="1">
        <f>IFERROR(VLOOKUP(A32:A123,'140726 ph k.'!$A$7:$H$60,8,FALSE),"")</f>
        <v>0</v>
      </c>
      <c r="P32" s="1" t="str">
        <f>IFERROR(VLOOKUP(A32:A123,'140726 ph k.'!$A$64:$N$80,14,FALSE),"")</f>
        <v/>
      </c>
      <c r="Q32" s="5">
        <v>2</v>
      </c>
      <c r="R32" s="1"/>
      <c r="S32" s="1">
        <v>0.75</v>
      </c>
      <c r="T32" s="1">
        <v>0</v>
      </c>
      <c r="U32" s="5">
        <v>1</v>
      </c>
      <c r="V32" s="1">
        <v>3.75</v>
      </c>
      <c r="W32" s="1">
        <v>3.58</v>
      </c>
      <c r="X32" s="17">
        <f>MAX(0,(TRUNC((V32*0.8)-W32)))</f>
        <v>0</v>
      </c>
      <c r="Y32" s="1">
        <v>0</v>
      </c>
      <c r="Z32" s="34" t="e">
        <f t="shared" si="3"/>
        <v>#VALUE!</v>
      </c>
      <c r="AA32" s="20" t="e">
        <f t="shared" si="4"/>
        <v>#VALUE!</v>
      </c>
      <c r="AB32" s="34" t="e">
        <f t="shared" si="5"/>
        <v>#VALUE!</v>
      </c>
      <c r="AC32" s="2" t="e">
        <f t="shared" si="6"/>
        <v>#VALUE!</v>
      </c>
      <c r="AD32" s="1">
        <v>0</v>
      </c>
      <c r="AE32" s="1">
        <v>0</v>
      </c>
      <c r="AF32" s="1">
        <v>10</v>
      </c>
      <c r="AG32" s="1">
        <v>9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4</v>
      </c>
      <c r="BA32" s="1">
        <v>10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7</v>
      </c>
      <c r="BI32" s="1">
        <v>20</v>
      </c>
      <c r="BJ32" s="1">
        <v>24</v>
      </c>
      <c r="BK32" s="1">
        <v>8</v>
      </c>
      <c r="BL32" s="1">
        <v>43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</row>
    <row r="33" spans="1:69" ht="12.75" hidden="1" x14ac:dyDescent="0.2">
      <c r="A33" s="1">
        <v>47000</v>
      </c>
      <c r="B33" s="1" t="s">
        <v>85</v>
      </c>
      <c r="C33" s="1">
        <v>16</v>
      </c>
      <c r="D33" s="1">
        <v>677</v>
      </c>
      <c r="E33" s="1" t="s">
        <v>64</v>
      </c>
      <c r="F33" s="1">
        <v>61</v>
      </c>
      <c r="G33" s="1" t="s">
        <v>66</v>
      </c>
      <c r="H33" s="2">
        <v>56.59</v>
      </c>
      <c r="I33" s="2">
        <v>905.44</v>
      </c>
      <c r="J33" s="14">
        <f t="shared" si="1"/>
        <v>0</v>
      </c>
      <c r="K33" s="15">
        <f t="shared" si="2"/>
        <v>0</v>
      </c>
      <c r="L33" s="15"/>
      <c r="M33" s="1">
        <v>6.25</v>
      </c>
      <c r="N33" s="1">
        <f>IFERROR(VLOOKUP(A33:A124,'140726 ph k.'!$A$64:$S$80,19,FALSE),"")</f>
        <v>2.4</v>
      </c>
      <c r="O33" s="1">
        <f>IFERROR(VLOOKUP(A33:A124,'140726 ph k.'!$A$7:$H$60,8,FALSE),"")</f>
        <v>197</v>
      </c>
      <c r="P33" s="35">
        <f>IFERROR(VLOOKUP(A33:A124,'140726 ph k.'!$A$64:$N$80,14,FALSE),"")</f>
        <v>12.31</v>
      </c>
      <c r="Q33" s="17">
        <f>MAX(0,(TRUNC((M33+N33*0.8)-P33)))</f>
        <v>0</v>
      </c>
      <c r="R33" s="1"/>
      <c r="S33" s="1">
        <v>22.81</v>
      </c>
      <c r="T33" s="1">
        <v>16.190000000000001</v>
      </c>
      <c r="U33" s="5">
        <v>0</v>
      </c>
      <c r="V33" s="1">
        <v>18.41</v>
      </c>
      <c r="W33" s="1">
        <v>13</v>
      </c>
      <c r="X33" s="5">
        <v>0</v>
      </c>
      <c r="Y33" s="1">
        <v>0</v>
      </c>
      <c r="Z33" s="34">
        <f t="shared" si="3"/>
        <v>49.870000000000005</v>
      </c>
      <c r="AA33" s="18">
        <f t="shared" si="4"/>
        <v>45154.29280000001</v>
      </c>
      <c r="AB33" s="34">
        <f t="shared" si="5"/>
        <v>41.5</v>
      </c>
      <c r="AC33" s="2">
        <f t="shared" si="6"/>
        <v>37575.760000000002</v>
      </c>
      <c r="AD33" s="1">
        <v>0</v>
      </c>
      <c r="AE33" s="1">
        <v>44</v>
      </c>
      <c r="AF33" s="1">
        <v>46</v>
      </c>
      <c r="AG33" s="1">
        <v>64</v>
      </c>
      <c r="AH33" s="1">
        <v>40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67</v>
      </c>
      <c r="AY33" s="1">
        <v>124</v>
      </c>
      <c r="AZ33" s="1">
        <v>141</v>
      </c>
      <c r="BA33" s="1">
        <v>190</v>
      </c>
      <c r="BB33" s="1">
        <v>259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161</v>
      </c>
      <c r="BI33" s="1">
        <v>91</v>
      </c>
      <c r="BJ33" s="1">
        <v>44</v>
      </c>
      <c r="BK33" s="1">
        <v>88</v>
      </c>
      <c r="BL33" s="1">
        <v>208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</row>
    <row r="34" spans="1:69" ht="12.75" hidden="1" x14ac:dyDescent="0.2">
      <c r="A34" s="1">
        <v>47046</v>
      </c>
      <c r="B34" s="1" t="s">
        <v>78</v>
      </c>
      <c r="C34" s="1">
        <v>24</v>
      </c>
      <c r="D34" s="1">
        <v>677</v>
      </c>
      <c r="E34" s="1" t="s">
        <v>64</v>
      </c>
      <c r="F34" s="1">
        <v>61</v>
      </c>
      <c r="G34" s="1" t="s">
        <v>66</v>
      </c>
      <c r="H34" s="2">
        <v>39.11</v>
      </c>
      <c r="I34" s="2">
        <v>938.64</v>
      </c>
      <c r="J34" s="14">
        <f t="shared" si="1"/>
        <v>0</v>
      </c>
      <c r="K34" s="15">
        <f t="shared" si="2"/>
        <v>0</v>
      </c>
      <c r="L34" s="15"/>
      <c r="M34" s="1">
        <v>6.33</v>
      </c>
      <c r="N34" s="1">
        <f>IFERROR(VLOOKUP(A34:A125,'140726 ph k.'!$A$64:$S$80,19,FALSE),"")</f>
        <v>1.3</v>
      </c>
      <c r="O34" s="1">
        <f>IFERROR(VLOOKUP(A34:A125,'140726 ph k.'!$A$7:$H$60,8,FALSE),"")</f>
        <v>31</v>
      </c>
      <c r="P34" s="1">
        <f>IFERROR(VLOOKUP(A34:A125,'140726 ph k.'!$A$64:$N$80,14,FALSE),"")</f>
        <v>1.29</v>
      </c>
      <c r="Q34" s="5">
        <v>0</v>
      </c>
      <c r="R34" s="1" t="s">
        <v>224</v>
      </c>
      <c r="S34" s="1">
        <v>19.059999999999999</v>
      </c>
      <c r="T34" s="1">
        <v>32.79</v>
      </c>
      <c r="U34" s="17">
        <f t="shared" ref="U34:U42" si="12">MAX(0,(TRUNC((S34*0.8)-T34)))</f>
        <v>0</v>
      </c>
      <c r="V34" s="1">
        <v>16.440000000000001</v>
      </c>
      <c r="W34" s="1">
        <v>15.54</v>
      </c>
      <c r="X34" s="17">
        <f t="shared" ref="X34:X35" si="13">MAX(0,(TRUNC((V34*0.8)-W34)))</f>
        <v>0</v>
      </c>
      <c r="Y34" s="1">
        <v>0</v>
      </c>
      <c r="Z34" s="34">
        <f t="shared" si="3"/>
        <v>43.129999999999995</v>
      </c>
      <c r="AA34" s="18">
        <f t="shared" si="4"/>
        <v>40483.543199999993</v>
      </c>
      <c r="AB34" s="34">
        <f t="shared" si="5"/>
        <v>49.62</v>
      </c>
      <c r="AC34" s="2">
        <f t="shared" si="6"/>
        <v>46575.316800000001</v>
      </c>
      <c r="AD34" s="1">
        <v>0</v>
      </c>
      <c r="AE34" s="1">
        <v>63</v>
      </c>
      <c r="AF34" s="1">
        <v>66</v>
      </c>
      <c r="AG34" s="1">
        <v>109</v>
      </c>
      <c r="AH34" s="1">
        <v>121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189</v>
      </c>
      <c r="AY34" s="1">
        <v>129</v>
      </c>
      <c r="AZ34" s="1">
        <v>141</v>
      </c>
      <c r="BA34" s="1">
        <v>126</v>
      </c>
      <c r="BB34" s="1">
        <v>787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149</v>
      </c>
      <c r="BI34" s="1">
        <v>82</v>
      </c>
      <c r="BJ34" s="1">
        <v>144</v>
      </c>
      <c r="BK34" s="1">
        <v>121</v>
      </c>
      <c r="BL34" s="1">
        <v>373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</row>
    <row r="35" spans="1:69" ht="12.75" hidden="1" x14ac:dyDescent="0.2">
      <c r="A35" s="1">
        <v>47004</v>
      </c>
      <c r="B35" s="1" t="s">
        <v>86</v>
      </c>
      <c r="C35" s="1">
        <v>24</v>
      </c>
      <c r="D35" s="1">
        <v>677</v>
      </c>
      <c r="E35" s="1" t="s">
        <v>64</v>
      </c>
      <c r="F35" s="1">
        <v>61</v>
      </c>
      <c r="G35" s="1" t="s">
        <v>66</v>
      </c>
      <c r="H35" s="2">
        <v>22.315999999999999</v>
      </c>
      <c r="I35" s="2">
        <v>535.58399999999995</v>
      </c>
      <c r="J35" s="14">
        <f t="shared" si="1"/>
        <v>0</v>
      </c>
      <c r="K35" s="15">
        <f t="shared" si="2"/>
        <v>0</v>
      </c>
      <c r="L35" s="15"/>
      <c r="M35" s="1">
        <v>7.02</v>
      </c>
      <c r="N35" s="1">
        <f>IFERROR(VLOOKUP(A35:A126,'140726 ph k.'!$A$64:$S$80,19,FALSE),"")</f>
        <v>1.1000000000000001</v>
      </c>
      <c r="O35" s="1">
        <f>IFERROR(VLOOKUP(A35:A126,'140726 ph k.'!$A$7:$H$60,8,FALSE),"")</f>
        <v>276</v>
      </c>
      <c r="P35" s="35">
        <f>IFERROR(VLOOKUP(A35:A126,'140726 ph k.'!$A$64:$N$80,14,FALSE),"")</f>
        <v>11.5</v>
      </c>
      <c r="Q35" s="17">
        <f t="shared" ref="Q35:Q42" si="14">MAX(0,(TRUNC((M35+N35*0.8)-P35)))</f>
        <v>0</v>
      </c>
      <c r="R35" s="1"/>
      <c r="S35" s="1">
        <v>13.25</v>
      </c>
      <c r="T35" s="1">
        <v>10.62</v>
      </c>
      <c r="U35" s="17">
        <f t="shared" si="12"/>
        <v>0</v>
      </c>
      <c r="V35" s="1">
        <v>13.88</v>
      </c>
      <c r="W35" s="1">
        <v>11.62</v>
      </c>
      <c r="X35" s="17">
        <f t="shared" si="13"/>
        <v>0</v>
      </c>
      <c r="Y35" s="1">
        <v>0</v>
      </c>
      <c r="Z35" s="34">
        <f t="shared" si="3"/>
        <v>35.25</v>
      </c>
      <c r="AA35" s="18">
        <f t="shared" si="4"/>
        <v>18879.335999999999</v>
      </c>
      <c r="AB35" s="34">
        <f t="shared" si="5"/>
        <v>33.739999999999995</v>
      </c>
      <c r="AC35" s="2">
        <f t="shared" si="6"/>
        <v>18070.604159999995</v>
      </c>
      <c r="AD35" s="1">
        <v>0</v>
      </c>
      <c r="AE35" s="1">
        <v>11</v>
      </c>
      <c r="AF35" s="1">
        <v>122</v>
      </c>
      <c r="AG35" s="1">
        <v>82</v>
      </c>
      <c r="AH35" s="1">
        <v>-1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110</v>
      </c>
      <c r="AY35" s="1">
        <v>139</v>
      </c>
      <c r="AZ35" s="1">
        <v>97</v>
      </c>
      <c r="BA35" s="1">
        <v>83</v>
      </c>
      <c r="BB35" s="1">
        <v>255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124</v>
      </c>
      <c r="BI35" s="1">
        <v>75</v>
      </c>
      <c r="BJ35" s="1">
        <v>127</v>
      </c>
      <c r="BK35" s="1">
        <v>89</v>
      </c>
      <c r="BL35" s="1">
        <v>279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</row>
    <row r="36" spans="1:69" ht="12.75" hidden="1" x14ac:dyDescent="0.2">
      <c r="A36" s="1">
        <v>47027</v>
      </c>
      <c r="B36" s="1" t="s">
        <v>95</v>
      </c>
      <c r="C36" s="1">
        <v>16</v>
      </c>
      <c r="D36" s="1">
        <v>677</v>
      </c>
      <c r="E36" s="1" t="s">
        <v>64</v>
      </c>
      <c r="F36" s="1">
        <v>999</v>
      </c>
      <c r="G36" s="1" t="s">
        <v>67</v>
      </c>
      <c r="H36" s="2">
        <v>56.59</v>
      </c>
      <c r="I36" s="2">
        <v>905.44</v>
      </c>
      <c r="J36" s="14">
        <f t="shared" si="1"/>
        <v>0</v>
      </c>
      <c r="K36" s="15">
        <f t="shared" si="2"/>
        <v>0</v>
      </c>
      <c r="L36" s="15"/>
      <c r="M36" s="1">
        <v>0.34</v>
      </c>
      <c r="N36" s="1">
        <f>IFERROR(VLOOKUP(A36:A127,'140726 ph k.'!$A$64:$S$80,19,FALSE),"")</f>
        <v>0.8</v>
      </c>
      <c r="O36" s="1" t="str">
        <f>IFERROR(VLOOKUP(A36:A127,'140726 ph k.'!$A$7:$H$60,8,FALSE),"")</f>
        <v/>
      </c>
      <c r="P36" s="1">
        <f>IFERROR(VLOOKUP(A36:A127,'140726 ph k.'!$A$64:$N$80,14,FALSE),"")</f>
        <v>0</v>
      </c>
      <c r="Q36" s="17">
        <f t="shared" si="14"/>
        <v>0</v>
      </c>
      <c r="R36" s="1"/>
      <c r="S36" s="1">
        <v>4.66</v>
      </c>
      <c r="T36" s="1">
        <v>7</v>
      </c>
      <c r="U36" s="17">
        <f t="shared" si="12"/>
        <v>0</v>
      </c>
      <c r="V36" s="1">
        <v>1.81</v>
      </c>
      <c r="W36" s="1">
        <v>0</v>
      </c>
      <c r="X36" s="5">
        <v>0</v>
      </c>
      <c r="Y36" s="1">
        <v>0</v>
      </c>
      <c r="Z36" s="34">
        <f t="shared" si="3"/>
        <v>7.6100000000000012</v>
      </c>
      <c r="AA36" s="22">
        <f t="shared" si="4"/>
        <v>6890.3984000000019</v>
      </c>
      <c r="AB36" s="34">
        <f t="shared" si="5"/>
        <v>7</v>
      </c>
      <c r="AC36" s="2">
        <f t="shared" si="6"/>
        <v>6338.08</v>
      </c>
      <c r="AD36" s="1">
        <v>0</v>
      </c>
      <c r="AE36" s="1">
        <v>11</v>
      </c>
      <c r="AF36" s="1">
        <v>0</v>
      </c>
      <c r="AG36" s="1">
        <v>0</v>
      </c>
      <c r="AH36" s="1">
        <v>19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53</v>
      </c>
      <c r="AY36" s="1">
        <v>43</v>
      </c>
      <c r="AZ36" s="1">
        <v>0</v>
      </c>
      <c r="BA36" s="1">
        <v>0</v>
      </c>
      <c r="BB36" s="1">
        <v>112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58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</row>
    <row r="37" spans="1:69" ht="12.75" hidden="1" x14ac:dyDescent="0.2">
      <c r="A37" s="1">
        <v>47052</v>
      </c>
      <c r="B37" s="1" t="s">
        <v>82</v>
      </c>
      <c r="C37" s="1">
        <v>10</v>
      </c>
      <c r="D37" s="1">
        <v>677</v>
      </c>
      <c r="E37" s="1" t="s">
        <v>64</v>
      </c>
      <c r="F37" s="1">
        <v>525</v>
      </c>
      <c r="G37" s="1" t="s">
        <v>84</v>
      </c>
      <c r="H37" s="2">
        <v>133.74299999999999</v>
      </c>
      <c r="I37" s="2">
        <v>1337.43</v>
      </c>
      <c r="J37" s="14" t="e">
        <f t="shared" si="1"/>
        <v>#VALUE!</v>
      </c>
      <c r="K37" s="15" t="e">
        <f t="shared" si="2"/>
        <v>#VALUE!</v>
      </c>
      <c r="L37" s="15"/>
      <c r="M37" s="1">
        <v>0</v>
      </c>
      <c r="N37" s="1" t="str">
        <f>IFERROR(VLOOKUP(A37:A128,'140726 ph k.'!$A$64:$S$80,19,FALSE),"")</f>
        <v/>
      </c>
      <c r="O37" s="1">
        <f>IFERROR(VLOOKUP(A37:A128,'140726 ph k.'!$A$7:$H$60,8,FALSE),"")</f>
        <v>-20</v>
      </c>
      <c r="P37" s="79">
        <v>2</v>
      </c>
      <c r="Q37" s="17" t="e">
        <f t="shared" si="14"/>
        <v>#VALUE!</v>
      </c>
      <c r="R37" s="1"/>
      <c r="S37" s="1">
        <v>0</v>
      </c>
      <c r="T37" s="1">
        <v>5</v>
      </c>
      <c r="U37" s="17">
        <f t="shared" si="12"/>
        <v>0</v>
      </c>
      <c r="V37" s="1">
        <v>4.5</v>
      </c>
      <c r="W37" s="1">
        <v>5.5</v>
      </c>
      <c r="X37" s="17">
        <f t="shared" ref="X37:X42" si="15">MAX(0,(TRUNC((V37*0.8)-W37)))</f>
        <v>0</v>
      </c>
      <c r="Y37" s="1">
        <v>0</v>
      </c>
      <c r="Z37" s="34" t="e">
        <f t="shared" si="3"/>
        <v>#VALUE!</v>
      </c>
      <c r="AA37" s="22" t="e">
        <f t="shared" si="4"/>
        <v>#VALUE!</v>
      </c>
      <c r="AB37" s="34">
        <f t="shared" si="5"/>
        <v>12.5</v>
      </c>
      <c r="AC37" s="2">
        <f t="shared" si="6"/>
        <v>16717.875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50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45</v>
      </c>
      <c r="BI37" s="1">
        <v>0</v>
      </c>
      <c r="BJ37" s="1">
        <v>0</v>
      </c>
      <c r="BK37" s="1">
        <v>0</v>
      </c>
      <c r="BL37" s="1">
        <v>55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</row>
    <row r="38" spans="1:69" ht="12.75" hidden="1" x14ac:dyDescent="0.2">
      <c r="A38" s="1">
        <v>47026</v>
      </c>
      <c r="B38" s="1" t="s">
        <v>120</v>
      </c>
      <c r="C38" s="1">
        <v>12</v>
      </c>
      <c r="D38" s="1">
        <v>677</v>
      </c>
      <c r="E38" s="1" t="s">
        <v>64</v>
      </c>
      <c r="F38" s="1">
        <v>999</v>
      </c>
      <c r="G38" s="1" t="s">
        <v>67</v>
      </c>
      <c r="H38" s="2">
        <v>48.56</v>
      </c>
      <c r="I38" s="2">
        <v>582.72</v>
      </c>
      <c r="J38" s="14" t="e">
        <f t="shared" si="1"/>
        <v>#VALUE!</v>
      </c>
      <c r="K38" s="15" t="e">
        <f t="shared" si="2"/>
        <v>#VALUE!</v>
      </c>
      <c r="L38" s="15"/>
      <c r="M38" s="1">
        <v>0.5</v>
      </c>
      <c r="N38" s="1" t="str">
        <f>IFERROR(VLOOKUP(A38:A129,'140726 ph k.'!$A$64:$S$80,19,FALSE),"")</f>
        <v/>
      </c>
      <c r="O38" s="1">
        <f>IFERROR(VLOOKUP(A38:A129,'140726 ph k.'!$A$7:$H$60,8,FALSE),"")</f>
        <v>0</v>
      </c>
      <c r="P38" s="1" t="str">
        <f>IFERROR(VLOOKUP(A38:A129,'140726 ph k.'!$A$64:$N$80,14,FALSE),"")</f>
        <v/>
      </c>
      <c r="Q38" s="17" t="e">
        <f t="shared" si="14"/>
        <v>#VALUE!</v>
      </c>
      <c r="R38" s="1"/>
      <c r="S38" s="1">
        <v>5.54</v>
      </c>
      <c r="T38" s="1">
        <v>8.08</v>
      </c>
      <c r="U38" s="17">
        <f t="shared" si="12"/>
        <v>0</v>
      </c>
      <c r="V38" s="1">
        <v>0.96</v>
      </c>
      <c r="W38" s="1">
        <v>0</v>
      </c>
      <c r="X38" s="17">
        <f t="shared" si="15"/>
        <v>0</v>
      </c>
      <c r="Y38" s="1">
        <v>0</v>
      </c>
      <c r="Z38" s="34" t="e">
        <f t="shared" si="3"/>
        <v>#VALUE!</v>
      </c>
      <c r="AA38" s="20" t="e">
        <f t="shared" si="4"/>
        <v>#VALUE!</v>
      </c>
      <c r="AB38" s="34" t="e">
        <f t="shared" si="5"/>
        <v>#VALUE!</v>
      </c>
      <c r="AC38" s="2" t="e">
        <f t="shared" si="6"/>
        <v>#VALUE!</v>
      </c>
      <c r="AD38" s="1">
        <v>0</v>
      </c>
      <c r="AE38" s="1">
        <v>12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48</v>
      </c>
      <c r="AY38" s="1">
        <v>37</v>
      </c>
      <c r="AZ38" s="1">
        <v>0</v>
      </c>
      <c r="BA38" s="1">
        <v>0</v>
      </c>
      <c r="BB38" s="1">
        <v>97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11</v>
      </c>
      <c r="BI38" s="1">
        <v>1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</row>
    <row r="39" spans="1:69" ht="12.75" hidden="1" x14ac:dyDescent="0.2">
      <c r="A39" s="1">
        <v>47017</v>
      </c>
      <c r="B39" s="1" t="s">
        <v>175</v>
      </c>
      <c r="C39" s="1">
        <v>24</v>
      </c>
      <c r="D39" s="1">
        <v>677</v>
      </c>
      <c r="E39" s="1" t="s">
        <v>64</v>
      </c>
      <c r="F39" s="1">
        <v>61</v>
      </c>
      <c r="G39" s="1" t="s">
        <v>66</v>
      </c>
      <c r="H39" s="2">
        <v>52.741</v>
      </c>
      <c r="I39" s="2">
        <v>1265.7840000000001</v>
      </c>
      <c r="J39" s="14">
        <f t="shared" si="1"/>
        <v>0</v>
      </c>
      <c r="K39" s="15">
        <f t="shared" si="2"/>
        <v>0</v>
      </c>
      <c r="L39" s="15"/>
      <c r="M39" s="1">
        <v>0.1</v>
      </c>
      <c r="N39" s="1">
        <f>IFERROR(VLOOKUP(A39:A130,'140726 ph k.'!$A$64:$S$80,19,FALSE),"")</f>
        <v>0.5</v>
      </c>
      <c r="O39" s="1">
        <f>IFERROR(VLOOKUP(A39:A130,'140726 ph k.'!$A$7:$H$60,8,FALSE),"")</f>
        <v>35</v>
      </c>
      <c r="P39" s="1">
        <f>IFERROR(VLOOKUP(A39:A130,'140726 ph k.'!$A$64:$N$80,14,FALSE),"")</f>
        <v>1.46</v>
      </c>
      <c r="Q39" s="17">
        <f t="shared" si="14"/>
        <v>0</v>
      </c>
      <c r="R39" s="1"/>
      <c r="S39" s="1">
        <v>1.71</v>
      </c>
      <c r="T39" s="1">
        <v>1.21</v>
      </c>
      <c r="U39" s="17">
        <f t="shared" si="12"/>
        <v>0</v>
      </c>
      <c r="V39" s="1">
        <v>0.73</v>
      </c>
      <c r="W39" s="1">
        <v>3.5</v>
      </c>
      <c r="X39" s="17">
        <f t="shared" si="15"/>
        <v>0</v>
      </c>
      <c r="Y39" s="1">
        <v>0</v>
      </c>
      <c r="Z39" s="34">
        <f t="shared" si="3"/>
        <v>3.04</v>
      </c>
      <c r="AA39" s="20">
        <f t="shared" si="4"/>
        <v>3847.9833600000002</v>
      </c>
      <c r="AB39" s="34">
        <f t="shared" si="5"/>
        <v>6.17</v>
      </c>
      <c r="AC39" s="2">
        <f t="shared" si="6"/>
        <v>7809.8872800000008</v>
      </c>
      <c r="AD39" s="1">
        <v>0</v>
      </c>
      <c r="AE39" s="1">
        <v>5</v>
      </c>
      <c r="AF39" s="1">
        <v>0</v>
      </c>
      <c r="AG39" s="1">
        <v>0</v>
      </c>
      <c r="AH39" s="1">
        <v>4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39</v>
      </c>
      <c r="AY39" s="1">
        <v>4</v>
      </c>
      <c r="AZ39" s="1">
        <v>0</v>
      </c>
      <c r="BA39" s="1">
        <v>0</v>
      </c>
      <c r="BB39" s="1">
        <v>29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9</v>
      </c>
      <c r="BI39" s="1">
        <v>17</v>
      </c>
      <c r="BJ39" s="1">
        <v>0</v>
      </c>
      <c r="BK39" s="1">
        <v>0</v>
      </c>
      <c r="BL39" s="1">
        <v>84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</row>
    <row r="40" spans="1:69" ht="12.75" hidden="1" x14ac:dyDescent="0.2">
      <c r="A40" s="1">
        <v>47014</v>
      </c>
      <c r="B40" s="1" t="s">
        <v>97</v>
      </c>
      <c r="C40" s="1">
        <v>24</v>
      </c>
      <c r="D40" s="1">
        <v>677</v>
      </c>
      <c r="E40" s="1" t="s">
        <v>64</v>
      </c>
      <c r="F40" s="1">
        <v>61</v>
      </c>
      <c r="G40" s="1" t="s">
        <v>66</v>
      </c>
      <c r="H40" s="2">
        <v>43.319099999999999</v>
      </c>
      <c r="I40" s="2">
        <v>1039.6584</v>
      </c>
      <c r="J40" s="14" t="e">
        <f t="shared" si="1"/>
        <v>#VALUE!</v>
      </c>
      <c r="K40" s="15" t="e">
        <f t="shared" si="2"/>
        <v>#VALUE!</v>
      </c>
      <c r="L40" s="15"/>
      <c r="M40" s="1">
        <v>0.6</v>
      </c>
      <c r="N40" s="1" t="str">
        <f>IFERROR(VLOOKUP(A40:A131,'140726 ph k.'!$A$64:$S$80,19,FALSE),"")</f>
        <v/>
      </c>
      <c r="O40" s="1">
        <f>IFERROR(VLOOKUP(A40:A131,'140726 ph k.'!$A$7:$H$60,8,FALSE),"")</f>
        <v>0</v>
      </c>
      <c r="P40" s="1" t="str">
        <f>IFERROR(VLOOKUP(A40:A131,'140726 ph k.'!$A$64:$N$80,14,FALSE),"")</f>
        <v/>
      </c>
      <c r="Q40" s="17" t="e">
        <f t="shared" si="14"/>
        <v>#VALUE!</v>
      </c>
      <c r="R40" s="1"/>
      <c r="S40" s="1">
        <v>0.94</v>
      </c>
      <c r="T40" s="1">
        <v>0</v>
      </c>
      <c r="U40" s="17">
        <f t="shared" si="12"/>
        <v>0</v>
      </c>
      <c r="V40" s="1">
        <v>1</v>
      </c>
      <c r="W40" s="1">
        <v>0.04</v>
      </c>
      <c r="X40" s="17">
        <f t="shared" si="15"/>
        <v>0</v>
      </c>
      <c r="Y40" s="1">
        <v>0</v>
      </c>
      <c r="Z40" s="34" t="e">
        <f t="shared" si="3"/>
        <v>#VALUE!</v>
      </c>
      <c r="AA40" s="20" t="e">
        <f t="shared" si="4"/>
        <v>#VALUE!</v>
      </c>
      <c r="AB40" s="34" t="e">
        <f t="shared" si="5"/>
        <v>#VALUE!</v>
      </c>
      <c r="AC40" s="2" t="e">
        <f t="shared" si="6"/>
        <v>#VALUE!</v>
      </c>
      <c r="AD40" s="1">
        <v>0</v>
      </c>
      <c r="AE40" s="1">
        <v>0</v>
      </c>
      <c r="AF40" s="1">
        <v>0</v>
      </c>
      <c r="AG40" s="1">
        <v>29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2</v>
      </c>
      <c r="BA40" s="1">
        <v>41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5</v>
      </c>
      <c r="BI40" s="1">
        <v>2</v>
      </c>
      <c r="BJ40" s="1">
        <v>11</v>
      </c>
      <c r="BK40" s="1">
        <v>14</v>
      </c>
      <c r="BL40" s="1">
        <v>1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</row>
    <row r="41" spans="1:69" ht="12.75" hidden="1" x14ac:dyDescent="0.2">
      <c r="A41" s="1">
        <v>47019</v>
      </c>
      <c r="B41" s="1" t="s">
        <v>123</v>
      </c>
      <c r="C41" s="1">
        <v>8</v>
      </c>
      <c r="D41" s="1">
        <v>677</v>
      </c>
      <c r="E41" s="1" t="s">
        <v>64</v>
      </c>
      <c r="F41" s="1">
        <v>61</v>
      </c>
      <c r="G41" s="1" t="s">
        <v>66</v>
      </c>
      <c r="H41" s="2">
        <v>152.41</v>
      </c>
      <c r="I41" s="2">
        <v>1219.28</v>
      </c>
      <c r="J41" s="14" t="e">
        <f t="shared" si="1"/>
        <v>#VALUE!</v>
      </c>
      <c r="K41" s="15" t="e">
        <f t="shared" si="2"/>
        <v>#VALUE!</v>
      </c>
      <c r="L41" s="15"/>
      <c r="M41" s="1">
        <v>0.12</v>
      </c>
      <c r="N41" s="1" t="str">
        <f>IFERROR(VLOOKUP(A41:A132,'140726 ph k.'!$A$64:$S$80,19,FALSE),"")</f>
        <v/>
      </c>
      <c r="O41" s="1">
        <f>IFERROR(VLOOKUP(A41:A132,'140726 ph k.'!$A$7:$H$60,8,FALSE),"")</f>
        <v>21</v>
      </c>
      <c r="P41" s="35">
        <f>O41/8</f>
        <v>2.625</v>
      </c>
      <c r="Q41" s="17" t="e">
        <f t="shared" si="14"/>
        <v>#VALUE!</v>
      </c>
      <c r="R41" s="1"/>
      <c r="S41" s="1">
        <v>0.62</v>
      </c>
      <c r="T41" s="1">
        <v>2.12</v>
      </c>
      <c r="U41" s="17">
        <f t="shared" si="12"/>
        <v>0</v>
      </c>
      <c r="V41" s="1">
        <v>0.38</v>
      </c>
      <c r="W41" s="1">
        <v>0.62</v>
      </c>
      <c r="X41" s="17">
        <f t="shared" si="15"/>
        <v>0</v>
      </c>
      <c r="Y41" s="1">
        <v>0</v>
      </c>
      <c r="Z41" s="34" t="e">
        <f t="shared" si="3"/>
        <v>#VALUE!</v>
      </c>
      <c r="AA41" s="20" t="e">
        <f t="shared" si="4"/>
        <v>#VALUE!</v>
      </c>
      <c r="AB41" s="34">
        <f t="shared" si="5"/>
        <v>5.3650000000000002</v>
      </c>
      <c r="AC41" s="2">
        <f t="shared" si="6"/>
        <v>6541.4372000000003</v>
      </c>
      <c r="AD41" s="1">
        <v>0</v>
      </c>
      <c r="AE41" s="1">
        <v>2</v>
      </c>
      <c r="AF41" s="1">
        <v>0</v>
      </c>
      <c r="AG41" s="1">
        <v>0</v>
      </c>
      <c r="AH41" s="1">
        <v>21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1</v>
      </c>
      <c r="AY41" s="1">
        <v>2</v>
      </c>
      <c r="AZ41" s="1">
        <v>2</v>
      </c>
      <c r="BA41" s="1">
        <v>2</v>
      </c>
      <c r="BB41" s="1">
        <v>17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2</v>
      </c>
      <c r="BK41" s="1">
        <v>2</v>
      </c>
      <c r="BL41" s="1">
        <v>5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</row>
    <row r="42" spans="1:69" ht="12.75" hidden="1" x14ac:dyDescent="0.2">
      <c r="A42" s="1">
        <v>47210</v>
      </c>
      <c r="B42" s="1" t="s">
        <v>127</v>
      </c>
      <c r="C42" s="1">
        <v>12</v>
      </c>
      <c r="D42" s="1">
        <v>677</v>
      </c>
      <c r="E42" s="1" t="s">
        <v>64</v>
      </c>
      <c r="F42" s="1">
        <v>61</v>
      </c>
      <c r="G42" s="1" t="s">
        <v>66</v>
      </c>
      <c r="H42" s="2">
        <v>48.1554</v>
      </c>
      <c r="I42" s="2">
        <v>577.86479999999995</v>
      </c>
      <c r="J42" s="14" t="e">
        <f t="shared" si="1"/>
        <v>#VALUE!</v>
      </c>
      <c r="K42" s="15" t="e">
        <f t="shared" si="2"/>
        <v>#VALUE!</v>
      </c>
      <c r="L42" s="15"/>
      <c r="M42" s="1">
        <v>0.21</v>
      </c>
      <c r="N42" s="1" t="str">
        <f>IFERROR(VLOOKUP(A42:A133,'140726 ph k.'!$A$64:$S$80,19,FALSE),"")</f>
        <v/>
      </c>
      <c r="O42" s="1">
        <f>IFERROR(VLOOKUP(A42:A133,'140726 ph k.'!$A$7:$H$60,8,FALSE),"")</f>
        <v>0</v>
      </c>
      <c r="P42" s="1" t="str">
        <f>IFERROR(VLOOKUP(A42:A133,'140726 ph k.'!$A$64:$N$80,14,FALSE),"")</f>
        <v/>
      </c>
      <c r="Q42" s="17" t="e">
        <f t="shared" si="14"/>
        <v>#VALUE!</v>
      </c>
      <c r="R42" s="1"/>
      <c r="S42" s="1">
        <v>1.42</v>
      </c>
      <c r="T42" s="1">
        <v>6.58</v>
      </c>
      <c r="U42" s="17">
        <f t="shared" si="12"/>
        <v>0</v>
      </c>
      <c r="V42" s="1">
        <v>0</v>
      </c>
      <c r="W42" s="1">
        <v>0</v>
      </c>
      <c r="X42" s="17">
        <f t="shared" si="15"/>
        <v>0</v>
      </c>
      <c r="Y42" s="1">
        <v>0</v>
      </c>
      <c r="Z42" s="34" t="e">
        <f t="shared" si="3"/>
        <v>#VALUE!</v>
      </c>
      <c r="AA42" s="20" t="e">
        <f t="shared" si="4"/>
        <v>#VALUE!</v>
      </c>
      <c r="AB42" s="34" t="e">
        <f t="shared" si="5"/>
        <v>#VALUE!</v>
      </c>
      <c r="AC42" s="2" t="e">
        <f t="shared" si="6"/>
        <v>#VALUE!</v>
      </c>
      <c r="AD42" s="1">
        <v>0</v>
      </c>
      <c r="AE42" s="1">
        <v>0</v>
      </c>
      <c r="AF42" s="1">
        <v>1</v>
      </c>
      <c r="AG42" s="1">
        <v>3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9</v>
      </c>
      <c r="AY42" s="1">
        <v>16</v>
      </c>
      <c r="AZ42" s="1">
        <v>0</v>
      </c>
      <c r="BA42" s="1">
        <v>0</v>
      </c>
      <c r="BB42" s="1">
        <v>79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</row>
    <row r="43" spans="1:69" ht="12.75" x14ac:dyDescent="0.2">
      <c r="A43" s="1">
        <v>48058</v>
      </c>
      <c r="B43" s="1" t="s">
        <v>116</v>
      </c>
      <c r="C43" s="1">
        <v>12</v>
      </c>
      <c r="D43" s="1">
        <v>677</v>
      </c>
      <c r="E43" s="1" t="s">
        <v>64</v>
      </c>
      <c r="F43" s="1">
        <v>690</v>
      </c>
      <c r="G43" s="1" t="s">
        <v>101</v>
      </c>
      <c r="H43" s="2">
        <v>54.916699999999999</v>
      </c>
      <c r="I43" s="2">
        <v>659.00040000000001</v>
      </c>
      <c r="J43" s="14">
        <f t="shared" si="1"/>
        <v>3295.002</v>
      </c>
      <c r="K43" s="15">
        <f t="shared" si="2"/>
        <v>5</v>
      </c>
      <c r="L43" s="39">
        <v>5</v>
      </c>
      <c r="M43" s="1">
        <v>0</v>
      </c>
      <c r="N43" s="1" t="str">
        <f>IFERROR(VLOOKUP(A43:A134,'140726 ph k.'!$A$64:$S$80,19,FALSE),"")</f>
        <v/>
      </c>
      <c r="O43" s="1">
        <f>IFERROR(VLOOKUP(A43:A134,'140726 ph k.'!$A$7:$H$60,8,FALSE),"")</f>
        <v>0</v>
      </c>
      <c r="P43" s="1" t="str">
        <f>IFERROR(VLOOKUP(A43:A134,'140726 ph k.'!$A$64:$N$80,14,FALSE),"")</f>
        <v/>
      </c>
      <c r="Q43" s="5">
        <v>2</v>
      </c>
      <c r="R43" s="1"/>
      <c r="S43" s="1">
        <v>0.54</v>
      </c>
      <c r="T43" s="1">
        <v>0</v>
      </c>
      <c r="U43" s="5">
        <v>1</v>
      </c>
      <c r="V43" s="1">
        <v>0.88</v>
      </c>
      <c r="W43" s="1">
        <v>0</v>
      </c>
      <c r="X43" s="5">
        <v>2</v>
      </c>
      <c r="Y43" s="1">
        <v>0</v>
      </c>
      <c r="Z43" s="34" t="e">
        <f t="shared" si="3"/>
        <v>#VALUE!</v>
      </c>
      <c r="AA43" s="20" t="e">
        <f t="shared" si="4"/>
        <v>#VALUE!</v>
      </c>
      <c r="AB43" s="34" t="e">
        <f t="shared" si="5"/>
        <v>#VALUE!</v>
      </c>
      <c r="AC43" s="2" t="e">
        <f t="shared" si="6"/>
        <v>#VALUE!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3</v>
      </c>
      <c r="BA43" s="1">
        <v>7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10</v>
      </c>
      <c r="BK43" s="1">
        <v>1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</row>
    <row r="44" spans="1:69" ht="12.75" hidden="1" x14ac:dyDescent="0.2">
      <c r="A44" s="1">
        <v>561</v>
      </c>
      <c r="B44" s="1" t="s">
        <v>132</v>
      </c>
      <c r="C44" s="1">
        <v>96</v>
      </c>
      <c r="D44" s="1">
        <v>677</v>
      </c>
      <c r="E44" s="1" t="s">
        <v>64</v>
      </c>
      <c r="F44" s="1">
        <v>690</v>
      </c>
      <c r="G44" s="1" t="s">
        <v>101</v>
      </c>
      <c r="H44" s="2">
        <v>6.8646000000000003</v>
      </c>
      <c r="I44" s="2">
        <v>659.00160000000005</v>
      </c>
      <c r="J44" s="14" t="e">
        <f t="shared" si="1"/>
        <v>#VALUE!</v>
      </c>
      <c r="K44" s="15" t="e">
        <f t="shared" si="2"/>
        <v>#VALUE!</v>
      </c>
      <c r="L44" s="15"/>
      <c r="M44" s="1">
        <v>0.69</v>
      </c>
      <c r="N44" s="1" t="str">
        <f>IFERROR(VLOOKUP(A44:A135,'140726 ph k.'!$A$64:$S$80,19,FALSE),"")</f>
        <v/>
      </c>
      <c r="O44" s="1" t="str">
        <f>IFERROR(VLOOKUP(A44:A135,'140726 ph k.'!$A$7:$H$60,8,FALSE),"")</f>
        <v/>
      </c>
      <c r="P44" s="1" t="str">
        <f>IFERROR(VLOOKUP(A44:A135,'140726 ph k.'!$A$64:$N$80,14,FALSE),"")</f>
        <v/>
      </c>
      <c r="Q44" s="17" t="e">
        <f t="shared" ref="Q44:Q94" si="16">MAX(0,(TRUNC((M44+N44*0.8)-P44)))</f>
        <v>#VALUE!</v>
      </c>
      <c r="R44" s="1"/>
      <c r="S44" s="1">
        <v>0</v>
      </c>
      <c r="T44" s="1">
        <v>0</v>
      </c>
      <c r="U44" s="17">
        <f t="shared" ref="U44:U94" si="17">MAX(0,(TRUNC((S44*0.8)-T44)))</f>
        <v>0</v>
      </c>
      <c r="V44" s="1">
        <v>0</v>
      </c>
      <c r="W44" s="1">
        <v>0</v>
      </c>
      <c r="X44" s="17">
        <f t="shared" ref="X44:X94" si="18">MAX(0,(TRUNC((V44*0.8)-W44)))</f>
        <v>0</v>
      </c>
      <c r="Y44" s="1">
        <v>0</v>
      </c>
      <c r="Z44" s="34" t="e">
        <f t="shared" si="3"/>
        <v>#VALUE!</v>
      </c>
      <c r="AA44" s="20" t="e">
        <f t="shared" si="4"/>
        <v>#VALUE!</v>
      </c>
      <c r="AB44" s="34" t="e">
        <f t="shared" si="5"/>
        <v>#VALUE!</v>
      </c>
      <c r="AC44" s="2" t="e">
        <f t="shared" si="6"/>
        <v>#VALUE!</v>
      </c>
      <c r="AD44" s="1">
        <v>0</v>
      </c>
      <c r="AE44" s="1">
        <v>0</v>
      </c>
      <c r="AF44" s="1">
        <v>53</v>
      </c>
      <c r="AG44" s="1">
        <v>26</v>
      </c>
      <c r="AH44" s="1">
        <v>8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</row>
    <row r="45" spans="1:69" ht="12.75" hidden="1" x14ac:dyDescent="0.2">
      <c r="A45" s="1">
        <v>560</v>
      </c>
      <c r="B45" s="1" t="s">
        <v>133</v>
      </c>
      <c r="C45" s="1">
        <v>96</v>
      </c>
      <c r="D45" s="1">
        <v>677</v>
      </c>
      <c r="E45" s="1" t="s">
        <v>64</v>
      </c>
      <c r="F45" s="1">
        <v>690</v>
      </c>
      <c r="G45" s="1" t="s">
        <v>101</v>
      </c>
      <c r="H45" s="2">
        <v>6.8646000000000003</v>
      </c>
      <c r="I45" s="2">
        <v>659.00160000000005</v>
      </c>
      <c r="J45" s="14" t="e">
        <f t="shared" si="1"/>
        <v>#VALUE!</v>
      </c>
      <c r="K45" s="15" t="e">
        <f t="shared" si="2"/>
        <v>#VALUE!</v>
      </c>
      <c r="L45" s="15"/>
      <c r="M45" s="1">
        <v>0.44</v>
      </c>
      <c r="N45" s="1" t="str">
        <f>IFERROR(VLOOKUP(A45:A136,'140726 ph k.'!$A$64:$S$80,19,FALSE),"")</f>
        <v/>
      </c>
      <c r="O45" s="1" t="str">
        <f>IFERROR(VLOOKUP(A45:A136,'140726 ph k.'!$A$7:$H$60,8,FALSE),"")</f>
        <v/>
      </c>
      <c r="P45" s="1" t="str">
        <f>IFERROR(VLOOKUP(A45:A136,'140726 ph k.'!$A$64:$N$80,14,FALSE),"")</f>
        <v/>
      </c>
      <c r="Q45" s="17" t="e">
        <f t="shared" si="16"/>
        <v>#VALUE!</v>
      </c>
      <c r="R45" s="1"/>
      <c r="S45" s="1">
        <v>0</v>
      </c>
      <c r="T45" s="1">
        <v>0</v>
      </c>
      <c r="U45" s="17">
        <f t="shared" si="17"/>
        <v>0</v>
      </c>
      <c r="V45" s="1">
        <v>0</v>
      </c>
      <c r="W45" s="1">
        <v>0</v>
      </c>
      <c r="X45" s="17">
        <f t="shared" si="18"/>
        <v>0</v>
      </c>
      <c r="Y45" s="1">
        <v>0</v>
      </c>
      <c r="Z45" s="34" t="e">
        <f t="shared" si="3"/>
        <v>#VALUE!</v>
      </c>
      <c r="AA45" s="20" t="e">
        <f t="shared" si="4"/>
        <v>#VALUE!</v>
      </c>
      <c r="AB45" s="34" t="e">
        <f t="shared" si="5"/>
        <v>#VALUE!</v>
      </c>
      <c r="AC45" s="2" t="e">
        <f t="shared" si="6"/>
        <v>#VALUE!</v>
      </c>
      <c r="AD45" s="1">
        <v>0</v>
      </c>
      <c r="AE45" s="1">
        <v>0</v>
      </c>
      <c r="AF45" s="1">
        <v>40</v>
      </c>
      <c r="AG45" s="1">
        <v>5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</row>
    <row r="46" spans="1:69" ht="12.75" hidden="1" x14ac:dyDescent="0.2">
      <c r="A46" s="1">
        <v>565</v>
      </c>
      <c r="B46" s="1" t="s">
        <v>137</v>
      </c>
      <c r="C46" s="1">
        <v>96</v>
      </c>
      <c r="D46" s="1">
        <v>677</v>
      </c>
      <c r="E46" s="1" t="s">
        <v>64</v>
      </c>
      <c r="F46" s="1">
        <v>690</v>
      </c>
      <c r="G46" s="1" t="s">
        <v>101</v>
      </c>
      <c r="H46" s="2">
        <v>6.8646000000000003</v>
      </c>
      <c r="I46" s="2">
        <v>659.00160000000005</v>
      </c>
      <c r="J46" s="14" t="e">
        <f t="shared" si="1"/>
        <v>#VALUE!</v>
      </c>
      <c r="K46" s="15" t="e">
        <f t="shared" si="2"/>
        <v>#VALUE!</v>
      </c>
      <c r="L46" s="15"/>
      <c r="M46" s="1">
        <v>0.32</v>
      </c>
      <c r="N46" s="1" t="str">
        <f>IFERROR(VLOOKUP(A46:A137,'140726 ph k.'!$A$64:$S$80,19,FALSE),"")</f>
        <v/>
      </c>
      <c r="O46" s="1" t="str">
        <f>IFERROR(VLOOKUP(A46:A137,'140726 ph k.'!$A$7:$H$60,8,FALSE),"")</f>
        <v/>
      </c>
      <c r="P46" s="1" t="str">
        <f>IFERROR(VLOOKUP(A46:A137,'140726 ph k.'!$A$64:$N$80,14,FALSE),"")</f>
        <v/>
      </c>
      <c r="Q46" s="17" t="e">
        <f t="shared" si="16"/>
        <v>#VALUE!</v>
      </c>
      <c r="R46" s="1"/>
      <c r="S46" s="1">
        <v>0</v>
      </c>
      <c r="T46" s="1">
        <v>0</v>
      </c>
      <c r="U46" s="17">
        <f t="shared" si="17"/>
        <v>0</v>
      </c>
      <c r="V46" s="1">
        <v>0.02</v>
      </c>
      <c r="W46" s="1">
        <v>0.01</v>
      </c>
      <c r="X46" s="17">
        <f t="shared" si="18"/>
        <v>0</v>
      </c>
      <c r="Y46" s="1">
        <v>0</v>
      </c>
      <c r="Z46" s="34" t="e">
        <f t="shared" si="3"/>
        <v>#VALUE!</v>
      </c>
      <c r="AA46" s="20" t="e">
        <f t="shared" si="4"/>
        <v>#VALUE!</v>
      </c>
      <c r="AB46" s="34" t="e">
        <f t="shared" si="5"/>
        <v>#VALUE!</v>
      </c>
      <c r="AC46" s="2" t="e">
        <f t="shared" si="6"/>
        <v>#VALUE!</v>
      </c>
      <c r="AD46" s="1">
        <v>0</v>
      </c>
      <c r="AE46" s="1">
        <v>0</v>
      </c>
      <c r="AF46" s="1">
        <v>27</v>
      </c>
      <c r="AG46" s="1">
        <v>8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1</v>
      </c>
      <c r="BJ46" s="1">
        <v>0</v>
      </c>
      <c r="BK46" s="1">
        <v>3</v>
      </c>
      <c r="BL46" s="1">
        <v>1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</row>
    <row r="47" spans="1:69" ht="12.75" hidden="1" x14ac:dyDescent="0.2">
      <c r="A47" s="1">
        <v>48029</v>
      </c>
      <c r="B47" s="1" t="s">
        <v>111</v>
      </c>
      <c r="C47" s="1">
        <v>12</v>
      </c>
      <c r="D47" s="1">
        <v>677</v>
      </c>
      <c r="E47" s="1" t="s">
        <v>64</v>
      </c>
      <c r="F47" s="1">
        <v>690</v>
      </c>
      <c r="G47" s="1" t="s">
        <v>101</v>
      </c>
      <c r="H47" s="2">
        <v>54.916699999999999</v>
      </c>
      <c r="I47" s="2">
        <v>659.00040000000001</v>
      </c>
      <c r="J47" s="14" t="e">
        <f t="shared" si="1"/>
        <v>#VALUE!</v>
      </c>
      <c r="K47" s="15" t="e">
        <f t="shared" si="2"/>
        <v>#VALUE!</v>
      </c>
      <c r="L47" s="15"/>
      <c r="M47" s="1">
        <v>0</v>
      </c>
      <c r="N47" s="1" t="str">
        <f>IFERROR(VLOOKUP(A47:A138,'140726 ph k.'!$A$64:$S$80,19,FALSE),"")</f>
        <v/>
      </c>
      <c r="O47" s="1">
        <f>IFERROR(VLOOKUP(A47:A138,'140726 ph k.'!$A$7:$H$60,8,FALSE),"")</f>
        <v>0</v>
      </c>
      <c r="P47" s="1" t="str">
        <f>IFERROR(VLOOKUP(A47:A138,'140726 ph k.'!$A$64:$N$80,14,FALSE),"")</f>
        <v/>
      </c>
      <c r="Q47" s="17" t="e">
        <f t="shared" si="16"/>
        <v>#VALUE!</v>
      </c>
      <c r="R47" s="1"/>
      <c r="S47" s="1">
        <v>0.33</v>
      </c>
      <c r="T47" s="1">
        <v>0</v>
      </c>
      <c r="U47" s="17">
        <f t="shared" si="17"/>
        <v>0</v>
      </c>
      <c r="V47" s="1">
        <v>0</v>
      </c>
      <c r="W47" s="1">
        <v>0</v>
      </c>
      <c r="X47" s="17">
        <f t="shared" si="18"/>
        <v>0</v>
      </c>
      <c r="Y47" s="1">
        <v>0</v>
      </c>
      <c r="Z47" s="34" t="e">
        <f t="shared" si="3"/>
        <v>#VALUE!</v>
      </c>
      <c r="AA47" s="20" t="e">
        <f t="shared" si="4"/>
        <v>#VALUE!</v>
      </c>
      <c r="AB47" s="34" t="e">
        <f t="shared" si="5"/>
        <v>#VALUE!</v>
      </c>
      <c r="AC47" s="2" t="e">
        <f t="shared" si="6"/>
        <v>#VALUE!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2</v>
      </c>
      <c r="BA47" s="1">
        <v>4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</row>
    <row r="48" spans="1:69" ht="12.75" hidden="1" x14ac:dyDescent="0.2">
      <c r="A48" s="1">
        <v>564</v>
      </c>
      <c r="B48" s="1" t="s">
        <v>136</v>
      </c>
      <c r="C48" s="1">
        <v>96</v>
      </c>
      <c r="D48" s="1">
        <v>677</v>
      </c>
      <c r="E48" s="1" t="s">
        <v>64</v>
      </c>
      <c r="F48" s="1">
        <v>690</v>
      </c>
      <c r="G48" s="1" t="s">
        <v>101</v>
      </c>
      <c r="H48" s="2">
        <v>6.8646000000000003</v>
      </c>
      <c r="I48" s="2">
        <v>659.00160000000005</v>
      </c>
      <c r="J48" s="14" t="e">
        <f t="shared" si="1"/>
        <v>#VALUE!</v>
      </c>
      <c r="K48" s="15" t="e">
        <f t="shared" si="2"/>
        <v>#VALUE!</v>
      </c>
      <c r="L48" s="15"/>
      <c r="M48" s="1">
        <v>0.27</v>
      </c>
      <c r="N48" s="1" t="str">
        <f>IFERROR(VLOOKUP(A48:A139,'140726 ph k.'!$A$64:$S$80,19,FALSE),"")</f>
        <v/>
      </c>
      <c r="O48" s="1" t="str">
        <f>IFERROR(VLOOKUP(A48:A139,'140726 ph k.'!$A$7:$H$60,8,FALSE),"")</f>
        <v/>
      </c>
      <c r="P48" s="1" t="str">
        <f>IFERROR(VLOOKUP(A48:A139,'140726 ph k.'!$A$64:$N$80,14,FALSE),"")</f>
        <v/>
      </c>
      <c r="Q48" s="17" t="e">
        <f t="shared" si="16"/>
        <v>#VALUE!</v>
      </c>
      <c r="R48" s="1"/>
      <c r="S48" s="1">
        <v>0</v>
      </c>
      <c r="T48" s="1">
        <v>0</v>
      </c>
      <c r="U48" s="17">
        <f t="shared" si="17"/>
        <v>0</v>
      </c>
      <c r="V48" s="1">
        <v>0</v>
      </c>
      <c r="W48" s="1">
        <v>0</v>
      </c>
      <c r="X48" s="17">
        <f t="shared" si="18"/>
        <v>0</v>
      </c>
      <c r="Y48" s="1">
        <v>0</v>
      </c>
      <c r="Z48" s="34" t="e">
        <f t="shared" si="3"/>
        <v>#VALUE!</v>
      </c>
      <c r="AA48" s="20" t="e">
        <f t="shared" si="4"/>
        <v>#VALUE!</v>
      </c>
      <c r="AB48" s="34" t="e">
        <f t="shared" si="5"/>
        <v>#VALUE!</v>
      </c>
      <c r="AC48" s="2" t="e">
        <f t="shared" si="6"/>
        <v>#VALUE!</v>
      </c>
      <c r="AD48" s="1">
        <v>0</v>
      </c>
      <c r="AE48" s="1">
        <v>0</v>
      </c>
      <c r="AF48" s="1">
        <v>17</v>
      </c>
      <c r="AG48" s="1">
        <v>18</v>
      </c>
      <c r="AH48" s="1">
        <v>8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</row>
    <row r="49" spans="1:69" ht="12.75" hidden="1" x14ac:dyDescent="0.2">
      <c r="A49" s="1">
        <v>519</v>
      </c>
      <c r="B49" s="1" t="s">
        <v>143</v>
      </c>
      <c r="C49" s="1">
        <v>96</v>
      </c>
      <c r="D49" s="1">
        <v>677</v>
      </c>
      <c r="E49" s="1" t="s">
        <v>64</v>
      </c>
      <c r="F49" s="1">
        <v>690</v>
      </c>
      <c r="G49" s="1" t="s">
        <v>101</v>
      </c>
      <c r="H49" s="2">
        <v>6.8646000000000003</v>
      </c>
      <c r="I49" s="2">
        <v>659.00160000000005</v>
      </c>
      <c r="J49" s="14" t="e">
        <f t="shared" si="1"/>
        <v>#VALUE!</v>
      </c>
      <c r="K49" s="15" t="e">
        <f t="shared" si="2"/>
        <v>#VALUE!</v>
      </c>
      <c r="L49" s="15"/>
      <c r="M49" s="1">
        <v>0.25</v>
      </c>
      <c r="N49" s="1" t="str">
        <f>IFERROR(VLOOKUP(A49:A140,'140726 ph k.'!$A$64:$S$80,19,FALSE),"")</f>
        <v/>
      </c>
      <c r="O49" s="1" t="str">
        <f>IFERROR(VLOOKUP(A49:A140,'140726 ph k.'!$A$7:$H$60,8,FALSE),"")</f>
        <v/>
      </c>
      <c r="P49" s="1" t="str">
        <f>IFERROR(VLOOKUP(A49:A140,'140726 ph k.'!$A$64:$N$80,14,FALSE),"")</f>
        <v/>
      </c>
      <c r="Q49" s="17" t="e">
        <f t="shared" si="16"/>
        <v>#VALUE!</v>
      </c>
      <c r="R49" s="1"/>
      <c r="S49" s="1">
        <v>0</v>
      </c>
      <c r="T49" s="1">
        <v>0</v>
      </c>
      <c r="U49" s="17">
        <f t="shared" si="17"/>
        <v>0</v>
      </c>
      <c r="V49" s="1">
        <v>0.02</v>
      </c>
      <c r="W49" s="1">
        <v>0.02</v>
      </c>
      <c r="X49" s="17">
        <f t="shared" si="18"/>
        <v>0</v>
      </c>
      <c r="Y49" s="1">
        <v>0</v>
      </c>
      <c r="Z49" s="34" t="e">
        <f t="shared" si="3"/>
        <v>#VALUE!</v>
      </c>
      <c r="AA49" s="20" t="e">
        <f t="shared" si="4"/>
        <v>#VALUE!</v>
      </c>
      <c r="AB49" s="34" t="e">
        <f t="shared" si="5"/>
        <v>#VALUE!</v>
      </c>
      <c r="AC49" s="2" t="e">
        <f t="shared" si="6"/>
        <v>#VALUE!</v>
      </c>
      <c r="AD49" s="1">
        <v>0</v>
      </c>
      <c r="AE49" s="1">
        <v>0</v>
      </c>
      <c r="AF49" s="1">
        <v>20</v>
      </c>
      <c r="AG49" s="1">
        <v>8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3</v>
      </c>
      <c r="BJ49" s="1">
        <v>0</v>
      </c>
      <c r="BK49" s="1">
        <v>0</v>
      </c>
      <c r="BL49" s="1">
        <v>2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</row>
    <row r="50" spans="1:69" ht="12.75" hidden="1" x14ac:dyDescent="0.2">
      <c r="A50" s="1">
        <v>567</v>
      </c>
      <c r="B50" s="1" t="s">
        <v>135</v>
      </c>
      <c r="C50" s="1">
        <v>96</v>
      </c>
      <c r="D50" s="1">
        <v>677</v>
      </c>
      <c r="E50" s="1" t="s">
        <v>64</v>
      </c>
      <c r="F50" s="1">
        <v>690</v>
      </c>
      <c r="G50" s="1" t="s">
        <v>101</v>
      </c>
      <c r="H50" s="2">
        <v>6.8646000000000003</v>
      </c>
      <c r="I50" s="2">
        <v>659.00160000000005</v>
      </c>
      <c r="J50" s="14" t="e">
        <f t="shared" si="1"/>
        <v>#VALUE!</v>
      </c>
      <c r="K50" s="15" t="e">
        <f t="shared" si="2"/>
        <v>#VALUE!</v>
      </c>
      <c r="L50" s="15"/>
      <c r="M50" s="1">
        <v>0.22</v>
      </c>
      <c r="N50" s="1" t="str">
        <f>IFERROR(VLOOKUP(A50:A141,'140726 ph k.'!$A$64:$S$80,19,FALSE),"")</f>
        <v/>
      </c>
      <c r="O50" s="1" t="str">
        <f>IFERROR(VLOOKUP(A50:A141,'140726 ph k.'!$A$7:$H$60,8,FALSE),"")</f>
        <v/>
      </c>
      <c r="P50" s="1" t="str">
        <f>IFERROR(VLOOKUP(A50:A141,'140726 ph k.'!$A$64:$N$80,14,FALSE),"")</f>
        <v/>
      </c>
      <c r="Q50" s="17" t="e">
        <f t="shared" si="16"/>
        <v>#VALUE!</v>
      </c>
      <c r="R50" s="1"/>
      <c r="S50" s="1">
        <v>0</v>
      </c>
      <c r="T50" s="1">
        <v>0</v>
      </c>
      <c r="U50" s="17">
        <f t="shared" si="17"/>
        <v>0</v>
      </c>
      <c r="V50" s="1">
        <v>0</v>
      </c>
      <c r="W50" s="1">
        <v>0</v>
      </c>
      <c r="X50" s="17">
        <f t="shared" si="18"/>
        <v>0</v>
      </c>
      <c r="Y50" s="1">
        <v>0</v>
      </c>
      <c r="Z50" s="34" t="e">
        <f t="shared" si="3"/>
        <v>#VALUE!</v>
      </c>
      <c r="AA50" s="20" t="e">
        <f t="shared" si="4"/>
        <v>#VALUE!</v>
      </c>
      <c r="AB50" s="34" t="e">
        <f t="shared" si="5"/>
        <v>#VALUE!</v>
      </c>
      <c r="AC50" s="2" t="e">
        <f t="shared" si="6"/>
        <v>#VALUE!</v>
      </c>
      <c r="AD50" s="1">
        <v>0</v>
      </c>
      <c r="AE50" s="1">
        <v>0</v>
      </c>
      <c r="AF50" s="1">
        <v>15</v>
      </c>
      <c r="AG50" s="1">
        <v>13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</row>
    <row r="51" spans="1:69" ht="12.75" hidden="1" x14ac:dyDescent="0.2">
      <c r="A51" s="1">
        <v>509</v>
      </c>
      <c r="B51" s="1" t="s">
        <v>141</v>
      </c>
      <c r="C51" s="1">
        <v>96</v>
      </c>
      <c r="D51" s="1">
        <v>677</v>
      </c>
      <c r="E51" s="1" t="s">
        <v>64</v>
      </c>
      <c r="F51" s="1">
        <v>690</v>
      </c>
      <c r="G51" s="1" t="s">
        <v>101</v>
      </c>
      <c r="H51" s="2">
        <v>6.8646000000000003</v>
      </c>
      <c r="I51" s="2">
        <v>659.00160000000005</v>
      </c>
      <c r="J51" s="14" t="e">
        <f t="shared" si="1"/>
        <v>#VALUE!</v>
      </c>
      <c r="K51" s="15" t="e">
        <f t="shared" si="2"/>
        <v>#VALUE!</v>
      </c>
      <c r="L51" s="15"/>
      <c r="M51" s="1">
        <v>0.2</v>
      </c>
      <c r="N51" s="1" t="str">
        <f>IFERROR(VLOOKUP(A51:A142,'140726 ph k.'!$A$64:$S$80,19,FALSE),"")</f>
        <v/>
      </c>
      <c r="O51" s="1" t="str">
        <f>IFERROR(VLOOKUP(A51:A142,'140726 ph k.'!$A$7:$H$60,8,FALSE),"")</f>
        <v/>
      </c>
      <c r="P51" s="1" t="str">
        <f>IFERROR(VLOOKUP(A51:A142,'140726 ph k.'!$A$64:$N$80,14,FALSE),"")</f>
        <v/>
      </c>
      <c r="Q51" s="17" t="e">
        <f t="shared" si="16"/>
        <v>#VALUE!</v>
      </c>
      <c r="R51" s="1"/>
      <c r="S51" s="1">
        <v>0</v>
      </c>
      <c r="T51" s="1">
        <v>0</v>
      </c>
      <c r="U51" s="17">
        <f t="shared" si="17"/>
        <v>0</v>
      </c>
      <c r="V51" s="1">
        <v>0</v>
      </c>
      <c r="W51" s="1">
        <v>0</v>
      </c>
      <c r="X51" s="17">
        <f t="shared" si="18"/>
        <v>0</v>
      </c>
      <c r="Y51" s="1">
        <v>0</v>
      </c>
      <c r="Z51" s="34" t="e">
        <f t="shared" si="3"/>
        <v>#VALUE!</v>
      </c>
      <c r="AA51" s="20" t="e">
        <f t="shared" si="4"/>
        <v>#VALUE!</v>
      </c>
      <c r="AB51" s="34" t="e">
        <f t="shared" si="5"/>
        <v>#VALUE!</v>
      </c>
      <c r="AC51" s="2" t="e">
        <f t="shared" si="6"/>
        <v>#VALUE!</v>
      </c>
      <c r="AD51" s="1">
        <v>0</v>
      </c>
      <c r="AE51" s="1">
        <v>0</v>
      </c>
      <c r="AF51" s="1">
        <v>13</v>
      </c>
      <c r="AG51" s="1">
        <v>13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</row>
    <row r="52" spans="1:69" ht="12.75" hidden="1" x14ac:dyDescent="0.2">
      <c r="A52" s="1">
        <v>562</v>
      </c>
      <c r="B52" s="1" t="s">
        <v>131</v>
      </c>
      <c r="C52" s="1">
        <v>96</v>
      </c>
      <c r="D52" s="1">
        <v>677</v>
      </c>
      <c r="E52" s="1" t="s">
        <v>64</v>
      </c>
      <c r="F52" s="1">
        <v>690</v>
      </c>
      <c r="G52" s="1" t="s">
        <v>101</v>
      </c>
      <c r="H52" s="2">
        <v>6.8646000000000003</v>
      </c>
      <c r="I52" s="2">
        <v>659.00160000000005</v>
      </c>
      <c r="J52" s="14" t="e">
        <f t="shared" si="1"/>
        <v>#VALUE!</v>
      </c>
      <c r="K52" s="15" t="e">
        <f t="shared" si="2"/>
        <v>#VALUE!</v>
      </c>
      <c r="L52" s="15"/>
      <c r="M52" s="1">
        <v>0.18</v>
      </c>
      <c r="N52" s="1" t="str">
        <f>IFERROR(VLOOKUP(A52:A143,'140726 ph k.'!$A$64:$S$80,19,FALSE),"")</f>
        <v/>
      </c>
      <c r="O52" s="1" t="str">
        <f>IFERROR(VLOOKUP(A52:A143,'140726 ph k.'!$A$7:$H$60,8,FALSE),"")</f>
        <v/>
      </c>
      <c r="P52" s="1" t="str">
        <f>IFERROR(VLOOKUP(A52:A143,'140726 ph k.'!$A$64:$N$80,14,FALSE),"")</f>
        <v/>
      </c>
      <c r="Q52" s="17" t="e">
        <f t="shared" si="16"/>
        <v>#VALUE!</v>
      </c>
      <c r="R52" s="1"/>
      <c r="S52" s="1">
        <v>0</v>
      </c>
      <c r="T52" s="1">
        <v>0</v>
      </c>
      <c r="U52" s="17">
        <f t="shared" si="17"/>
        <v>0</v>
      </c>
      <c r="V52" s="1">
        <v>0</v>
      </c>
      <c r="W52" s="1">
        <v>0.01</v>
      </c>
      <c r="X52" s="17">
        <f t="shared" si="18"/>
        <v>0</v>
      </c>
      <c r="Y52" s="1">
        <v>0</v>
      </c>
      <c r="Z52" s="34" t="e">
        <f t="shared" si="3"/>
        <v>#VALUE!</v>
      </c>
      <c r="AA52" s="20" t="e">
        <f t="shared" si="4"/>
        <v>#VALUE!</v>
      </c>
      <c r="AB52" s="34" t="e">
        <f t="shared" si="5"/>
        <v>#VALUE!</v>
      </c>
      <c r="AC52" s="2" t="e">
        <f t="shared" si="6"/>
        <v>#VALUE!</v>
      </c>
      <c r="AD52" s="1">
        <v>0</v>
      </c>
      <c r="AE52" s="1">
        <v>6</v>
      </c>
      <c r="AF52" s="1">
        <v>6</v>
      </c>
      <c r="AG52" s="1">
        <v>16</v>
      </c>
      <c r="AH52" s="1">
        <v>16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1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</row>
    <row r="53" spans="1:69" ht="12.75" hidden="1" x14ac:dyDescent="0.2">
      <c r="A53" s="1">
        <v>501</v>
      </c>
      <c r="B53" s="1" t="s">
        <v>145</v>
      </c>
      <c r="C53" s="1">
        <v>96</v>
      </c>
      <c r="D53" s="1">
        <v>677</v>
      </c>
      <c r="E53" s="1" t="s">
        <v>64</v>
      </c>
      <c r="F53" s="1">
        <v>690</v>
      </c>
      <c r="G53" s="1" t="s">
        <v>101</v>
      </c>
      <c r="H53" s="2">
        <v>6.8646000000000003</v>
      </c>
      <c r="I53" s="2">
        <v>659.00160000000005</v>
      </c>
      <c r="J53" s="14" t="e">
        <f t="shared" si="1"/>
        <v>#VALUE!</v>
      </c>
      <c r="K53" s="15" t="e">
        <f t="shared" si="2"/>
        <v>#VALUE!</v>
      </c>
      <c r="L53" s="15"/>
      <c r="M53" s="1">
        <v>0.15</v>
      </c>
      <c r="N53" s="1" t="str">
        <f>IFERROR(VLOOKUP(A53:A144,'140726 ph k.'!$A$64:$S$80,19,FALSE),"")</f>
        <v/>
      </c>
      <c r="O53" s="1" t="str">
        <f>IFERROR(VLOOKUP(A53:A144,'140726 ph k.'!$A$7:$H$60,8,FALSE),"")</f>
        <v/>
      </c>
      <c r="P53" s="1" t="str">
        <f>IFERROR(VLOOKUP(A53:A144,'140726 ph k.'!$A$64:$N$80,14,FALSE),"")</f>
        <v/>
      </c>
      <c r="Q53" s="17" t="e">
        <f t="shared" si="16"/>
        <v>#VALUE!</v>
      </c>
      <c r="R53" s="1"/>
      <c r="S53" s="1">
        <v>0</v>
      </c>
      <c r="T53" s="1">
        <v>0</v>
      </c>
      <c r="U53" s="17">
        <f t="shared" si="17"/>
        <v>0</v>
      </c>
      <c r="V53" s="1">
        <v>0.02</v>
      </c>
      <c r="W53" s="1">
        <v>0</v>
      </c>
      <c r="X53" s="17">
        <f t="shared" si="18"/>
        <v>0</v>
      </c>
      <c r="Y53" s="1">
        <v>0</v>
      </c>
      <c r="Z53" s="34" t="e">
        <f t="shared" si="3"/>
        <v>#VALUE!</v>
      </c>
      <c r="AA53" s="20" t="e">
        <f t="shared" si="4"/>
        <v>#VALUE!</v>
      </c>
      <c r="AB53" s="34" t="e">
        <f t="shared" si="5"/>
        <v>#VALUE!</v>
      </c>
      <c r="AC53" s="2" t="e">
        <f t="shared" si="6"/>
        <v>#VALUE!</v>
      </c>
      <c r="AD53" s="1">
        <v>0</v>
      </c>
      <c r="AE53" s="1">
        <v>0</v>
      </c>
      <c r="AF53" s="1">
        <v>4</v>
      </c>
      <c r="AG53" s="1">
        <v>20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3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</row>
    <row r="54" spans="1:69" ht="12.75" hidden="1" x14ac:dyDescent="0.2">
      <c r="A54" s="1">
        <v>510</v>
      </c>
      <c r="B54" s="1" t="s">
        <v>146</v>
      </c>
      <c r="C54" s="1">
        <v>96</v>
      </c>
      <c r="D54" s="1">
        <v>677</v>
      </c>
      <c r="E54" s="1" t="s">
        <v>64</v>
      </c>
      <c r="F54" s="1">
        <v>690</v>
      </c>
      <c r="G54" s="1" t="s">
        <v>101</v>
      </c>
      <c r="H54" s="2">
        <v>6.8646000000000003</v>
      </c>
      <c r="I54" s="2">
        <v>659.00160000000005</v>
      </c>
      <c r="J54" s="14" t="e">
        <f t="shared" si="1"/>
        <v>#VALUE!</v>
      </c>
      <c r="K54" s="15" t="e">
        <f t="shared" si="2"/>
        <v>#VALUE!</v>
      </c>
      <c r="L54" s="15"/>
      <c r="M54" s="1">
        <v>0.15</v>
      </c>
      <c r="N54" s="1" t="str">
        <f>IFERROR(VLOOKUP(A54:A145,'140726 ph k.'!$A$64:$S$80,19,FALSE),"")</f>
        <v/>
      </c>
      <c r="O54" s="1" t="str">
        <f>IFERROR(VLOOKUP(A54:A145,'140726 ph k.'!$A$7:$H$60,8,FALSE),"")</f>
        <v/>
      </c>
      <c r="P54" s="1" t="str">
        <f>IFERROR(VLOOKUP(A54:A145,'140726 ph k.'!$A$64:$N$80,14,FALSE),"")</f>
        <v/>
      </c>
      <c r="Q54" s="17" t="e">
        <f t="shared" si="16"/>
        <v>#VALUE!</v>
      </c>
      <c r="R54" s="1"/>
      <c r="S54" s="1">
        <v>0</v>
      </c>
      <c r="T54" s="1">
        <v>0</v>
      </c>
      <c r="U54" s="17">
        <f t="shared" si="17"/>
        <v>0</v>
      </c>
      <c r="V54" s="1">
        <v>0</v>
      </c>
      <c r="W54" s="1">
        <v>0</v>
      </c>
      <c r="X54" s="17">
        <f t="shared" si="18"/>
        <v>0</v>
      </c>
      <c r="Y54" s="1">
        <v>0</v>
      </c>
      <c r="Z54" s="34" t="e">
        <f t="shared" si="3"/>
        <v>#VALUE!</v>
      </c>
      <c r="AA54" s="20" t="e">
        <f t="shared" si="4"/>
        <v>#VALUE!</v>
      </c>
      <c r="AB54" s="34" t="e">
        <f t="shared" si="5"/>
        <v>#VALUE!</v>
      </c>
      <c r="AC54" s="2" t="e">
        <f t="shared" si="6"/>
        <v>#VALUE!</v>
      </c>
      <c r="AD54" s="1">
        <v>0</v>
      </c>
      <c r="AE54" s="1">
        <v>0</v>
      </c>
      <c r="AF54" s="1">
        <v>9</v>
      </c>
      <c r="AG54" s="1">
        <v>10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</row>
    <row r="55" spans="1:69" ht="12.75" hidden="1" x14ac:dyDescent="0.2">
      <c r="A55" s="1">
        <v>566</v>
      </c>
      <c r="B55" s="1" t="s">
        <v>140</v>
      </c>
      <c r="C55" s="1">
        <v>96</v>
      </c>
      <c r="D55" s="1">
        <v>677</v>
      </c>
      <c r="E55" s="1" t="s">
        <v>64</v>
      </c>
      <c r="F55" s="1">
        <v>690</v>
      </c>
      <c r="G55" s="1" t="s">
        <v>101</v>
      </c>
      <c r="H55" s="2">
        <v>6.8646000000000003</v>
      </c>
      <c r="I55" s="2">
        <v>659.00160000000005</v>
      </c>
      <c r="J55" s="14" t="e">
        <f t="shared" si="1"/>
        <v>#VALUE!</v>
      </c>
      <c r="K55" s="15" t="e">
        <f t="shared" si="2"/>
        <v>#VALUE!</v>
      </c>
      <c r="L55" s="15"/>
      <c r="M55" s="1">
        <v>0.15</v>
      </c>
      <c r="N55" s="1" t="str">
        <f>IFERROR(VLOOKUP(A55:A146,'140726 ph k.'!$A$64:$S$80,19,FALSE),"")</f>
        <v/>
      </c>
      <c r="O55" s="1" t="str">
        <f>IFERROR(VLOOKUP(A55:A146,'140726 ph k.'!$A$7:$H$60,8,FALSE),"")</f>
        <v/>
      </c>
      <c r="P55" s="1" t="str">
        <f>IFERROR(VLOOKUP(A55:A146,'140726 ph k.'!$A$64:$N$80,14,FALSE),"")</f>
        <v/>
      </c>
      <c r="Q55" s="17" t="e">
        <f t="shared" si="16"/>
        <v>#VALUE!</v>
      </c>
      <c r="R55" s="1"/>
      <c r="S55" s="1">
        <v>0</v>
      </c>
      <c r="T55" s="1">
        <v>0</v>
      </c>
      <c r="U55" s="17">
        <f t="shared" si="17"/>
        <v>0</v>
      </c>
      <c r="V55" s="1">
        <v>0</v>
      </c>
      <c r="W55" s="1">
        <v>0</v>
      </c>
      <c r="X55" s="17">
        <f t="shared" si="18"/>
        <v>0</v>
      </c>
      <c r="Y55" s="1">
        <v>0</v>
      </c>
      <c r="Z55" s="34" t="e">
        <f t="shared" si="3"/>
        <v>#VALUE!</v>
      </c>
      <c r="AA55" s="20" t="e">
        <f t="shared" si="4"/>
        <v>#VALUE!</v>
      </c>
      <c r="AB55" s="34" t="e">
        <f t="shared" si="5"/>
        <v>#VALUE!</v>
      </c>
      <c r="AC55" s="2" t="e">
        <f t="shared" si="6"/>
        <v>#VALUE!</v>
      </c>
      <c r="AD55" s="1">
        <v>0</v>
      </c>
      <c r="AE55" s="1">
        <v>0</v>
      </c>
      <c r="AF55" s="1">
        <v>11</v>
      </c>
      <c r="AG55" s="1">
        <v>6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</row>
    <row r="56" spans="1:69" ht="12.75" hidden="1" x14ac:dyDescent="0.2">
      <c r="A56" s="1">
        <v>514</v>
      </c>
      <c r="B56" s="1" t="s">
        <v>147</v>
      </c>
      <c r="C56" s="1">
        <v>96</v>
      </c>
      <c r="D56" s="1">
        <v>677</v>
      </c>
      <c r="E56" s="1" t="s">
        <v>64</v>
      </c>
      <c r="F56" s="1">
        <v>690</v>
      </c>
      <c r="G56" s="1" t="s">
        <v>101</v>
      </c>
      <c r="H56" s="2">
        <v>6.8646000000000003</v>
      </c>
      <c r="I56" s="2">
        <v>659.00160000000005</v>
      </c>
      <c r="J56" s="14" t="e">
        <f t="shared" si="1"/>
        <v>#VALUE!</v>
      </c>
      <c r="K56" s="15" t="e">
        <f t="shared" si="2"/>
        <v>#VALUE!</v>
      </c>
      <c r="L56" s="15"/>
      <c r="M56" s="1">
        <v>0.14000000000000001</v>
      </c>
      <c r="N56" s="1" t="str">
        <f>IFERROR(VLOOKUP(A56:A147,'140726 ph k.'!$A$64:$S$80,19,FALSE),"")</f>
        <v/>
      </c>
      <c r="O56" s="1" t="str">
        <f>IFERROR(VLOOKUP(A56:A147,'140726 ph k.'!$A$7:$H$60,8,FALSE),"")</f>
        <v/>
      </c>
      <c r="P56" s="1" t="str">
        <f>IFERROR(VLOOKUP(A56:A147,'140726 ph k.'!$A$64:$N$80,14,FALSE),"")</f>
        <v/>
      </c>
      <c r="Q56" s="17" t="e">
        <f t="shared" si="16"/>
        <v>#VALUE!</v>
      </c>
      <c r="R56" s="1"/>
      <c r="S56" s="1">
        <v>0</v>
      </c>
      <c r="T56" s="1">
        <v>0</v>
      </c>
      <c r="U56" s="17">
        <f t="shared" si="17"/>
        <v>0</v>
      </c>
      <c r="V56" s="1">
        <v>0</v>
      </c>
      <c r="W56" s="1">
        <v>0</v>
      </c>
      <c r="X56" s="17">
        <f t="shared" si="18"/>
        <v>0</v>
      </c>
      <c r="Y56" s="1">
        <v>0</v>
      </c>
      <c r="Z56" s="34" t="e">
        <f t="shared" si="3"/>
        <v>#VALUE!</v>
      </c>
      <c r="AA56" s="20" t="e">
        <f t="shared" si="4"/>
        <v>#VALUE!</v>
      </c>
      <c r="AB56" s="34" t="e">
        <f t="shared" si="5"/>
        <v>#VALUE!</v>
      </c>
      <c r="AC56" s="2" t="e">
        <f t="shared" si="6"/>
        <v>#VALUE!</v>
      </c>
      <c r="AD56" s="1">
        <v>0</v>
      </c>
      <c r="AE56" s="1">
        <v>0</v>
      </c>
      <c r="AF56" s="1">
        <v>8</v>
      </c>
      <c r="AG56" s="1">
        <v>10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</row>
    <row r="57" spans="1:69" ht="12.75" hidden="1" x14ac:dyDescent="0.2">
      <c r="A57" s="1">
        <v>526</v>
      </c>
      <c r="B57" s="1" t="s">
        <v>144</v>
      </c>
      <c r="C57" s="1">
        <v>96</v>
      </c>
      <c r="D57" s="1">
        <v>677</v>
      </c>
      <c r="E57" s="1" t="s">
        <v>64</v>
      </c>
      <c r="F57" s="1">
        <v>690</v>
      </c>
      <c r="G57" s="1" t="s">
        <v>101</v>
      </c>
      <c r="H57" s="2">
        <v>6.8646000000000003</v>
      </c>
      <c r="I57" s="2">
        <v>659.00160000000005</v>
      </c>
      <c r="J57" s="14" t="e">
        <f t="shared" si="1"/>
        <v>#VALUE!</v>
      </c>
      <c r="K57" s="15" t="e">
        <f t="shared" si="2"/>
        <v>#VALUE!</v>
      </c>
      <c r="L57" s="15"/>
      <c r="M57" s="1">
        <v>0.09</v>
      </c>
      <c r="N57" s="1" t="str">
        <f>IFERROR(VLOOKUP(A57:A148,'140726 ph k.'!$A$64:$S$80,19,FALSE),"")</f>
        <v/>
      </c>
      <c r="O57" s="1" t="str">
        <f>IFERROR(VLOOKUP(A57:A148,'140726 ph k.'!$A$7:$H$60,8,FALSE),"")</f>
        <v/>
      </c>
      <c r="P57" s="1" t="str">
        <f>IFERROR(VLOOKUP(A57:A148,'140726 ph k.'!$A$64:$N$80,14,FALSE),"")</f>
        <v/>
      </c>
      <c r="Q57" s="17" t="e">
        <f t="shared" si="16"/>
        <v>#VALUE!</v>
      </c>
      <c r="R57" s="1"/>
      <c r="S57" s="1">
        <v>0</v>
      </c>
      <c r="T57" s="1">
        <v>0</v>
      </c>
      <c r="U57" s="17">
        <f t="shared" si="17"/>
        <v>0</v>
      </c>
      <c r="V57" s="1">
        <v>0</v>
      </c>
      <c r="W57" s="1">
        <v>0</v>
      </c>
      <c r="X57" s="17">
        <f t="shared" si="18"/>
        <v>0</v>
      </c>
      <c r="Y57" s="1">
        <v>0</v>
      </c>
      <c r="Z57" s="34" t="e">
        <f t="shared" si="3"/>
        <v>#VALUE!</v>
      </c>
      <c r="AA57" s="20" t="e">
        <f t="shared" si="4"/>
        <v>#VALUE!</v>
      </c>
      <c r="AB57" s="34" t="e">
        <f t="shared" si="5"/>
        <v>#VALUE!</v>
      </c>
      <c r="AC57" s="2" t="e">
        <f t="shared" si="6"/>
        <v>#VALUE!</v>
      </c>
      <c r="AD57" s="1">
        <v>0</v>
      </c>
      <c r="AE57" s="1">
        <v>0</v>
      </c>
      <c r="AF57" s="1">
        <v>3</v>
      </c>
      <c r="AG57" s="1">
        <v>12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</row>
    <row r="58" spans="1:69" ht="12.75" hidden="1" x14ac:dyDescent="0.2">
      <c r="A58" s="1">
        <v>515</v>
      </c>
      <c r="B58" s="1" t="s">
        <v>152</v>
      </c>
      <c r="C58" s="1">
        <v>96</v>
      </c>
      <c r="D58" s="1">
        <v>677</v>
      </c>
      <c r="E58" s="1" t="s">
        <v>64</v>
      </c>
      <c r="F58" s="1">
        <v>690</v>
      </c>
      <c r="G58" s="1" t="s">
        <v>101</v>
      </c>
      <c r="H58" s="2">
        <v>6.8646000000000003</v>
      </c>
      <c r="I58" s="2">
        <v>659.00160000000005</v>
      </c>
      <c r="J58" s="14" t="e">
        <f t="shared" si="1"/>
        <v>#VALUE!</v>
      </c>
      <c r="K58" s="15" t="e">
        <f t="shared" si="2"/>
        <v>#VALUE!</v>
      </c>
      <c r="L58" s="15"/>
      <c r="M58" s="1">
        <v>0.08</v>
      </c>
      <c r="N58" s="1" t="str">
        <f>IFERROR(VLOOKUP(A58:A149,'140726 ph k.'!$A$64:$S$80,19,FALSE),"")</f>
        <v/>
      </c>
      <c r="O58" s="1" t="str">
        <f>IFERROR(VLOOKUP(A58:A149,'140726 ph k.'!$A$7:$H$60,8,FALSE),"")</f>
        <v/>
      </c>
      <c r="P58" s="1" t="str">
        <f>IFERROR(VLOOKUP(A58:A149,'140726 ph k.'!$A$64:$N$80,14,FALSE),"")</f>
        <v/>
      </c>
      <c r="Q58" s="17" t="e">
        <f t="shared" si="16"/>
        <v>#VALUE!</v>
      </c>
      <c r="R58" s="1"/>
      <c r="S58" s="1">
        <v>0</v>
      </c>
      <c r="T58" s="1">
        <v>0</v>
      </c>
      <c r="U58" s="17">
        <f t="shared" si="17"/>
        <v>0</v>
      </c>
      <c r="V58" s="1">
        <v>0</v>
      </c>
      <c r="W58" s="1">
        <v>0</v>
      </c>
      <c r="X58" s="17">
        <f t="shared" si="18"/>
        <v>0</v>
      </c>
      <c r="Y58" s="1">
        <v>0</v>
      </c>
      <c r="Z58" s="34" t="e">
        <f t="shared" si="3"/>
        <v>#VALUE!</v>
      </c>
      <c r="AA58" s="20" t="e">
        <f t="shared" si="4"/>
        <v>#VALUE!</v>
      </c>
      <c r="AB58" s="34" t="e">
        <f t="shared" si="5"/>
        <v>#VALUE!</v>
      </c>
      <c r="AC58" s="2" t="e">
        <f t="shared" si="6"/>
        <v>#VALUE!</v>
      </c>
      <c r="AD58" s="1">
        <v>0</v>
      </c>
      <c r="AE58" s="1">
        <v>0</v>
      </c>
      <c r="AF58" s="1">
        <v>4</v>
      </c>
      <c r="AG58" s="1">
        <v>8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</row>
    <row r="59" spans="1:69" ht="12.75" hidden="1" x14ac:dyDescent="0.2">
      <c r="A59" s="1">
        <v>85</v>
      </c>
      <c r="B59" s="1" t="s">
        <v>148</v>
      </c>
      <c r="C59" s="1">
        <v>192</v>
      </c>
      <c r="D59" s="1">
        <v>677</v>
      </c>
      <c r="E59" s="1" t="s">
        <v>64</v>
      </c>
      <c r="F59" s="1">
        <v>1</v>
      </c>
      <c r="G59" s="1" t="s">
        <v>149</v>
      </c>
      <c r="H59" s="2">
        <v>6</v>
      </c>
      <c r="I59" s="2">
        <v>1152</v>
      </c>
      <c r="J59" s="14" t="e">
        <f t="shared" si="1"/>
        <v>#VALUE!</v>
      </c>
      <c r="K59" s="15" t="e">
        <f t="shared" si="2"/>
        <v>#VALUE!</v>
      </c>
      <c r="L59" s="15"/>
      <c r="M59" s="1">
        <v>0</v>
      </c>
      <c r="N59" s="1" t="str">
        <f>IFERROR(VLOOKUP(A59:A150,'140726 ph k.'!$A$64:$S$80,19,FALSE),"")</f>
        <v/>
      </c>
      <c r="O59" s="1" t="str">
        <f>IFERROR(VLOOKUP(A59:A150,'140726 ph k.'!$A$7:$H$60,8,FALSE),"")</f>
        <v/>
      </c>
      <c r="P59" s="1" t="str">
        <f>IFERROR(VLOOKUP(A59:A150,'140726 ph k.'!$A$64:$N$80,14,FALSE),"")</f>
        <v/>
      </c>
      <c r="Q59" s="17" t="e">
        <f t="shared" si="16"/>
        <v>#VALUE!</v>
      </c>
      <c r="R59" s="1"/>
      <c r="S59" s="1">
        <v>0</v>
      </c>
      <c r="T59" s="1">
        <v>0</v>
      </c>
      <c r="U59" s="17">
        <f t="shared" si="17"/>
        <v>0</v>
      </c>
      <c r="V59" s="1">
        <v>0</v>
      </c>
      <c r="W59" s="1">
        <v>0</v>
      </c>
      <c r="X59" s="17">
        <f t="shared" si="18"/>
        <v>0</v>
      </c>
      <c r="Y59" s="1">
        <v>0</v>
      </c>
      <c r="Z59" s="34" t="e">
        <f t="shared" si="3"/>
        <v>#VALUE!</v>
      </c>
      <c r="AA59" s="20" t="e">
        <f t="shared" si="4"/>
        <v>#VALUE!</v>
      </c>
      <c r="AB59" s="34" t="e">
        <f t="shared" si="5"/>
        <v>#VALUE!</v>
      </c>
      <c r="AC59" s="2" t="e">
        <f t="shared" si="6"/>
        <v>#VALUE!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</row>
    <row r="60" spans="1:69" ht="12.75" hidden="1" x14ac:dyDescent="0.2">
      <c r="A60" s="1">
        <v>504</v>
      </c>
      <c r="B60" s="1" t="s">
        <v>138</v>
      </c>
      <c r="C60" s="1">
        <v>96</v>
      </c>
      <c r="D60" s="1">
        <v>677</v>
      </c>
      <c r="E60" s="1" t="s">
        <v>64</v>
      </c>
      <c r="F60" s="1">
        <v>690</v>
      </c>
      <c r="G60" s="1" t="s">
        <v>101</v>
      </c>
      <c r="H60" s="2">
        <v>6.8646000000000003</v>
      </c>
      <c r="I60" s="2">
        <v>659.00160000000005</v>
      </c>
      <c r="J60" s="14" t="e">
        <f t="shared" si="1"/>
        <v>#VALUE!</v>
      </c>
      <c r="K60" s="15" t="e">
        <f t="shared" si="2"/>
        <v>#VALUE!</v>
      </c>
      <c r="L60" s="15"/>
      <c r="M60" s="1">
        <v>0</v>
      </c>
      <c r="N60" s="1" t="str">
        <f>IFERROR(VLOOKUP(A60:A151,'140726 ph k.'!$A$64:$S$80,19,FALSE),"")</f>
        <v/>
      </c>
      <c r="O60" s="1" t="str">
        <f>IFERROR(VLOOKUP(A60:A151,'140726 ph k.'!$A$7:$H$60,8,FALSE),"")</f>
        <v/>
      </c>
      <c r="P60" s="1" t="str">
        <f>IFERROR(VLOOKUP(A60:A151,'140726 ph k.'!$A$64:$N$80,14,FALSE),"")</f>
        <v/>
      </c>
      <c r="Q60" s="17" t="e">
        <f t="shared" si="16"/>
        <v>#VALUE!</v>
      </c>
      <c r="R60" s="1"/>
      <c r="S60" s="1">
        <v>0</v>
      </c>
      <c r="T60" s="1">
        <v>0</v>
      </c>
      <c r="U60" s="17">
        <f t="shared" si="17"/>
        <v>0</v>
      </c>
      <c r="V60" s="1">
        <v>0</v>
      </c>
      <c r="W60" s="1">
        <v>0</v>
      </c>
      <c r="X60" s="17">
        <f t="shared" si="18"/>
        <v>0</v>
      </c>
      <c r="Y60" s="1">
        <v>0</v>
      </c>
      <c r="Z60" s="34" t="e">
        <f t="shared" si="3"/>
        <v>#VALUE!</v>
      </c>
      <c r="AA60" s="20" t="e">
        <f t="shared" si="4"/>
        <v>#VALUE!</v>
      </c>
      <c r="AB60" s="34" t="e">
        <f t="shared" si="5"/>
        <v>#VALUE!</v>
      </c>
      <c r="AC60" s="2" t="e">
        <f t="shared" si="6"/>
        <v>#VALUE!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</row>
    <row r="61" spans="1:69" ht="12.75" hidden="1" x14ac:dyDescent="0.2">
      <c r="A61" s="1">
        <v>506</v>
      </c>
      <c r="B61" s="1" t="s">
        <v>139</v>
      </c>
      <c r="C61" s="1">
        <v>96</v>
      </c>
      <c r="D61" s="1">
        <v>677</v>
      </c>
      <c r="E61" s="1" t="s">
        <v>64</v>
      </c>
      <c r="F61" s="1">
        <v>690</v>
      </c>
      <c r="G61" s="1" t="s">
        <v>101</v>
      </c>
      <c r="H61" s="2">
        <v>6.8646000000000003</v>
      </c>
      <c r="I61" s="2">
        <v>659.00160000000005</v>
      </c>
      <c r="J61" s="14" t="e">
        <f t="shared" si="1"/>
        <v>#VALUE!</v>
      </c>
      <c r="K61" s="15" t="e">
        <f t="shared" si="2"/>
        <v>#VALUE!</v>
      </c>
      <c r="L61" s="15"/>
      <c r="M61" s="1">
        <v>0</v>
      </c>
      <c r="N61" s="1" t="str">
        <f>IFERROR(VLOOKUP(A61:A152,'140726 ph k.'!$A$64:$S$80,19,FALSE),"")</f>
        <v/>
      </c>
      <c r="O61" s="1" t="str">
        <f>IFERROR(VLOOKUP(A61:A152,'140726 ph k.'!$A$7:$H$60,8,FALSE),"")</f>
        <v/>
      </c>
      <c r="P61" s="1" t="str">
        <f>IFERROR(VLOOKUP(A61:A152,'140726 ph k.'!$A$64:$N$80,14,FALSE),"")</f>
        <v/>
      </c>
      <c r="Q61" s="17" t="e">
        <f t="shared" si="16"/>
        <v>#VALUE!</v>
      </c>
      <c r="R61" s="1"/>
      <c r="S61" s="1">
        <v>0</v>
      </c>
      <c r="T61" s="1">
        <v>0</v>
      </c>
      <c r="U61" s="17">
        <f t="shared" si="17"/>
        <v>0</v>
      </c>
      <c r="V61" s="1">
        <v>0</v>
      </c>
      <c r="W61" s="1">
        <v>0</v>
      </c>
      <c r="X61" s="17">
        <f t="shared" si="18"/>
        <v>0</v>
      </c>
      <c r="Y61" s="1">
        <v>0</v>
      </c>
      <c r="Z61" s="34" t="e">
        <f t="shared" si="3"/>
        <v>#VALUE!</v>
      </c>
      <c r="AA61" s="20" t="e">
        <f t="shared" si="4"/>
        <v>#VALUE!</v>
      </c>
      <c r="AB61" s="34" t="e">
        <f t="shared" si="5"/>
        <v>#VALUE!</v>
      </c>
      <c r="AC61" s="2" t="e">
        <f t="shared" si="6"/>
        <v>#VALUE!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</row>
    <row r="62" spans="1:69" ht="12.75" hidden="1" x14ac:dyDescent="0.2">
      <c r="A62" s="1">
        <v>511</v>
      </c>
      <c r="B62" s="1" t="s">
        <v>150</v>
      </c>
      <c r="C62" s="1">
        <v>96</v>
      </c>
      <c r="D62" s="1">
        <v>677</v>
      </c>
      <c r="E62" s="1" t="s">
        <v>64</v>
      </c>
      <c r="F62" s="1">
        <v>690</v>
      </c>
      <c r="G62" s="1" t="s">
        <v>101</v>
      </c>
      <c r="H62" s="2">
        <v>6.8646000000000003</v>
      </c>
      <c r="I62" s="2">
        <v>659.00160000000005</v>
      </c>
      <c r="J62" s="14" t="e">
        <f t="shared" si="1"/>
        <v>#VALUE!</v>
      </c>
      <c r="K62" s="15" t="e">
        <f t="shared" si="2"/>
        <v>#VALUE!</v>
      </c>
      <c r="L62" s="15"/>
      <c r="M62" s="1">
        <v>0</v>
      </c>
      <c r="N62" s="1" t="str">
        <f>IFERROR(VLOOKUP(A62:A153,'140726 ph k.'!$A$64:$S$80,19,FALSE),"")</f>
        <v/>
      </c>
      <c r="O62" s="1" t="str">
        <f>IFERROR(VLOOKUP(A62:A153,'140726 ph k.'!$A$7:$H$60,8,FALSE),"")</f>
        <v/>
      </c>
      <c r="P62" s="1" t="str">
        <f>IFERROR(VLOOKUP(A62:A153,'140726 ph k.'!$A$64:$N$80,14,FALSE),"")</f>
        <v/>
      </c>
      <c r="Q62" s="17" t="e">
        <f t="shared" si="16"/>
        <v>#VALUE!</v>
      </c>
      <c r="R62" s="1"/>
      <c r="S62" s="1">
        <v>0</v>
      </c>
      <c r="T62" s="1">
        <v>0</v>
      </c>
      <c r="U62" s="17">
        <f t="shared" si="17"/>
        <v>0</v>
      </c>
      <c r="V62" s="1">
        <v>0</v>
      </c>
      <c r="W62" s="1">
        <v>0</v>
      </c>
      <c r="X62" s="17">
        <f t="shared" si="18"/>
        <v>0</v>
      </c>
      <c r="Y62" s="1">
        <v>0</v>
      </c>
      <c r="Z62" s="34" t="e">
        <f t="shared" si="3"/>
        <v>#VALUE!</v>
      </c>
      <c r="AA62" s="20" t="e">
        <f t="shared" si="4"/>
        <v>#VALUE!</v>
      </c>
      <c r="AB62" s="34" t="e">
        <f t="shared" si="5"/>
        <v>#VALUE!</v>
      </c>
      <c r="AC62" s="2" t="e">
        <f t="shared" si="6"/>
        <v>#VALUE!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</row>
    <row r="63" spans="1:69" ht="12.75" hidden="1" x14ac:dyDescent="0.2">
      <c r="A63" s="1">
        <v>512</v>
      </c>
      <c r="B63" s="1" t="s">
        <v>151</v>
      </c>
      <c r="C63" s="1">
        <v>96</v>
      </c>
      <c r="D63" s="1">
        <v>677</v>
      </c>
      <c r="E63" s="1" t="s">
        <v>64</v>
      </c>
      <c r="F63" s="1">
        <v>690</v>
      </c>
      <c r="G63" s="1" t="s">
        <v>101</v>
      </c>
      <c r="H63" s="2">
        <v>6.8646000000000003</v>
      </c>
      <c r="I63" s="2">
        <v>659.00160000000005</v>
      </c>
      <c r="J63" s="14" t="e">
        <f t="shared" si="1"/>
        <v>#VALUE!</v>
      </c>
      <c r="K63" s="15" t="e">
        <f t="shared" si="2"/>
        <v>#VALUE!</v>
      </c>
      <c r="L63" s="15"/>
      <c r="M63" s="1">
        <v>0</v>
      </c>
      <c r="N63" s="1" t="str">
        <f>IFERROR(VLOOKUP(A63:A154,'140726 ph k.'!$A$64:$S$80,19,FALSE),"")</f>
        <v/>
      </c>
      <c r="O63" s="1" t="str">
        <f>IFERROR(VLOOKUP(A63:A154,'140726 ph k.'!$A$7:$H$60,8,FALSE),"")</f>
        <v/>
      </c>
      <c r="P63" s="1" t="str">
        <f>IFERROR(VLOOKUP(A63:A154,'140726 ph k.'!$A$64:$N$80,14,FALSE),"")</f>
        <v/>
      </c>
      <c r="Q63" s="17" t="e">
        <f t="shared" si="16"/>
        <v>#VALUE!</v>
      </c>
      <c r="R63" s="1"/>
      <c r="S63" s="1">
        <v>0</v>
      </c>
      <c r="T63" s="1">
        <v>0</v>
      </c>
      <c r="U63" s="17">
        <f t="shared" si="17"/>
        <v>0</v>
      </c>
      <c r="V63" s="1">
        <v>0</v>
      </c>
      <c r="W63" s="1">
        <v>0</v>
      </c>
      <c r="X63" s="17">
        <f t="shared" si="18"/>
        <v>0</v>
      </c>
      <c r="Y63" s="1">
        <v>0</v>
      </c>
      <c r="Z63" s="34" t="e">
        <f t="shared" si="3"/>
        <v>#VALUE!</v>
      </c>
      <c r="AA63" s="20" t="e">
        <f t="shared" si="4"/>
        <v>#VALUE!</v>
      </c>
      <c r="AB63" s="34" t="e">
        <f t="shared" si="5"/>
        <v>#VALUE!</v>
      </c>
      <c r="AC63" s="2" t="e">
        <f t="shared" si="6"/>
        <v>#VALUE!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</row>
    <row r="64" spans="1:69" ht="12.75" hidden="1" x14ac:dyDescent="0.2">
      <c r="A64" s="1">
        <v>516</v>
      </c>
      <c r="B64" s="1" t="s">
        <v>153</v>
      </c>
      <c r="C64" s="1">
        <v>96</v>
      </c>
      <c r="D64" s="1">
        <v>677</v>
      </c>
      <c r="E64" s="1" t="s">
        <v>64</v>
      </c>
      <c r="F64" s="1">
        <v>690</v>
      </c>
      <c r="G64" s="1" t="s">
        <v>101</v>
      </c>
      <c r="H64" s="2">
        <v>6.8646000000000003</v>
      </c>
      <c r="I64" s="2">
        <v>659.00160000000005</v>
      </c>
      <c r="J64" s="14" t="e">
        <f t="shared" si="1"/>
        <v>#VALUE!</v>
      </c>
      <c r="K64" s="15" t="e">
        <f t="shared" si="2"/>
        <v>#VALUE!</v>
      </c>
      <c r="L64" s="15"/>
      <c r="M64" s="1">
        <v>0</v>
      </c>
      <c r="N64" s="1" t="str">
        <f>IFERROR(VLOOKUP(A64:A155,'140726 ph k.'!$A$64:$S$80,19,FALSE),"")</f>
        <v/>
      </c>
      <c r="O64" s="1" t="str">
        <f>IFERROR(VLOOKUP(A64:A155,'140726 ph k.'!$A$7:$H$60,8,FALSE),"")</f>
        <v/>
      </c>
      <c r="P64" s="1" t="str">
        <f>IFERROR(VLOOKUP(A64:A155,'140726 ph k.'!$A$64:$N$80,14,FALSE),"")</f>
        <v/>
      </c>
      <c r="Q64" s="17" t="e">
        <f t="shared" si="16"/>
        <v>#VALUE!</v>
      </c>
      <c r="R64" s="1"/>
      <c r="S64" s="1">
        <v>0</v>
      </c>
      <c r="T64" s="1">
        <v>0</v>
      </c>
      <c r="U64" s="17">
        <f t="shared" si="17"/>
        <v>0</v>
      </c>
      <c r="V64" s="1">
        <v>0</v>
      </c>
      <c r="W64" s="1">
        <v>0</v>
      </c>
      <c r="X64" s="17">
        <f t="shared" si="18"/>
        <v>0</v>
      </c>
      <c r="Y64" s="1">
        <v>0</v>
      </c>
      <c r="Z64" s="34" t="e">
        <f t="shared" si="3"/>
        <v>#VALUE!</v>
      </c>
      <c r="AA64" s="20" t="e">
        <f t="shared" si="4"/>
        <v>#VALUE!</v>
      </c>
      <c r="AB64" s="34" t="e">
        <f t="shared" si="5"/>
        <v>#VALUE!</v>
      </c>
      <c r="AC64" s="2" t="e">
        <f t="shared" si="6"/>
        <v>#VALUE!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</row>
    <row r="65" spans="1:69" ht="12.75" hidden="1" x14ac:dyDescent="0.2">
      <c r="A65" s="1">
        <v>543</v>
      </c>
      <c r="B65" s="1" t="s">
        <v>154</v>
      </c>
      <c r="C65" s="1">
        <v>96</v>
      </c>
      <c r="D65" s="1">
        <v>677</v>
      </c>
      <c r="E65" s="1" t="s">
        <v>64</v>
      </c>
      <c r="F65" s="1">
        <v>690</v>
      </c>
      <c r="G65" s="1" t="s">
        <v>101</v>
      </c>
      <c r="H65" s="2">
        <v>6.8646000000000003</v>
      </c>
      <c r="I65" s="2">
        <v>659.00160000000005</v>
      </c>
      <c r="J65" s="14" t="e">
        <f t="shared" si="1"/>
        <v>#VALUE!</v>
      </c>
      <c r="K65" s="15" t="e">
        <f t="shared" si="2"/>
        <v>#VALUE!</v>
      </c>
      <c r="L65" s="15"/>
      <c r="M65" s="1">
        <v>0</v>
      </c>
      <c r="N65" s="1" t="str">
        <f>IFERROR(VLOOKUP(A65:A156,'140726 ph k.'!$A$64:$S$80,19,FALSE),"")</f>
        <v/>
      </c>
      <c r="O65" s="1" t="str">
        <f>IFERROR(VLOOKUP(A65:A156,'140726 ph k.'!$A$7:$H$60,8,FALSE),"")</f>
        <v/>
      </c>
      <c r="P65" s="1" t="str">
        <f>IFERROR(VLOOKUP(A65:A156,'140726 ph k.'!$A$64:$N$80,14,FALSE),"")</f>
        <v/>
      </c>
      <c r="Q65" s="17" t="e">
        <f t="shared" si="16"/>
        <v>#VALUE!</v>
      </c>
      <c r="R65" s="1"/>
      <c r="S65" s="1">
        <v>0</v>
      </c>
      <c r="T65" s="1">
        <v>0</v>
      </c>
      <c r="U65" s="17">
        <f t="shared" si="17"/>
        <v>0</v>
      </c>
      <c r="V65" s="1">
        <v>0</v>
      </c>
      <c r="W65" s="1">
        <v>0</v>
      </c>
      <c r="X65" s="17">
        <f t="shared" si="18"/>
        <v>0</v>
      </c>
      <c r="Y65" s="1">
        <v>0</v>
      </c>
      <c r="Z65" s="34" t="e">
        <f t="shared" si="3"/>
        <v>#VALUE!</v>
      </c>
      <c r="AA65" s="20" t="e">
        <f t="shared" si="4"/>
        <v>#VALUE!</v>
      </c>
      <c r="AB65" s="34" t="e">
        <f t="shared" si="5"/>
        <v>#VALUE!</v>
      </c>
      <c r="AC65" s="2" t="e">
        <f t="shared" si="6"/>
        <v>#VALUE!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</row>
    <row r="66" spans="1:69" ht="12.75" hidden="1" x14ac:dyDescent="0.2">
      <c r="A66" s="1">
        <v>563</v>
      </c>
      <c r="B66" s="1" t="s">
        <v>155</v>
      </c>
      <c r="C66" s="1">
        <v>96</v>
      </c>
      <c r="D66" s="1">
        <v>677</v>
      </c>
      <c r="E66" s="1" t="s">
        <v>64</v>
      </c>
      <c r="F66" s="1">
        <v>690</v>
      </c>
      <c r="G66" s="1" t="s">
        <v>101</v>
      </c>
      <c r="H66" s="2">
        <v>6.8646000000000003</v>
      </c>
      <c r="I66" s="2">
        <v>659.00160000000005</v>
      </c>
      <c r="J66" s="14" t="e">
        <f t="shared" si="1"/>
        <v>#VALUE!</v>
      </c>
      <c r="K66" s="15" t="e">
        <f t="shared" si="2"/>
        <v>#VALUE!</v>
      </c>
      <c r="L66" s="15"/>
      <c r="M66" s="1">
        <v>0</v>
      </c>
      <c r="N66" s="1" t="str">
        <f>IFERROR(VLOOKUP(A66:A157,'140726 ph k.'!$A$64:$S$80,19,FALSE),"")</f>
        <v/>
      </c>
      <c r="O66" s="1" t="str">
        <f>IFERROR(VLOOKUP(A66:A157,'140726 ph k.'!$A$7:$H$60,8,FALSE),"")</f>
        <v/>
      </c>
      <c r="P66" s="1" t="str">
        <f>IFERROR(VLOOKUP(A66:A157,'140726 ph k.'!$A$64:$N$80,14,FALSE),"")</f>
        <v/>
      </c>
      <c r="Q66" s="17" t="e">
        <f t="shared" si="16"/>
        <v>#VALUE!</v>
      </c>
      <c r="R66" s="1"/>
      <c r="S66" s="1">
        <v>0</v>
      </c>
      <c r="T66" s="1">
        <v>0</v>
      </c>
      <c r="U66" s="17">
        <f t="shared" si="17"/>
        <v>0</v>
      </c>
      <c r="V66" s="1">
        <v>0</v>
      </c>
      <c r="W66" s="1">
        <v>0</v>
      </c>
      <c r="X66" s="17">
        <f t="shared" si="18"/>
        <v>0</v>
      </c>
      <c r="Y66" s="1">
        <v>0</v>
      </c>
      <c r="Z66" s="34" t="e">
        <f t="shared" si="3"/>
        <v>#VALUE!</v>
      </c>
      <c r="AA66" s="20" t="e">
        <f t="shared" si="4"/>
        <v>#VALUE!</v>
      </c>
      <c r="AB66" s="34" t="e">
        <f t="shared" si="5"/>
        <v>#VALUE!</v>
      </c>
      <c r="AC66" s="2" t="e">
        <f t="shared" si="6"/>
        <v>#VALUE!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</row>
    <row r="67" spans="1:69" ht="12.75" hidden="1" x14ac:dyDescent="0.2">
      <c r="A67" s="1">
        <v>8038</v>
      </c>
      <c r="B67" s="1" t="s">
        <v>156</v>
      </c>
      <c r="C67" s="1">
        <v>6</v>
      </c>
      <c r="D67" s="1">
        <v>677</v>
      </c>
      <c r="E67" s="1" t="s">
        <v>64</v>
      </c>
      <c r="F67" s="1">
        <v>61</v>
      </c>
      <c r="G67" s="1" t="s">
        <v>66</v>
      </c>
      <c r="H67" s="2">
        <v>77</v>
      </c>
      <c r="I67" s="2">
        <v>462</v>
      </c>
      <c r="J67" s="14" t="e">
        <f t="shared" si="1"/>
        <v>#VALUE!</v>
      </c>
      <c r="K67" s="15" t="e">
        <f t="shared" si="2"/>
        <v>#VALUE!</v>
      </c>
      <c r="L67" s="15"/>
      <c r="M67" s="1">
        <v>0</v>
      </c>
      <c r="N67" s="1" t="str">
        <f>IFERROR(VLOOKUP(A67:A158,'140726 ph k.'!$A$64:$S$80,19,FALSE),"")</f>
        <v/>
      </c>
      <c r="O67" s="1" t="str">
        <f>IFERROR(VLOOKUP(A67:A158,'140726 ph k.'!$A$7:$H$60,8,FALSE),"")</f>
        <v/>
      </c>
      <c r="P67" s="1" t="str">
        <f>IFERROR(VLOOKUP(A67:A158,'140726 ph k.'!$A$64:$N$80,14,FALSE),"")</f>
        <v/>
      </c>
      <c r="Q67" s="17" t="e">
        <f t="shared" si="16"/>
        <v>#VALUE!</v>
      </c>
      <c r="R67" s="1"/>
      <c r="S67" s="1">
        <v>0</v>
      </c>
      <c r="T67" s="1">
        <v>0</v>
      </c>
      <c r="U67" s="17">
        <f t="shared" si="17"/>
        <v>0</v>
      </c>
      <c r="V67" s="1">
        <v>0</v>
      </c>
      <c r="W67" s="1">
        <v>0</v>
      </c>
      <c r="X67" s="17">
        <f t="shared" si="18"/>
        <v>0</v>
      </c>
      <c r="Y67" s="1">
        <v>0</v>
      </c>
      <c r="Z67" s="34" t="e">
        <f t="shared" si="3"/>
        <v>#VALUE!</v>
      </c>
      <c r="AA67" s="20" t="e">
        <f t="shared" si="4"/>
        <v>#VALUE!</v>
      </c>
      <c r="AB67" s="34" t="e">
        <f t="shared" si="5"/>
        <v>#VALUE!</v>
      </c>
      <c r="AC67" s="2" t="e">
        <f t="shared" si="6"/>
        <v>#VALUE!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</row>
    <row r="68" spans="1:69" ht="12.75" hidden="1" x14ac:dyDescent="0.2">
      <c r="A68" s="1">
        <v>8041</v>
      </c>
      <c r="B68" s="1" t="s">
        <v>77</v>
      </c>
      <c r="C68" s="1">
        <v>72</v>
      </c>
      <c r="D68" s="1">
        <v>677</v>
      </c>
      <c r="E68" s="1" t="s">
        <v>64</v>
      </c>
      <c r="F68" s="1">
        <v>999</v>
      </c>
      <c r="G68" s="1" t="s">
        <v>67</v>
      </c>
      <c r="H68" s="2">
        <v>6.5368000000000004</v>
      </c>
      <c r="I68" s="2">
        <v>470.64960000000002</v>
      </c>
      <c r="J68" s="14" t="e">
        <f t="shared" si="1"/>
        <v>#VALUE!</v>
      </c>
      <c r="K68" s="15" t="e">
        <f t="shared" si="2"/>
        <v>#VALUE!</v>
      </c>
      <c r="L68" s="15"/>
      <c r="M68" s="1">
        <v>0</v>
      </c>
      <c r="N68" s="1" t="str">
        <f>IFERROR(VLOOKUP(A68:A159,'140726 ph k.'!$A$64:$S$80,19,FALSE),"")</f>
        <v/>
      </c>
      <c r="O68" s="1" t="str">
        <f>IFERROR(VLOOKUP(A68:A159,'140726 ph k.'!$A$7:$H$60,8,FALSE),"")</f>
        <v/>
      </c>
      <c r="P68" s="1" t="str">
        <f>IFERROR(VLOOKUP(A68:A159,'140726 ph k.'!$A$64:$N$80,14,FALSE),"")</f>
        <v/>
      </c>
      <c r="Q68" s="17" t="e">
        <f t="shared" si="16"/>
        <v>#VALUE!</v>
      </c>
      <c r="R68" s="1"/>
      <c r="S68" s="1">
        <v>0</v>
      </c>
      <c r="T68" s="1">
        <v>0</v>
      </c>
      <c r="U68" s="17">
        <f t="shared" si="17"/>
        <v>0</v>
      </c>
      <c r="V68" s="1">
        <v>0</v>
      </c>
      <c r="W68" s="1">
        <v>0</v>
      </c>
      <c r="X68" s="17">
        <f t="shared" si="18"/>
        <v>0</v>
      </c>
      <c r="Y68" s="1">
        <v>0</v>
      </c>
      <c r="Z68" s="34" t="e">
        <f t="shared" si="3"/>
        <v>#VALUE!</v>
      </c>
      <c r="AA68" s="20" t="e">
        <f t="shared" si="4"/>
        <v>#VALUE!</v>
      </c>
      <c r="AB68" s="34" t="e">
        <f t="shared" si="5"/>
        <v>#VALUE!</v>
      </c>
      <c r="AC68" s="2" t="e">
        <f t="shared" si="6"/>
        <v>#VALUE!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</row>
    <row r="69" spans="1:69" ht="12.75" hidden="1" x14ac:dyDescent="0.2">
      <c r="A69" s="1">
        <v>8042</v>
      </c>
      <c r="B69" s="1" t="s">
        <v>77</v>
      </c>
      <c r="C69" s="1">
        <v>72</v>
      </c>
      <c r="D69" s="1">
        <v>677</v>
      </c>
      <c r="E69" s="1" t="s">
        <v>64</v>
      </c>
      <c r="F69" s="1">
        <v>999</v>
      </c>
      <c r="G69" s="1" t="s">
        <v>67</v>
      </c>
      <c r="H69" s="2">
        <v>6.5368000000000004</v>
      </c>
      <c r="I69" s="2">
        <v>470.64960000000002</v>
      </c>
      <c r="J69" s="14" t="e">
        <f t="shared" si="1"/>
        <v>#VALUE!</v>
      </c>
      <c r="K69" s="15" t="e">
        <f t="shared" si="2"/>
        <v>#VALUE!</v>
      </c>
      <c r="L69" s="15"/>
      <c r="M69" s="1">
        <v>0</v>
      </c>
      <c r="N69" s="1" t="str">
        <f>IFERROR(VLOOKUP(A69:A160,'140726 ph k.'!$A$64:$S$80,19,FALSE),"")</f>
        <v/>
      </c>
      <c r="O69" s="1" t="str">
        <f>IFERROR(VLOOKUP(A69:A160,'140726 ph k.'!$A$7:$H$60,8,FALSE),"")</f>
        <v/>
      </c>
      <c r="P69" s="1" t="str">
        <f>IFERROR(VLOOKUP(A69:A160,'140726 ph k.'!$A$64:$N$80,14,FALSE),"")</f>
        <v/>
      </c>
      <c r="Q69" s="17" t="e">
        <f t="shared" si="16"/>
        <v>#VALUE!</v>
      </c>
      <c r="R69" s="1"/>
      <c r="S69" s="1">
        <v>0</v>
      </c>
      <c r="T69" s="1">
        <v>0</v>
      </c>
      <c r="U69" s="17">
        <f t="shared" si="17"/>
        <v>0</v>
      </c>
      <c r="V69" s="1">
        <v>0</v>
      </c>
      <c r="W69" s="1">
        <v>0</v>
      </c>
      <c r="X69" s="17">
        <f t="shared" si="18"/>
        <v>0</v>
      </c>
      <c r="Y69" s="1">
        <v>0</v>
      </c>
      <c r="Z69" s="34" t="e">
        <f t="shared" si="3"/>
        <v>#VALUE!</v>
      </c>
      <c r="AA69" s="20" t="e">
        <f t="shared" si="4"/>
        <v>#VALUE!</v>
      </c>
      <c r="AB69" s="34" t="e">
        <f t="shared" si="5"/>
        <v>#VALUE!</v>
      </c>
      <c r="AC69" s="2" t="e">
        <f t="shared" si="6"/>
        <v>#VALUE!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</row>
    <row r="70" spans="1:69" ht="12.75" hidden="1" x14ac:dyDescent="0.2">
      <c r="A70" s="1">
        <v>9099</v>
      </c>
      <c r="B70" s="1" t="s">
        <v>77</v>
      </c>
      <c r="C70" s="1">
        <v>24</v>
      </c>
      <c r="D70" s="1">
        <v>677</v>
      </c>
      <c r="E70" s="1" t="s">
        <v>64</v>
      </c>
      <c r="F70" s="1">
        <v>999</v>
      </c>
      <c r="G70" s="1" t="s">
        <v>67</v>
      </c>
      <c r="H70" s="2">
        <v>15.6492</v>
      </c>
      <c r="I70" s="2">
        <v>375.58080000000001</v>
      </c>
      <c r="J70" s="14" t="e">
        <f t="shared" si="1"/>
        <v>#VALUE!</v>
      </c>
      <c r="K70" s="15" t="e">
        <f t="shared" si="2"/>
        <v>#VALUE!</v>
      </c>
      <c r="L70" s="15"/>
      <c r="M70" s="1">
        <v>0</v>
      </c>
      <c r="N70" s="1" t="str">
        <f>IFERROR(VLOOKUP(A70:A161,'140726 ph k.'!$A$64:$S$80,19,FALSE),"")</f>
        <v/>
      </c>
      <c r="O70" s="1" t="str">
        <f>IFERROR(VLOOKUP(A70:A161,'140726 ph k.'!$A$7:$H$60,8,FALSE),"")</f>
        <v/>
      </c>
      <c r="P70" s="1" t="str">
        <f>IFERROR(VLOOKUP(A70:A161,'140726 ph k.'!$A$64:$N$80,14,FALSE),"")</f>
        <v/>
      </c>
      <c r="Q70" s="17" t="e">
        <f t="shared" si="16"/>
        <v>#VALUE!</v>
      </c>
      <c r="R70" s="1"/>
      <c r="S70" s="1">
        <v>0</v>
      </c>
      <c r="T70" s="1">
        <v>0</v>
      </c>
      <c r="U70" s="17">
        <f t="shared" si="17"/>
        <v>0</v>
      </c>
      <c r="V70" s="1">
        <v>0</v>
      </c>
      <c r="W70" s="1">
        <v>0</v>
      </c>
      <c r="X70" s="17">
        <f t="shared" si="18"/>
        <v>0</v>
      </c>
      <c r="Y70" s="1">
        <v>0</v>
      </c>
      <c r="Z70" s="34" t="e">
        <f t="shared" si="3"/>
        <v>#VALUE!</v>
      </c>
      <c r="AA70" s="20" t="e">
        <f t="shared" si="4"/>
        <v>#VALUE!</v>
      </c>
      <c r="AB70" s="34" t="e">
        <f t="shared" si="5"/>
        <v>#VALUE!</v>
      </c>
      <c r="AC70" s="2" t="e">
        <f t="shared" si="6"/>
        <v>#VALUE!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</row>
    <row r="71" spans="1:69" ht="12.75" hidden="1" x14ac:dyDescent="0.2">
      <c r="A71" s="1">
        <v>47006</v>
      </c>
      <c r="B71" s="1" t="s">
        <v>72</v>
      </c>
      <c r="C71" s="1">
        <v>24</v>
      </c>
      <c r="D71" s="1">
        <v>677</v>
      </c>
      <c r="E71" s="1" t="s">
        <v>64</v>
      </c>
      <c r="F71" s="1">
        <v>998</v>
      </c>
      <c r="G71" s="1" t="s">
        <v>73</v>
      </c>
      <c r="H71" s="2">
        <v>20.635100000000001</v>
      </c>
      <c r="I71" s="2">
        <v>495.24239999999998</v>
      </c>
      <c r="J71" s="14" t="e">
        <f t="shared" si="1"/>
        <v>#VALUE!</v>
      </c>
      <c r="K71" s="15" t="e">
        <f t="shared" si="2"/>
        <v>#VALUE!</v>
      </c>
      <c r="L71" s="15"/>
      <c r="M71" s="1">
        <v>0</v>
      </c>
      <c r="N71" s="1" t="str">
        <f>IFERROR(VLOOKUP(A71:A162,'140726 ph k.'!$A$64:$S$80,19,FALSE),"")</f>
        <v/>
      </c>
      <c r="O71" s="1">
        <f>IFERROR(VLOOKUP(A71:A162,'140726 ph k.'!$A$7:$H$60,8,FALSE),"")</f>
        <v>0</v>
      </c>
      <c r="P71" s="1" t="str">
        <f>IFERROR(VLOOKUP(A71:A162,'140726 ph k.'!$A$64:$N$80,14,FALSE),"")</f>
        <v/>
      </c>
      <c r="Q71" s="17" t="e">
        <f t="shared" si="16"/>
        <v>#VALUE!</v>
      </c>
      <c r="R71" s="1"/>
      <c r="S71" s="1">
        <v>0</v>
      </c>
      <c r="T71" s="1">
        <v>0</v>
      </c>
      <c r="U71" s="17">
        <f t="shared" si="17"/>
        <v>0</v>
      </c>
      <c r="V71" s="1">
        <v>0</v>
      </c>
      <c r="W71" s="1">
        <v>0</v>
      </c>
      <c r="X71" s="17">
        <f t="shared" si="18"/>
        <v>0</v>
      </c>
      <c r="Y71" s="1">
        <v>0</v>
      </c>
      <c r="Z71" s="34" t="e">
        <f t="shared" si="3"/>
        <v>#VALUE!</v>
      </c>
      <c r="AA71" s="20" t="e">
        <f t="shared" si="4"/>
        <v>#VALUE!</v>
      </c>
      <c r="AB71" s="34" t="e">
        <f t="shared" si="5"/>
        <v>#VALUE!</v>
      </c>
      <c r="AC71" s="2" t="e">
        <f t="shared" si="6"/>
        <v>#VALUE!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</row>
    <row r="72" spans="1:69" ht="12.75" hidden="1" x14ac:dyDescent="0.2">
      <c r="A72" s="1">
        <v>47007</v>
      </c>
      <c r="B72" s="1" t="s">
        <v>157</v>
      </c>
      <c r="C72" s="1">
        <v>12</v>
      </c>
      <c r="D72" s="1">
        <v>677</v>
      </c>
      <c r="E72" s="1" t="s">
        <v>64</v>
      </c>
      <c r="F72" s="1">
        <v>1</v>
      </c>
      <c r="G72" s="1" t="s">
        <v>149</v>
      </c>
      <c r="H72" s="2">
        <v>7.68</v>
      </c>
      <c r="I72" s="2">
        <v>92.16</v>
      </c>
      <c r="J72" s="14" t="e">
        <f t="shared" si="1"/>
        <v>#VALUE!</v>
      </c>
      <c r="K72" s="15" t="e">
        <f t="shared" si="2"/>
        <v>#VALUE!</v>
      </c>
      <c r="L72" s="15"/>
      <c r="M72" s="1">
        <v>0</v>
      </c>
      <c r="N72" s="1" t="str">
        <f>IFERROR(VLOOKUP(A72:A163,'140726 ph k.'!$A$64:$S$80,19,FALSE),"")</f>
        <v/>
      </c>
      <c r="O72" s="1" t="str">
        <f>IFERROR(VLOOKUP(A72:A163,'140726 ph k.'!$A$7:$H$60,8,FALSE),"")</f>
        <v/>
      </c>
      <c r="P72" s="1" t="str">
        <f>IFERROR(VLOOKUP(A72:A163,'140726 ph k.'!$A$64:$N$80,14,FALSE),"")</f>
        <v/>
      </c>
      <c r="Q72" s="17" t="e">
        <f t="shared" si="16"/>
        <v>#VALUE!</v>
      </c>
      <c r="R72" s="1"/>
      <c r="S72" s="1">
        <v>0</v>
      </c>
      <c r="T72" s="1">
        <v>0</v>
      </c>
      <c r="U72" s="17">
        <f t="shared" si="17"/>
        <v>0</v>
      </c>
      <c r="V72" s="1">
        <v>0</v>
      </c>
      <c r="W72" s="1">
        <v>0</v>
      </c>
      <c r="X72" s="17">
        <f t="shared" si="18"/>
        <v>0</v>
      </c>
      <c r="Y72" s="1">
        <v>0</v>
      </c>
      <c r="Z72" s="34" t="e">
        <f t="shared" si="3"/>
        <v>#VALUE!</v>
      </c>
      <c r="AA72" s="20" t="e">
        <f t="shared" si="4"/>
        <v>#VALUE!</v>
      </c>
      <c r="AB72" s="34" t="e">
        <f t="shared" si="5"/>
        <v>#VALUE!</v>
      </c>
      <c r="AC72" s="2" t="e">
        <f t="shared" si="6"/>
        <v>#VALUE!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</row>
    <row r="73" spans="1:69" ht="12.75" hidden="1" x14ac:dyDescent="0.2">
      <c r="A73" s="1">
        <v>47009</v>
      </c>
      <c r="B73" s="1" t="s">
        <v>130</v>
      </c>
      <c r="C73" s="1">
        <v>12</v>
      </c>
      <c r="D73" s="1">
        <v>677</v>
      </c>
      <c r="E73" s="1" t="s">
        <v>64</v>
      </c>
      <c r="F73" s="1">
        <v>61</v>
      </c>
      <c r="G73" s="1" t="s">
        <v>66</v>
      </c>
      <c r="H73" s="2">
        <v>138.47</v>
      </c>
      <c r="I73" s="2">
        <v>1661.64</v>
      </c>
      <c r="J73" s="14" t="e">
        <f t="shared" si="1"/>
        <v>#VALUE!</v>
      </c>
      <c r="K73" s="15" t="e">
        <f t="shared" si="2"/>
        <v>#VALUE!</v>
      </c>
      <c r="L73" s="15"/>
      <c r="M73" s="1">
        <v>0</v>
      </c>
      <c r="N73" s="1" t="str">
        <f>IFERROR(VLOOKUP(A73:A164,'140726 ph k.'!$A$64:$S$80,19,FALSE),"")</f>
        <v/>
      </c>
      <c r="O73" s="1">
        <f>IFERROR(VLOOKUP(A73:A164,'140726 ph k.'!$A$7:$H$60,8,FALSE),"")</f>
        <v>0</v>
      </c>
      <c r="P73" s="1" t="str">
        <f>IFERROR(VLOOKUP(A73:A164,'140726 ph k.'!$A$64:$N$80,14,FALSE),"")</f>
        <v/>
      </c>
      <c r="Q73" s="17" t="e">
        <f t="shared" si="16"/>
        <v>#VALUE!</v>
      </c>
      <c r="R73" s="1"/>
      <c r="S73" s="1">
        <v>0</v>
      </c>
      <c r="T73" s="1">
        <v>0</v>
      </c>
      <c r="U73" s="17">
        <f t="shared" si="17"/>
        <v>0</v>
      </c>
      <c r="V73" s="1">
        <v>0</v>
      </c>
      <c r="W73" s="1">
        <v>0</v>
      </c>
      <c r="X73" s="17">
        <f t="shared" si="18"/>
        <v>0</v>
      </c>
      <c r="Y73" s="1">
        <v>0</v>
      </c>
      <c r="Z73" s="34" t="e">
        <f t="shared" si="3"/>
        <v>#VALUE!</v>
      </c>
      <c r="AA73" s="20" t="e">
        <f t="shared" si="4"/>
        <v>#VALUE!</v>
      </c>
      <c r="AB73" s="34" t="e">
        <f t="shared" si="5"/>
        <v>#VALUE!</v>
      </c>
      <c r="AC73" s="2" t="e">
        <f t="shared" si="6"/>
        <v>#VALUE!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</row>
    <row r="74" spans="1:69" ht="12.75" hidden="1" x14ac:dyDescent="0.2">
      <c r="A74" s="1">
        <v>47011</v>
      </c>
      <c r="B74" s="1" t="s">
        <v>158</v>
      </c>
      <c r="C74" s="1">
        <v>24</v>
      </c>
      <c r="D74" s="1">
        <v>677</v>
      </c>
      <c r="E74" s="1" t="s">
        <v>64</v>
      </c>
      <c r="F74" s="1">
        <v>677</v>
      </c>
      <c r="G74" s="1" t="s">
        <v>84</v>
      </c>
      <c r="H74" s="2">
        <v>21.65</v>
      </c>
      <c r="I74" s="2">
        <v>519.6</v>
      </c>
      <c r="J74" s="14" t="e">
        <f t="shared" si="1"/>
        <v>#VALUE!</v>
      </c>
      <c r="K74" s="15" t="e">
        <f t="shared" si="2"/>
        <v>#VALUE!</v>
      </c>
      <c r="L74" s="15"/>
      <c r="M74" s="1">
        <v>0</v>
      </c>
      <c r="N74" s="1" t="str">
        <f>IFERROR(VLOOKUP(A74:A165,'140726 ph k.'!$A$64:$S$80,19,FALSE),"")</f>
        <v/>
      </c>
      <c r="O74" s="1">
        <f>IFERROR(VLOOKUP(A74:A165,'140726 ph k.'!$A$7:$H$60,8,FALSE),"")</f>
        <v>0</v>
      </c>
      <c r="P74" s="1" t="str">
        <f>IFERROR(VLOOKUP(A74:A165,'140726 ph k.'!$A$64:$N$80,14,FALSE),"")</f>
        <v/>
      </c>
      <c r="Q74" s="17" t="e">
        <f t="shared" si="16"/>
        <v>#VALUE!</v>
      </c>
      <c r="R74" s="1"/>
      <c r="S74" s="1">
        <v>0</v>
      </c>
      <c r="T74" s="1">
        <v>0</v>
      </c>
      <c r="U74" s="17">
        <f t="shared" si="17"/>
        <v>0</v>
      </c>
      <c r="V74" s="1">
        <v>0</v>
      </c>
      <c r="W74" s="1">
        <v>0</v>
      </c>
      <c r="X74" s="17">
        <f t="shared" si="18"/>
        <v>0</v>
      </c>
      <c r="Y74" s="1">
        <v>0</v>
      </c>
      <c r="Z74" s="34" t="e">
        <f t="shared" si="3"/>
        <v>#VALUE!</v>
      </c>
      <c r="AA74" s="20" t="e">
        <f t="shared" si="4"/>
        <v>#VALUE!</v>
      </c>
      <c r="AB74" s="34" t="e">
        <f t="shared" si="5"/>
        <v>#VALUE!</v>
      </c>
      <c r="AC74" s="2" t="e">
        <f t="shared" si="6"/>
        <v>#VALUE!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</row>
    <row r="75" spans="1:69" ht="12.75" hidden="1" x14ac:dyDescent="0.2">
      <c r="A75" s="1">
        <v>47013</v>
      </c>
      <c r="B75" s="1" t="s">
        <v>159</v>
      </c>
      <c r="C75" s="1">
        <v>4</v>
      </c>
      <c r="D75" s="1">
        <v>677</v>
      </c>
      <c r="E75" s="1" t="s">
        <v>64</v>
      </c>
      <c r="F75" s="1">
        <v>61</v>
      </c>
      <c r="G75" s="1" t="s">
        <v>66</v>
      </c>
      <c r="H75" s="2">
        <v>92.19</v>
      </c>
      <c r="I75" s="2">
        <v>368.76</v>
      </c>
      <c r="J75" s="14" t="e">
        <f t="shared" si="1"/>
        <v>#VALUE!</v>
      </c>
      <c r="K75" s="15" t="e">
        <f t="shared" si="2"/>
        <v>#VALUE!</v>
      </c>
      <c r="L75" s="15"/>
      <c r="M75" s="1">
        <v>0</v>
      </c>
      <c r="N75" s="1" t="str">
        <f>IFERROR(VLOOKUP(A75:A166,'140726 ph k.'!$A$64:$S$80,19,FALSE),"")</f>
        <v/>
      </c>
      <c r="O75" s="1">
        <f>IFERROR(VLOOKUP(A75:A166,'140726 ph k.'!$A$7:$H$60,8,FALSE),"")</f>
        <v>0</v>
      </c>
      <c r="P75" s="1" t="str">
        <f>IFERROR(VLOOKUP(A75:A166,'140726 ph k.'!$A$64:$N$80,14,FALSE),"")</f>
        <v/>
      </c>
      <c r="Q75" s="17" t="e">
        <f t="shared" si="16"/>
        <v>#VALUE!</v>
      </c>
      <c r="R75" s="1"/>
      <c r="S75" s="1">
        <v>0</v>
      </c>
      <c r="T75" s="1">
        <v>0</v>
      </c>
      <c r="U75" s="17">
        <f t="shared" si="17"/>
        <v>0</v>
      </c>
      <c r="V75" s="1">
        <v>0</v>
      </c>
      <c r="W75" s="1">
        <v>0</v>
      </c>
      <c r="X75" s="17">
        <f t="shared" si="18"/>
        <v>0</v>
      </c>
      <c r="Y75" s="1">
        <v>0</v>
      </c>
      <c r="Z75" s="34" t="e">
        <f t="shared" si="3"/>
        <v>#VALUE!</v>
      </c>
      <c r="AA75" s="20" t="e">
        <f t="shared" si="4"/>
        <v>#VALUE!</v>
      </c>
      <c r="AB75" s="34" t="e">
        <f t="shared" si="5"/>
        <v>#VALUE!</v>
      </c>
      <c r="AC75" s="2" t="e">
        <f t="shared" si="6"/>
        <v>#VALUE!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</row>
    <row r="76" spans="1:69" ht="12.75" hidden="1" x14ac:dyDescent="0.2">
      <c r="A76" s="1">
        <v>47016</v>
      </c>
      <c r="B76" s="1" t="s">
        <v>160</v>
      </c>
      <c r="C76" s="1">
        <v>12</v>
      </c>
      <c r="D76" s="1">
        <v>677</v>
      </c>
      <c r="E76" s="1" t="s">
        <v>64</v>
      </c>
      <c r="F76" s="1">
        <v>1</v>
      </c>
      <c r="G76" s="1" t="s">
        <v>149</v>
      </c>
      <c r="H76" s="2">
        <v>7.68</v>
      </c>
      <c r="I76" s="2">
        <v>92.16</v>
      </c>
      <c r="J76" s="14" t="e">
        <f t="shared" si="1"/>
        <v>#VALUE!</v>
      </c>
      <c r="K76" s="15" t="e">
        <f t="shared" si="2"/>
        <v>#VALUE!</v>
      </c>
      <c r="L76" s="15"/>
      <c r="M76" s="1">
        <v>0</v>
      </c>
      <c r="N76" s="1" t="str">
        <f>IFERROR(VLOOKUP(A76:A167,'140726 ph k.'!$A$64:$S$80,19,FALSE),"")</f>
        <v/>
      </c>
      <c r="O76" s="1" t="str">
        <f>IFERROR(VLOOKUP(A76:A167,'140726 ph k.'!$A$7:$H$60,8,FALSE),"")</f>
        <v/>
      </c>
      <c r="P76" s="1" t="str">
        <f>IFERROR(VLOOKUP(A76:A167,'140726 ph k.'!$A$64:$N$80,14,FALSE),"")</f>
        <v/>
      </c>
      <c r="Q76" s="17" t="e">
        <f t="shared" si="16"/>
        <v>#VALUE!</v>
      </c>
      <c r="R76" s="1"/>
      <c r="S76" s="1">
        <v>0</v>
      </c>
      <c r="T76" s="1">
        <v>0</v>
      </c>
      <c r="U76" s="17">
        <f t="shared" si="17"/>
        <v>0</v>
      </c>
      <c r="V76" s="1">
        <v>0</v>
      </c>
      <c r="W76" s="1">
        <v>0</v>
      </c>
      <c r="X76" s="17">
        <f t="shared" si="18"/>
        <v>0</v>
      </c>
      <c r="Y76" s="1">
        <v>0</v>
      </c>
      <c r="Z76" s="34" t="e">
        <f t="shared" si="3"/>
        <v>#VALUE!</v>
      </c>
      <c r="AA76" s="20" t="e">
        <f t="shared" si="4"/>
        <v>#VALUE!</v>
      </c>
      <c r="AB76" s="34" t="e">
        <f t="shared" si="5"/>
        <v>#VALUE!</v>
      </c>
      <c r="AC76" s="2" t="e">
        <f t="shared" si="6"/>
        <v>#VALUE!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</row>
    <row r="77" spans="1:69" ht="12.75" hidden="1" x14ac:dyDescent="0.2">
      <c r="A77" s="1">
        <v>47018</v>
      </c>
      <c r="B77" s="1" t="s">
        <v>161</v>
      </c>
      <c r="C77" s="1">
        <v>6</v>
      </c>
      <c r="D77" s="1">
        <v>677</v>
      </c>
      <c r="E77" s="1" t="s">
        <v>64</v>
      </c>
      <c r="F77" s="1">
        <v>61</v>
      </c>
      <c r="G77" s="1" t="s">
        <v>66</v>
      </c>
      <c r="H77" s="2">
        <v>77.28</v>
      </c>
      <c r="I77" s="2">
        <v>463.68</v>
      </c>
      <c r="J77" s="14" t="e">
        <f t="shared" si="1"/>
        <v>#VALUE!</v>
      </c>
      <c r="K77" s="15" t="e">
        <f t="shared" si="2"/>
        <v>#VALUE!</v>
      </c>
      <c r="L77" s="15"/>
      <c r="M77" s="1">
        <v>0</v>
      </c>
      <c r="N77" s="1" t="str">
        <f>IFERROR(VLOOKUP(A77:A168,'140726 ph k.'!$A$64:$S$80,19,FALSE),"")</f>
        <v/>
      </c>
      <c r="O77" s="1">
        <f>IFERROR(VLOOKUP(A77:A168,'140726 ph k.'!$A$7:$H$60,8,FALSE),"")</f>
        <v>0</v>
      </c>
      <c r="P77" s="1" t="str">
        <f>IFERROR(VLOOKUP(A77:A168,'140726 ph k.'!$A$64:$N$80,14,FALSE),"")</f>
        <v/>
      </c>
      <c r="Q77" s="17" t="e">
        <f t="shared" si="16"/>
        <v>#VALUE!</v>
      </c>
      <c r="R77" s="1"/>
      <c r="S77" s="1">
        <v>0</v>
      </c>
      <c r="T77" s="1">
        <v>0</v>
      </c>
      <c r="U77" s="17">
        <f t="shared" si="17"/>
        <v>0</v>
      </c>
      <c r="V77" s="1">
        <v>0</v>
      </c>
      <c r="W77" s="1">
        <v>0</v>
      </c>
      <c r="X77" s="17">
        <f t="shared" si="18"/>
        <v>0</v>
      </c>
      <c r="Y77" s="1">
        <v>0</v>
      </c>
      <c r="Z77" s="34" t="e">
        <f t="shared" si="3"/>
        <v>#VALUE!</v>
      </c>
      <c r="AA77" s="20" t="e">
        <f t="shared" si="4"/>
        <v>#VALUE!</v>
      </c>
      <c r="AB77" s="34" t="e">
        <f t="shared" si="5"/>
        <v>#VALUE!</v>
      </c>
      <c r="AC77" s="2" t="e">
        <f t="shared" si="6"/>
        <v>#VALUE!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</row>
    <row r="78" spans="1:69" ht="12.75" hidden="1" x14ac:dyDescent="0.2">
      <c r="A78" s="1">
        <v>47021</v>
      </c>
      <c r="B78" s="1" t="s">
        <v>81</v>
      </c>
      <c r="C78" s="1">
        <v>10</v>
      </c>
      <c r="D78" s="1">
        <v>677</v>
      </c>
      <c r="E78" s="1" t="s">
        <v>64</v>
      </c>
      <c r="F78" s="1">
        <v>999</v>
      </c>
      <c r="G78" s="1" t="s">
        <v>67</v>
      </c>
      <c r="H78" s="2">
        <v>34.318800000000003</v>
      </c>
      <c r="I78" s="2">
        <v>343.18799999999999</v>
      </c>
      <c r="J78" s="14" t="e">
        <f t="shared" si="1"/>
        <v>#VALUE!</v>
      </c>
      <c r="K78" s="15" t="e">
        <f t="shared" si="2"/>
        <v>#VALUE!</v>
      </c>
      <c r="L78" s="15"/>
      <c r="M78" s="1">
        <v>0</v>
      </c>
      <c r="N78" s="1" t="str">
        <f>IFERROR(VLOOKUP(A78:A169,'140726 ph k.'!$A$64:$S$80,19,FALSE),"")</f>
        <v/>
      </c>
      <c r="O78" s="1" t="str">
        <f>IFERROR(VLOOKUP(A78:A169,'140726 ph k.'!$A$7:$H$60,8,FALSE),"")</f>
        <v/>
      </c>
      <c r="P78" s="1" t="str">
        <f>IFERROR(VLOOKUP(A78:A169,'140726 ph k.'!$A$64:$N$80,14,FALSE),"")</f>
        <v/>
      </c>
      <c r="Q78" s="17" t="e">
        <f t="shared" si="16"/>
        <v>#VALUE!</v>
      </c>
      <c r="R78" s="1"/>
      <c r="S78" s="1">
        <v>0</v>
      </c>
      <c r="T78" s="1">
        <v>0</v>
      </c>
      <c r="U78" s="17">
        <f t="shared" si="17"/>
        <v>0</v>
      </c>
      <c r="V78" s="1">
        <v>0</v>
      </c>
      <c r="W78" s="1">
        <v>0</v>
      </c>
      <c r="X78" s="17">
        <f t="shared" si="18"/>
        <v>0</v>
      </c>
      <c r="Y78" s="1">
        <v>0</v>
      </c>
      <c r="Z78" s="34" t="e">
        <f t="shared" si="3"/>
        <v>#VALUE!</v>
      </c>
      <c r="AA78" s="20" t="e">
        <f t="shared" si="4"/>
        <v>#VALUE!</v>
      </c>
      <c r="AB78" s="34" t="e">
        <f t="shared" si="5"/>
        <v>#VALUE!</v>
      </c>
      <c r="AC78" s="2" t="e">
        <f t="shared" si="6"/>
        <v>#VALUE!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</row>
    <row r="79" spans="1:69" ht="12.75" hidden="1" x14ac:dyDescent="0.2">
      <c r="A79" s="1">
        <v>47022</v>
      </c>
      <c r="B79" s="1" t="s">
        <v>75</v>
      </c>
      <c r="C79" s="1">
        <v>10</v>
      </c>
      <c r="D79" s="1">
        <v>677</v>
      </c>
      <c r="E79" s="1" t="s">
        <v>64</v>
      </c>
      <c r="F79" s="1">
        <v>998</v>
      </c>
      <c r="G79" s="1" t="s">
        <v>73</v>
      </c>
      <c r="H79" s="2">
        <v>127.43</v>
      </c>
      <c r="I79" s="2">
        <v>1274.3</v>
      </c>
      <c r="J79" s="14" t="e">
        <f t="shared" si="1"/>
        <v>#VALUE!</v>
      </c>
      <c r="K79" s="15" t="e">
        <f t="shared" si="2"/>
        <v>#VALUE!</v>
      </c>
      <c r="L79" s="15"/>
      <c r="M79" s="1">
        <v>0</v>
      </c>
      <c r="N79" s="1" t="str">
        <f>IFERROR(VLOOKUP(A79:A170,'140726 ph k.'!$A$64:$S$80,19,FALSE),"")</f>
        <v/>
      </c>
      <c r="O79" s="1">
        <f>IFERROR(VLOOKUP(A79:A170,'140726 ph k.'!$A$7:$H$60,8,FALSE),"")</f>
        <v>0</v>
      </c>
      <c r="P79" s="1" t="str">
        <f>IFERROR(VLOOKUP(A79:A170,'140726 ph k.'!$A$64:$N$80,14,FALSE),"")</f>
        <v/>
      </c>
      <c r="Q79" s="17" t="e">
        <f t="shared" si="16"/>
        <v>#VALUE!</v>
      </c>
      <c r="R79" s="1"/>
      <c r="S79" s="1">
        <v>0</v>
      </c>
      <c r="T79" s="1">
        <v>0</v>
      </c>
      <c r="U79" s="17">
        <f t="shared" si="17"/>
        <v>0</v>
      </c>
      <c r="V79" s="1">
        <v>0</v>
      </c>
      <c r="W79" s="1">
        <v>0</v>
      </c>
      <c r="X79" s="17">
        <f t="shared" si="18"/>
        <v>0</v>
      </c>
      <c r="Y79" s="1">
        <v>0</v>
      </c>
      <c r="Z79" s="34" t="e">
        <f t="shared" si="3"/>
        <v>#VALUE!</v>
      </c>
      <c r="AA79" s="20" t="e">
        <f t="shared" si="4"/>
        <v>#VALUE!</v>
      </c>
      <c r="AB79" s="34" t="e">
        <f t="shared" si="5"/>
        <v>#VALUE!</v>
      </c>
      <c r="AC79" s="2" t="e">
        <f t="shared" si="6"/>
        <v>#VALUE!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</row>
    <row r="80" spans="1:69" ht="12.75" hidden="1" x14ac:dyDescent="0.2">
      <c r="A80" s="1">
        <v>47025</v>
      </c>
      <c r="B80" s="1" t="s">
        <v>162</v>
      </c>
      <c r="C80" s="1">
        <v>24</v>
      </c>
      <c r="D80" s="1">
        <v>677</v>
      </c>
      <c r="E80" s="1" t="s">
        <v>64</v>
      </c>
      <c r="F80" s="1">
        <v>677</v>
      </c>
      <c r="G80" s="1" t="s">
        <v>84</v>
      </c>
      <c r="H80" s="2">
        <v>48.56</v>
      </c>
      <c r="I80" s="2">
        <v>1165.44</v>
      </c>
      <c r="J80" s="14" t="e">
        <f t="shared" si="1"/>
        <v>#VALUE!</v>
      </c>
      <c r="K80" s="15" t="e">
        <f t="shared" si="2"/>
        <v>#VALUE!</v>
      </c>
      <c r="L80" s="15"/>
      <c r="M80" s="1">
        <v>0</v>
      </c>
      <c r="N80" s="1" t="str">
        <f>IFERROR(VLOOKUP(A80:A171,'140726 ph k.'!$A$64:$S$80,19,FALSE),"")</f>
        <v/>
      </c>
      <c r="O80" s="1">
        <f>IFERROR(VLOOKUP(A80:A171,'140726 ph k.'!$A$7:$H$60,8,FALSE),"")</f>
        <v>0</v>
      </c>
      <c r="P80" s="1" t="str">
        <f>IFERROR(VLOOKUP(A80:A171,'140726 ph k.'!$A$64:$N$80,14,FALSE),"")</f>
        <v/>
      </c>
      <c r="Q80" s="17" t="e">
        <f t="shared" si="16"/>
        <v>#VALUE!</v>
      </c>
      <c r="R80" s="1"/>
      <c r="S80" s="1">
        <v>0</v>
      </c>
      <c r="T80" s="1">
        <v>0</v>
      </c>
      <c r="U80" s="17">
        <f t="shared" si="17"/>
        <v>0</v>
      </c>
      <c r="V80" s="1">
        <v>0</v>
      </c>
      <c r="W80" s="1">
        <v>0</v>
      </c>
      <c r="X80" s="17">
        <f t="shared" si="18"/>
        <v>0</v>
      </c>
      <c r="Y80" s="1">
        <v>0</v>
      </c>
      <c r="Z80" s="34" t="e">
        <f t="shared" si="3"/>
        <v>#VALUE!</v>
      </c>
      <c r="AA80" s="20" t="e">
        <f t="shared" si="4"/>
        <v>#VALUE!</v>
      </c>
      <c r="AB80" s="34" t="e">
        <f t="shared" si="5"/>
        <v>#VALUE!</v>
      </c>
      <c r="AC80" s="2" t="e">
        <f t="shared" si="6"/>
        <v>#VALUE!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</row>
    <row r="81" spans="1:69" ht="12.75" hidden="1" x14ac:dyDescent="0.2">
      <c r="A81" s="1">
        <v>47028</v>
      </c>
      <c r="B81" s="1" t="s">
        <v>81</v>
      </c>
      <c r="C81" s="1">
        <v>24</v>
      </c>
      <c r="D81" s="1">
        <v>677</v>
      </c>
      <c r="E81" s="1" t="s">
        <v>64</v>
      </c>
      <c r="F81" s="1">
        <v>999</v>
      </c>
      <c r="G81" s="1" t="s">
        <v>67</v>
      </c>
      <c r="H81" s="2">
        <v>37.9</v>
      </c>
      <c r="I81" s="2">
        <v>909.6</v>
      </c>
      <c r="J81" s="14" t="e">
        <f t="shared" si="1"/>
        <v>#VALUE!</v>
      </c>
      <c r="K81" s="15" t="e">
        <f t="shared" si="2"/>
        <v>#VALUE!</v>
      </c>
      <c r="L81" s="15"/>
      <c r="M81" s="1">
        <v>0</v>
      </c>
      <c r="N81" s="1" t="str">
        <f>IFERROR(VLOOKUP(A81:A172,'140726 ph k.'!$A$64:$S$80,19,FALSE),"")</f>
        <v/>
      </c>
      <c r="O81" s="1" t="str">
        <f>IFERROR(VLOOKUP(A81:A172,'140726 ph k.'!$A$7:$H$60,8,FALSE),"")</f>
        <v/>
      </c>
      <c r="P81" s="1" t="str">
        <f>IFERROR(VLOOKUP(A81:A172,'140726 ph k.'!$A$64:$N$80,14,FALSE),"")</f>
        <v/>
      </c>
      <c r="Q81" s="17" t="e">
        <f t="shared" si="16"/>
        <v>#VALUE!</v>
      </c>
      <c r="R81" s="1"/>
      <c r="S81" s="1">
        <v>0</v>
      </c>
      <c r="T81" s="1">
        <v>0</v>
      </c>
      <c r="U81" s="17">
        <f t="shared" si="17"/>
        <v>0</v>
      </c>
      <c r="V81" s="1">
        <v>0</v>
      </c>
      <c r="W81" s="1">
        <v>0</v>
      </c>
      <c r="X81" s="17">
        <f t="shared" si="18"/>
        <v>0</v>
      </c>
      <c r="Y81" s="1">
        <v>0</v>
      </c>
      <c r="Z81" s="34" t="e">
        <f t="shared" si="3"/>
        <v>#VALUE!</v>
      </c>
      <c r="AA81" s="20" t="e">
        <f t="shared" si="4"/>
        <v>#VALUE!</v>
      </c>
      <c r="AB81" s="34" t="e">
        <f t="shared" si="5"/>
        <v>#VALUE!</v>
      </c>
      <c r="AC81" s="2" t="e">
        <f t="shared" si="6"/>
        <v>#VALUE!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</row>
    <row r="82" spans="1:69" ht="12.75" hidden="1" x14ac:dyDescent="0.2">
      <c r="A82" s="1">
        <v>47030</v>
      </c>
      <c r="B82" s="1" t="s">
        <v>163</v>
      </c>
      <c r="C82" s="1">
        <v>12</v>
      </c>
      <c r="D82" s="1">
        <v>677</v>
      </c>
      <c r="E82" s="1" t="s">
        <v>64</v>
      </c>
      <c r="F82" s="1">
        <v>999</v>
      </c>
      <c r="G82" s="1" t="s">
        <v>67</v>
      </c>
      <c r="H82" s="2">
        <v>109.64</v>
      </c>
      <c r="I82" s="2">
        <v>1315.68</v>
      </c>
      <c r="J82" s="14" t="e">
        <f t="shared" si="1"/>
        <v>#VALUE!</v>
      </c>
      <c r="K82" s="15" t="e">
        <f t="shared" si="2"/>
        <v>#VALUE!</v>
      </c>
      <c r="L82" s="15"/>
      <c r="M82" s="1">
        <v>0</v>
      </c>
      <c r="N82" s="1" t="str">
        <f>IFERROR(VLOOKUP(A82:A173,'140726 ph k.'!$A$64:$S$80,19,FALSE),"")</f>
        <v/>
      </c>
      <c r="O82" s="1">
        <f>IFERROR(VLOOKUP(A82:A173,'140726 ph k.'!$A$7:$H$60,8,FALSE),"")</f>
        <v>0</v>
      </c>
      <c r="P82" s="1" t="str">
        <f>IFERROR(VLOOKUP(A82:A173,'140726 ph k.'!$A$64:$N$80,14,FALSE),"")</f>
        <v/>
      </c>
      <c r="Q82" s="17" t="e">
        <f t="shared" si="16"/>
        <v>#VALUE!</v>
      </c>
      <c r="R82" s="1"/>
      <c r="S82" s="1">
        <v>0</v>
      </c>
      <c r="T82" s="1">
        <v>0</v>
      </c>
      <c r="U82" s="17">
        <f t="shared" si="17"/>
        <v>0</v>
      </c>
      <c r="V82" s="1">
        <v>0</v>
      </c>
      <c r="W82" s="1">
        <v>0</v>
      </c>
      <c r="X82" s="17">
        <f t="shared" si="18"/>
        <v>0</v>
      </c>
      <c r="Y82" s="1">
        <v>0</v>
      </c>
      <c r="Z82" s="34" t="e">
        <f t="shared" si="3"/>
        <v>#VALUE!</v>
      </c>
      <c r="AA82" s="20" t="e">
        <f t="shared" si="4"/>
        <v>#VALUE!</v>
      </c>
      <c r="AB82" s="34" t="e">
        <f t="shared" si="5"/>
        <v>#VALUE!</v>
      </c>
      <c r="AC82" s="2" t="e">
        <f t="shared" si="6"/>
        <v>#VALUE!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</row>
    <row r="83" spans="1:69" ht="12.75" hidden="1" x14ac:dyDescent="0.2">
      <c r="A83" s="1">
        <v>47031</v>
      </c>
      <c r="B83" s="1" t="s">
        <v>164</v>
      </c>
      <c r="C83" s="1">
        <v>4</v>
      </c>
      <c r="D83" s="1">
        <v>677</v>
      </c>
      <c r="E83" s="1" t="s">
        <v>64</v>
      </c>
      <c r="F83" s="1">
        <v>61</v>
      </c>
      <c r="G83" s="1" t="s">
        <v>66</v>
      </c>
      <c r="H83" s="2">
        <v>92.19</v>
      </c>
      <c r="I83" s="2">
        <v>368.76</v>
      </c>
      <c r="J83" s="14" t="e">
        <f t="shared" si="1"/>
        <v>#VALUE!</v>
      </c>
      <c r="K83" s="15" t="e">
        <f t="shared" si="2"/>
        <v>#VALUE!</v>
      </c>
      <c r="L83" s="15"/>
      <c r="M83" s="1">
        <v>0</v>
      </c>
      <c r="N83" s="1" t="str">
        <f>IFERROR(VLOOKUP(A83:A174,'140726 ph k.'!$A$64:$S$80,19,FALSE),"")</f>
        <v/>
      </c>
      <c r="O83" s="1">
        <f>IFERROR(VLOOKUP(A83:A174,'140726 ph k.'!$A$7:$H$60,8,FALSE),"")</f>
        <v>0</v>
      </c>
      <c r="P83" s="1" t="str">
        <f>IFERROR(VLOOKUP(A83:A174,'140726 ph k.'!$A$64:$N$80,14,FALSE),"")</f>
        <v/>
      </c>
      <c r="Q83" s="17" t="e">
        <f t="shared" si="16"/>
        <v>#VALUE!</v>
      </c>
      <c r="R83" s="1"/>
      <c r="S83" s="1">
        <v>0</v>
      </c>
      <c r="T83" s="1">
        <v>0</v>
      </c>
      <c r="U83" s="17">
        <f t="shared" si="17"/>
        <v>0</v>
      </c>
      <c r="V83" s="1">
        <v>0</v>
      </c>
      <c r="W83" s="1">
        <v>0</v>
      </c>
      <c r="X83" s="17">
        <f t="shared" si="18"/>
        <v>0</v>
      </c>
      <c r="Y83" s="1">
        <v>0</v>
      </c>
      <c r="Z83" s="34" t="e">
        <f t="shared" si="3"/>
        <v>#VALUE!</v>
      </c>
      <c r="AA83" s="20" t="e">
        <f t="shared" si="4"/>
        <v>#VALUE!</v>
      </c>
      <c r="AB83" s="34" t="e">
        <f t="shared" si="5"/>
        <v>#VALUE!</v>
      </c>
      <c r="AC83" s="2" t="e">
        <f t="shared" si="6"/>
        <v>#VALUE!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</row>
    <row r="84" spans="1:69" ht="12.75" hidden="1" x14ac:dyDescent="0.2">
      <c r="A84" s="1">
        <v>47032</v>
      </c>
      <c r="B84" s="1" t="s">
        <v>81</v>
      </c>
      <c r="C84" s="1">
        <v>12</v>
      </c>
      <c r="D84" s="1">
        <v>677</v>
      </c>
      <c r="E84" s="1" t="s">
        <v>64</v>
      </c>
      <c r="F84" s="1">
        <v>999</v>
      </c>
      <c r="G84" s="1" t="s">
        <v>67</v>
      </c>
      <c r="H84" s="2">
        <v>22.49</v>
      </c>
      <c r="I84" s="2">
        <v>269.88</v>
      </c>
      <c r="J84" s="14" t="e">
        <f t="shared" si="1"/>
        <v>#VALUE!</v>
      </c>
      <c r="K84" s="15" t="e">
        <f t="shared" si="2"/>
        <v>#VALUE!</v>
      </c>
      <c r="L84" s="15"/>
      <c r="M84" s="1">
        <v>0</v>
      </c>
      <c r="N84" s="1" t="str">
        <f>IFERROR(VLOOKUP(A84:A175,'140726 ph k.'!$A$64:$S$80,19,FALSE),"")</f>
        <v/>
      </c>
      <c r="O84" s="1" t="str">
        <f>IFERROR(VLOOKUP(A84:A175,'140726 ph k.'!$A$7:$H$60,8,FALSE),"")</f>
        <v/>
      </c>
      <c r="P84" s="1" t="str">
        <f>IFERROR(VLOOKUP(A84:A175,'140726 ph k.'!$A$64:$N$80,14,FALSE),"")</f>
        <v/>
      </c>
      <c r="Q84" s="17" t="e">
        <f t="shared" si="16"/>
        <v>#VALUE!</v>
      </c>
      <c r="R84" s="1"/>
      <c r="S84" s="1">
        <v>0</v>
      </c>
      <c r="T84" s="1">
        <v>0</v>
      </c>
      <c r="U84" s="17">
        <f t="shared" si="17"/>
        <v>0</v>
      </c>
      <c r="V84" s="1">
        <v>0</v>
      </c>
      <c r="W84" s="1">
        <v>0</v>
      </c>
      <c r="X84" s="17">
        <f t="shared" si="18"/>
        <v>0</v>
      </c>
      <c r="Y84" s="1">
        <v>0</v>
      </c>
      <c r="Z84" s="34" t="e">
        <f t="shared" si="3"/>
        <v>#VALUE!</v>
      </c>
      <c r="AA84" s="20" t="e">
        <f t="shared" si="4"/>
        <v>#VALUE!</v>
      </c>
      <c r="AB84" s="34" t="e">
        <f t="shared" si="5"/>
        <v>#VALUE!</v>
      </c>
      <c r="AC84" s="2" t="e">
        <f t="shared" si="6"/>
        <v>#VALUE!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</row>
    <row r="85" spans="1:69" ht="12.75" hidden="1" x14ac:dyDescent="0.2">
      <c r="A85" s="1">
        <v>47034</v>
      </c>
      <c r="B85" s="1" t="s">
        <v>81</v>
      </c>
      <c r="C85" s="1">
        <v>12</v>
      </c>
      <c r="D85" s="1">
        <v>677</v>
      </c>
      <c r="E85" s="1" t="s">
        <v>64</v>
      </c>
      <c r="F85" s="1">
        <v>999</v>
      </c>
      <c r="G85" s="1" t="s">
        <v>67</v>
      </c>
      <c r="H85" s="2">
        <v>25.038699999999999</v>
      </c>
      <c r="I85" s="2">
        <v>300.46440000000001</v>
      </c>
      <c r="J85" s="14" t="e">
        <f t="shared" si="1"/>
        <v>#VALUE!</v>
      </c>
      <c r="K85" s="15" t="e">
        <f t="shared" si="2"/>
        <v>#VALUE!</v>
      </c>
      <c r="L85" s="15"/>
      <c r="M85" s="1">
        <v>0</v>
      </c>
      <c r="N85" s="1" t="str">
        <f>IFERROR(VLOOKUP(A85:A176,'140726 ph k.'!$A$64:$S$80,19,FALSE),"")</f>
        <v/>
      </c>
      <c r="O85" s="1" t="str">
        <f>IFERROR(VLOOKUP(A85:A176,'140726 ph k.'!$A$7:$H$60,8,FALSE),"")</f>
        <v/>
      </c>
      <c r="P85" s="1" t="str">
        <f>IFERROR(VLOOKUP(A85:A176,'140726 ph k.'!$A$64:$N$80,14,FALSE),"")</f>
        <v/>
      </c>
      <c r="Q85" s="17" t="e">
        <f t="shared" si="16"/>
        <v>#VALUE!</v>
      </c>
      <c r="R85" s="1"/>
      <c r="S85" s="1">
        <v>0</v>
      </c>
      <c r="T85" s="1">
        <v>0</v>
      </c>
      <c r="U85" s="17">
        <f t="shared" si="17"/>
        <v>0</v>
      </c>
      <c r="V85" s="1">
        <v>0</v>
      </c>
      <c r="W85" s="1">
        <v>0</v>
      </c>
      <c r="X85" s="17">
        <f t="shared" si="18"/>
        <v>0</v>
      </c>
      <c r="Y85" s="1">
        <v>0</v>
      </c>
      <c r="Z85" s="34" t="e">
        <f t="shared" si="3"/>
        <v>#VALUE!</v>
      </c>
      <c r="AA85" s="20" t="e">
        <f t="shared" si="4"/>
        <v>#VALUE!</v>
      </c>
      <c r="AB85" s="34" t="e">
        <f t="shared" si="5"/>
        <v>#VALUE!</v>
      </c>
      <c r="AC85" s="2" t="e">
        <f t="shared" si="6"/>
        <v>#VALUE!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</row>
    <row r="86" spans="1:69" ht="12.75" hidden="1" x14ac:dyDescent="0.2">
      <c r="A86" s="1">
        <v>47036</v>
      </c>
      <c r="B86" s="1" t="s">
        <v>117</v>
      </c>
      <c r="C86" s="1">
        <v>24</v>
      </c>
      <c r="D86" s="1">
        <v>677</v>
      </c>
      <c r="E86" s="1" t="s">
        <v>64</v>
      </c>
      <c r="F86" s="1">
        <v>61</v>
      </c>
      <c r="G86" s="1" t="s">
        <v>66</v>
      </c>
      <c r="H86" s="2">
        <v>38.6661</v>
      </c>
      <c r="I86" s="2">
        <v>927.9864</v>
      </c>
      <c r="J86" s="14" t="e">
        <f t="shared" si="1"/>
        <v>#VALUE!</v>
      </c>
      <c r="K86" s="15" t="e">
        <f t="shared" si="2"/>
        <v>#VALUE!</v>
      </c>
      <c r="L86" s="15"/>
      <c r="M86" s="1">
        <v>0</v>
      </c>
      <c r="N86" s="1" t="str">
        <f>IFERROR(VLOOKUP(A86:A177,'140726 ph k.'!$A$64:$S$80,19,FALSE),"")</f>
        <v/>
      </c>
      <c r="O86" s="1">
        <f>IFERROR(VLOOKUP(A86:A177,'140726 ph k.'!$A$7:$H$60,8,FALSE),"")</f>
        <v>0</v>
      </c>
      <c r="P86" s="1" t="str">
        <f>IFERROR(VLOOKUP(A86:A177,'140726 ph k.'!$A$64:$N$80,14,FALSE),"")</f>
        <v/>
      </c>
      <c r="Q86" s="17" t="e">
        <f t="shared" si="16"/>
        <v>#VALUE!</v>
      </c>
      <c r="R86" s="1"/>
      <c r="S86" s="1">
        <v>0</v>
      </c>
      <c r="T86" s="1">
        <v>0</v>
      </c>
      <c r="U86" s="17">
        <f t="shared" si="17"/>
        <v>0</v>
      </c>
      <c r="V86" s="1">
        <v>0</v>
      </c>
      <c r="W86" s="1">
        <v>0</v>
      </c>
      <c r="X86" s="17">
        <f t="shared" si="18"/>
        <v>0</v>
      </c>
      <c r="Y86" s="1">
        <v>0</v>
      </c>
      <c r="Z86" s="34" t="e">
        <f t="shared" si="3"/>
        <v>#VALUE!</v>
      </c>
      <c r="AA86" s="20" t="e">
        <f t="shared" si="4"/>
        <v>#VALUE!</v>
      </c>
      <c r="AB86" s="34" t="e">
        <f t="shared" si="5"/>
        <v>#VALUE!</v>
      </c>
      <c r="AC86" s="2" t="e">
        <f t="shared" si="6"/>
        <v>#VALUE!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</row>
    <row r="87" spans="1:69" ht="12.75" hidden="1" x14ac:dyDescent="0.2">
      <c r="A87" s="1">
        <v>47037</v>
      </c>
      <c r="B87" s="1" t="s">
        <v>81</v>
      </c>
      <c r="C87" s="1">
        <v>24</v>
      </c>
      <c r="D87" s="1">
        <v>677</v>
      </c>
      <c r="E87" s="1" t="s">
        <v>64</v>
      </c>
      <c r="F87" s="1">
        <v>999</v>
      </c>
      <c r="G87" s="1" t="s">
        <v>67</v>
      </c>
      <c r="H87" s="2">
        <v>20.088100000000001</v>
      </c>
      <c r="I87" s="2">
        <v>482.11439999999999</v>
      </c>
      <c r="J87" s="14" t="e">
        <f t="shared" si="1"/>
        <v>#VALUE!</v>
      </c>
      <c r="K87" s="15" t="e">
        <f t="shared" si="2"/>
        <v>#VALUE!</v>
      </c>
      <c r="L87" s="15"/>
      <c r="M87" s="1">
        <v>0</v>
      </c>
      <c r="N87" s="1" t="str">
        <f>IFERROR(VLOOKUP(A87:A178,'140726 ph k.'!$A$64:$S$80,19,FALSE),"")</f>
        <v/>
      </c>
      <c r="O87" s="1" t="str">
        <f>IFERROR(VLOOKUP(A87:A178,'140726 ph k.'!$A$7:$H$60,8,FALSE),"")</f>
        <v/>
      </c>
      <c r="P87" s="1" t="str">
        <f>IFERROR(VLOOKUP(A87:A178,'140726 ph k.'!$A$64:$N$80,14,FALSE),"")</f>
        <v/>
      </c>
      <c r="Q87" s="17" t="e">
        <f t="shared" si="16"/>
        <v>#VALUE!</v>
      </c>
      <c r="R87" s="1"/>
      <c r="S87" s="1">
        <v>0</v>
      </c>
      <c r="T87" s="1">
        <v>0</v>
      </c>
      <c r="U87" s="17">
        <f t="shared" si="17"/>
        <v>0</v>
      </c>
      <c r="V87" s="1">
        <v>0</v>
      </c>
      <c r="W87" s="1">
        <v>0</v>
      </c>
      <c r="X87" s="17">
        <f t="shared" si="18"/>
        <v>0</v>
      </c>
      <c r="Y87" s="1">
        <v>0</v>
      </c>
      <c r="Z87" s="34" t="e">
        <f t="shared" si="3"/>
        <v>#VALUE!</v>
      </c>
      <c r="AA87" s="20" t="e">
        <f t="shared" si="4"/>
        <v>#VALUE!</v>
      </c>
      <c r="AB87" s="34" t="e">
        <f t="shared" si="5"/>
        <v>#VALUE!</v>
      </c>
      <c r="AC87" s="2" t="e">
        <f t="shared" si="6"/>
        <v>#VALUE!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</row>
    <row r="88" spans="1:69" ht="12.75" hidden="1" x14ac:dyDescent="0.2">
      <c r="A88" s="1">
        <v>47044</v>
      </c>
      <c r="B88" s="1" t="s">
        <v>81</v>
      </c>
      <c r="C88" s="1">
        <v>12</v>
      </c>
      <c r="D88" s="1">
        <v>677</v>
      </c>
      <c r="E88" s="1" t="s">
        <v>64</v>
      </c>
      <c r="F88" s="1">
        <v>999</v>
      </c>
      <c r="G88" s="1" t="s">
        <v>67</v>
      </c>
      <c r="H88" s="2">
        <v>18.04</v>
      </c>
      <c r="I88" s="2">
        <v>216.48</v>
      </c>
      <c r="J88" s="14" t="e">
        <f t="shared" si="1"/>
        <v>#VALUE!</v>
      </c>
      <c r="K88" s="15" t="e">
        <f t="shared" si="2"/>
        <v>#VALUE!</v>
      </c>
      <c r="L88" s="15"/>
      <c r="M88" s="1">
        <v>0</v>
      </c>
      <c r="N88" s="1" t="str">
        <f>IFERROR(VLOOKUP(A88:A179,'140726 ph k.'!$A$64:$S$80,19,FALSE),"")</f>
        <v/>
      </c>
      <c r="O88" s="1" t="str">
        <f>IFERROR(VLOOKUP(A88:A179,'140726 ph k.'!$A$7:$H$60,8,FALSE),"")</f>
        <v/>
      </c>
      <c r="P88" s="1" t="str">
        <f>IFERROR(VLOOKUP(A88:A179,'140726 ph k.'!$A$64:$N$80,14,FALSE),"")</f>
        <v/>
      </c>
      <c r="Q88" s="17" t="e">
        <f t="shared" si="16"/>
        <v>#VALUE!</v>
      </c>
      <c r="R88" s="1"/>
      <c r="S88" s="1">
        <v>0</v>
      </c>
      <c r="T88" s="1">
        <v>0</v>
      </c>
      <c r="U88" s="17">
        <f t="shared" si="17"/>
        <v>0</v>
      </c>
      <c r="V88" s="1">
        <v>0</v>
      </c>
      <c r="W88" s="1">
        <v>0</v>
      </c>
      <c r="X88" s="17">
        <f t="shared" si="18"/>
        <v>0</v>
      </c>
      <c r="Y88" s="1">
        <v>0</v>
      </c>
      <c r="Z88" s="34" t="e">
        <f t="shared" si="3"/>
        <v>#VALUE!</v>
      </c>
      <c r="AA88" s="20" t="e">
        <f t="shared" si="4"/>
        <v>#VALUE!</v>
      </c>
      <c r="AB88" s="34" t="e">
        <f t="shared" si="5"/>
        <v>#VALUE!</v>
      </c>
      <c r="AC88" s="2" t="e">
        <f t="shared" si="6"/>
        <v>#VALUE!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</row>
    <row r="89" spans="1:69" ht="12.75" hidden="1" x14ac:dyDescent="0.2">
      <c r="A89" s="1">
        <v>47047</v>
      </c>
      <c r="B89" s="1">
        <v>47047</v>
      </c>
      <c r="C89" s="1">
        <v>15</v>
      </c>
      <c r="D89" s="1">
        <v>677</v>
      </c>
      <c r="E89" s="1" t="s">
        <v>64</v>
      </c>
      <c r="F89" s="1">
        <v>999</v>
      </c>
      <c r="G89" s="1" t="s">
        <v>67</v>
      </c>
      <c r="H89" s="2">
        <v>20.947700000000001</v>
      </c>
      <c r="I89" s="2">
        <v>314.21550000000002</v>
      </c>
      <c r="J89" s="14" t="e">
        <f t="shared" si="1"/>
        <v>#VALUE!</v>
      </c>
      <c r="K89" s="15" t="e">
        <f t="shared" si="2"/>
        <v>#VALUE!</v>
      </c>
      <c r="L89" s="15"/>
      <c r="M89" s="1">
        <v>0</v>
      </c>
      <c r="N89" s="1" t="str">
        <f>IFERROR(VLOOKUP(A89:A180,'140726 ph k.'!$A$64:$S$80,19,FALSE),"")</f>
        <v/>
      </c>
      <c r="O89" s="1" t="str">
        <f>IFERROR(VLOOKUP(A89:A180,'140726 ph k.'!$A$7:$H$60,8,FALSE),"")</f>
        <v/>
      </c>
      <c r="P89" s="1" t="str">
        <f>IFERROR(VLOOKUP(A89:A180,'140726 ph k.'!$A$64:$N$80,14,FALSE),"")</f>
        <v/>
      </c>
      <c r="Q89" s="17" t="e">
        <f t="shared" si="16"/>
        <v>#VALUE!</v>
      </c>
      <c r="R89" s="1"/>
      <c r="S89" s="1">
        <v>0</v>
      </c>
      <c r="T89" s="1">
        <v>0</v>
      </c>
      <c r="U89" s="17">
        <f t="shared" si="17"/>
        <v>0</v>
      </c>
      <c r="V89" s="1">
        <v>0</v>
      </c>
      <c r="W89" s="1">
        <v>0</v>
      </c>
      <c r="X89" s="17">
        <f t="shared" si="18"/>
        <v>0</v>
      </c>
      <c r="Y89" s="1">
        <v>0</v>
      </c>
      <c r="Z89" s="34" t="e">
        <f t="shared" si="3"/>
        <v>#VALUE!</v>
      </c>
      <c r="AA89" s="20" t="e">
        <f t="shared" si="4"/>
        <v>#VALUE!</v>
      </c>
      <c r="AB89" s="34" t="e">
        <f t="shared" si="5"/>
        <v>#VALUE!</v>
      </c>
      <c r="AC89" s="2" t="e">
        <f t="shared" si="6"/>
        <v>#VALUE!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</row>
    <row r="90" spans="1:69" ht="12.75" hidden="1" x14ac:dyDescent="0.2">
      <c r="A90" s="1">
        <v>47048</v>
      </c>
      <c r="B90" s="1" t="s">
        <v>166</v>
      </c>
      <c r="C90" s="1">
        <v>4</v>
      </c>
      <c r="D90" s="1">
        <v>677</v>
      </c>
      <c r="E90" s="1" t="s">
        <v>64</v>
      </c>
      <c r="F90" s="1">
        <v>677</v>
      </c>
      <c r="G90" s="1" t="s">
        <v>84</v>
      </c>
      <c r="H90" s="2">
        <v>119.16</v>
      </c>
      <c r="I90" s="2">
        <v>476.64</v>
      </c>
      <c r="J90" s="14" t="e">
        <f t="shared" si="1"/>
        <v>#VALUE!</v>
      </c>
      <c r="K90" s="15" t="e">
        <f t="shared" si="2"/>
        <v>#VALUE!</v>
      </c>
      <c r="L90" s="15"/>
      <c r="M90" s="1">
        <v>0</v>
      </c>
      <c r="N90" s="1" t="str">
        <f>IFERROR(VLOOKUP(A90:A181,'140726 ph k.'!$A$64:$S$80,19,FALSE),"")</f>
        <v/>
      </c>
      <c r="O90" s="1">
        <f>IFERROR(VLOOKUP(A90:A181,'140726 ph k.'!$A$7:$H$60,8,FALSE),"")</f>
        <v>0</v>
      </c>
      <c r="P90" s="1" t="str">
        <f>IFERROR(VLOOKUP(A90:A181,'140726 ph k.'!$A$64:$N$80,14,FALSE),"")</f>
        <v/>
      </c>
      <c r="Q90" s="17" t="e">
        <f t="shared" si="16"/>
        <v>#VALUE!</v>
      </c>
      <c r="R90" s="1"/>
      <c r="S90" s="1">
        <v>0</v>
      </c>
      <c r="T90" s="1">
        <v>0</v>
      </c>
      <c r="U90" s="17">
        <f t="shared" si="17"/>
        <v>0</v>
      </c>
      <c r="V90" s="1">
        <v>0</v>
      </c>
      <c r="W90" s="1">
        <v>0</v>
      </c>
      <c r="X90" s="17">
        <f t="shared" si="18"/>
        <v>0</v>
      </c>
      <c r="Y90" s="1">
        <v>0</v>
      </c>
      <c r="Z90" s="34" t="e">
        <f t="shared" si="3"/>
        <v>#VALUE!</v>
      </c>
      <c r="AA90" s="20" t="e">
        <f t="shared" si="4"/>
        <v>#VALUE!</v>
      </c>
      <c r="AB90" s="34" t="e">
        <f t="shared" si="5"/>
        <v>#VALUE!</v>
      </c>
      <c r="AC90" s="2" t="e">
        <f t="shared" si="6"/>
        <v>#VALUE!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</row>
    <row r="91" spans="1:69" ht="12.75" hidden="1" x14ac:dyDescent="0.2">
      <c r="A91" s="1">
        <v>47049</v>
      </c>
      <c r="B91" s="1" t="s">
        <v>165</v>
      </c>
      <c r="C91" s="1">
        <v>12</v>
      </c>
      <c r="D91" s="1">
        <v>677</v>
      </c>
      <c r="E91" s="1" t="s">
        <v>64</v>
      </c>
      <c r="F91" s="1">
        <v>999</v>
      </c>
      <c r="G91" s="1" t="s">
        <v>67</v>
      </c>
      <c r="H91" s="2">
        <v>34.17</v>
      </c>
      <c r="I91" s="2">
        <v>410.04</v>
      </c>
      <c r="J91" s="14" t="e">
        <f t="shared" si="1"/>
        <v>#VALUE!</v>
      </c>
      <c r="K91" s="15" t="e">
        <f t="shared" si="2"/>
        <v>#VALUE!</v>
      </c>
      <c r="L91" s="15"/>
      <c r="M91" s="1">
        <v>0</v>
      </c>
      <c r="N91" s="1" t="str">
        <f>IFERROR(VLOOKUP(A91:A182,'140726 ph k.'!$A$64:$S$80,19,FALSE),"")</f>
        <v/>
      </c>
      <c r="O91" s="1">
        <f>IFERROR(VLOOKUP(A91:A182,'140726 ph k.'!$A$7:$H$60,8,FALSE),"")</f>
        <v>0</v>
      </c>
      <c r="P91" s="1" t="str">
        <f>IFERROR(VLOOKUP(A91:A182,'140726 ph k.'!$A$64:$N$80,14,FALSE),"")</f>
        <v/>
      </c>
      <c r="Q91" s="17" t="e">
        <f t="shared" si="16"/>
        <v>#VALUE!</v>
      </c>
      <c r="R91" s="1"/>
      <c r="S91" s="1">
        <v>0</v>
      </c>
      <c r="T91" s="1">
        <v>0</v>
      </c>
      <c r="U91" s="17">
        <f t="shared" si="17"/>
        <v>0</v>
      </c>
      <c r="V91" s="1">
        <v>0</v>
      </c>
      <c r="W91" s="1">
        <v>0</v>
      </c>
      <c r="X91" s="17">
        <f t="shared" si="18"/>
        <v>0</v>
      </c>
      <c r="Y91" s="1">
        <v>0</v>
      </c>
      <c r="Z91" s="34" t="e">
        <f t="shared" si="3"/>
        <v>#VALUE!</v>
      </c>
      <c r="AA91" s="20" t="e">
        <f t="shared" si="4"/>
        <v>#VALUE!</v>
      </c>
      <c r="AB91" s="34" t="e">
        <f t="shared" si="5"/>
        <v>#VALUE!</v>
      </c>
      <c r="AC91" s="2" t="e">
        <f t="shared" si="6"/>
        <v>#VALUE!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</row>
    <row r="92" spans="1:69" ht="12.75" hidden="1" x14ac:dyDescent="0.2">
      <c r="A92" s="1">
        <v>47050</v>
      </c>
      <c r="B92" s="1" t="s">
        <v>81</v>
      </c>
      <c r="C92" s="1">
        <v>24</v>
      </c>
      <c r="D92" s="1">
        <v>677</v>
      </c>
      <c r="E92" s="1" t="s">
        <v>64</v>
      </c>
      <c r="F92" s="1">
        <v>999</v>
      </c>
      <c r="G92" s="1" t="s">
        <v>67</v>
      </c>
      <c r="H92" s="2">
        <v>16.470099999999999</v>
      </c>
      <c r="I92" s="2">
        <v>395.2824</v>
      </c>
      <c r="J92" s="14" t="e">
        <f t="shared" si="1"/>
        <v>#VALUE!</v>
      </c>
      <c r="K92" s="15" t="e">
        <f t="shared" si="2"/>
        <v>#VALUE!</v>
      </c>
      <c r="L92" s="15"/>
      <c r="M92" s="1">
        <v>0</v>
      </c>
      <c r="N92" s="1" t="str">
        <f>IFERROR(VLOOKUP(A92:A183,'140726 ph k.'!$A$64:$S$80,19,FALSE),"")</f>
        <v/>
      </c>
      <c r="O92" s="1" t="str">
        <f>IFERROR(VLOOKUP(A92:A183,'140726 ph k.'!$A$7:$H$60,8,FALSE),"")</f>
        <v/>
      </c>
      <c r="P92" s="1" t="str">
        <f>IFERROR(VLOOKUP(A92:A183,'140726 ph k.'!$A$64:$N$80,14,FALSE),"")</f>
        <v/>
      </c>
      <c r="Q92" s="17" t="e">
        <f t="shared" si="16"/>
        <v>#VALUE!</v>
      </c>
      <c r="R92" s="1"/>
      <c r="S92" s="1">
        <v>0</v>
      </c>
      <c r="T92" s="1">
        <v>0</v>
      </c>
      <c r="U92" s="17">
        <f t="shared" si="17"/>
        <v>0</v>
      </c>
      <c r="V92" s="1">
        <v>0</v>
      </c>
      <c r="W92" s="1">
        <v>0</v>
      </c>
      <c r="X92" s="17">
        <f t="shared" si="18"/>
        <v>0</v>
      </c>
      <c r="Y92" s="1">
        <v>0</v>
      </c>
      <c r="Z92" s="34" t="e">
        <f t="shared" si="3"/>
        <v>#VALUE!</v>
      </c>
      <c r="AA92" s="20" t="e">
        <f t="shared" si="4"/>
        <v>#VALUE!</v>
      </c>
      <c r="AB92" s="34" t="e">
        <f t="shared" si="5"/>
        <v>#VALUE!</v>
      </c>
      <c r="AC92" s="2" t="e">
        <f t="shared" si="6"/>
        <v>#VALUE!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</row>
    <row r="93" spans="1:69" ht="12.75" hidden="1" x14ac:dyDescent="0.2">
      <c r="A93" s="1">
        <v>47125</v>
      </c>
      <c r="B93" s="1" t="s">
        <v>81</v>
      </c>
      <c r="C93" s="1">
        <v>15</v>
      </c>
      <c r="D93" s="1">
        <v>677</v>
      </c>
      <c r="E93" s="1" t="s">
        <v>64</v>
      </c>
      <c r="F93" s="1">
        <v>999</v>
      </c>
      <c r="G93" s="1" t="s">
        <v>67</v>
      </c>
      <c r="H93" s="2">
        <v>37.9</v>
      </c>
      <c r="I93" s="2">
        <v>568.5</v>
      </c>
      <c r="J93" s="14" t="e">
        <f t="shared" si="1"/>
        <v>#VALUE!</v>
      </c>
      <c r="K93" s="15" t="e">
        <f t="shared" si="2"/>
        <v>#VALUE!</v>
      </c>
      <c r="L93" s="15"/>
      <c r="M93" s="1">
        <v>0</v>
      </c>
      <c r="N93" s="1" t="str">
        <f>IFERROR(VLOOKUP(A93:A184,'140726 ph k.'!$A$64:$S$80,19,FALSE),"")</f>
        <v/>
      </c>
      <c r="O93" s="1" t="str">
        <f>IFERROR(VLOOKUP(A93:A184,'140726 ph k.'!$A$7:$H$60,8,FALSE),"")</f>
        <v/>
      </c>
      <c r="P93" s="1" t="str">
        <f>IFERROR(VLOOKUP(A93:A184,'140726 ph k.'!$A$64:$N$80,14,FALSE),"")</f>
        <v/>
      </c>
      <c r="Q93" s="17" t="e">
        <f t="shared" si="16"/>
        <v>#VALUE!</v>
      </c>
      <c r="R93" s="1"/>
      <c r="S93" s="1">
        <v>0</v>
      </c>
      <c r="T93" s="1">
        <v>0</v>
      </c>
      <c r="U93" s="17">
        <f t="shared" si="17"/>
        <v>0</v>
      </c>
      <c r="V93" s="1">
        <v>0</v>
      </c>
      <c r="W93" s="1">
        <v>0</v>
      </c>
      <c r="X93" s="17">
        <f t="shared" si="18"/>
        <v>0</v>
      </c>
      <c r="Y93" s="1">
        <v>0</v>
      </c>
      <c r="Z93" s="34" t="e">
        <f t="shared" si="3"/>
        <v>#VALUE!</v>
      </c>
      <c r="AA93" s="20" t="e">
        <f t="shared" si="4"/>
        <v>#VALUE!</v>
      </c>
      <c r="AB93" s="34" t="e">
        <f t="shared" si="5"/>
        <v>#VALUE!</v>
      </c>
      <c r="AC93" s="2" t="e">
        <f t="shared" si="6"/>
        <v>#VALUE!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</row>
    <row r="94" spans="1:69" ht="12.75" hidden="1" x14ac:dyDescent="0.2">
      <c r="A94" s="1">
        <v>48083</v>
      </c>
      <c r="B94" s="1" t="s">
        <v>142</v>
      </c>
      <c r="C94" s="1">
        <v>12</v>
      </c>
      <c r="D94" s="1">
        <v>677</v>
      </c>
      <c r="E94" s="1" t="s">
        <v>64</v>
      </c>
      <c r="F94" s="1">
        <v>690</v>
      </c>
      <c r="G94" s="1" t="s">
        <v>101</v>
      </c>
      <c r="H94" s="2">
        <v>54.916699999999999</v>
      </c>
      <c r="I94" s="2">
        <v>659.00040000000001</v>
      </c>
      <c r="J94" s="14" t="e">
        <f t="shared" si="1"/>
        <v>#VALUE!</v>
      </c>
      <c r="K94" s="15" t="e">
        <f t="shared" si="2"/>
        <v>#VALUE!</v>
      </c>
      <c r="L94" s="15"/>
      <c r="M94" s="1">
        <v>0</v>
      </c>
      <c r="N94" s="1" t="str">
        <f>IFERROR(VLOOKUP(A94:A185,'140726 ph k.'!$A$64:$S$80,19,FALSE),"")</f>
        <v/>
      </c>
      <c r="O94" s="1">
        <f>IFERROR(VLOOKUP(A94:A185,'140726 ph k.'!$A$7:$H$60,8,FALSE),"")</f>
        <v>0</v>
      </c>
      <c r="P94" s="1" t="str">
        <f>IFERROR(VLOOKUP(A94:A185,'140726 ph k.'!$A$64:$N$80,14,FALSE),"")</f>
        <v/>
      </c>
      <c r="Q94" s="17" t="e">
        <f t="shared" si="16"/>
        <v>#VALUE!</v>
      </c>
      <c r="R94" s="1"/>
      <c r="S94" s="1">
        <v>0</v>
      </c>
      <c r="T94" s="1">
        <v>0</v>
      </c>
      <c r="U94" s="17">
        <f t="shared" si="17"/>
        <v>0</v>
      </c>
      <c r="V94" s="1">
        <v>0</v>
      </c>
      <c r="W94" s="1">
        <v>0</v>
      </c>
      <c r="X94" s="17">
        <f t="shared" si="18"/>
        <v>0</v>
      </c>
      <c r="Y94" s="1">
        <v>0</v>
      </c>
      <c r="Z94" s="34" t="e">
        <f t="shared" si="3"/>
        <v>#VALUE!</v>
      </c>
      <c r="AA94" s="20" t="e">
        <f t="shared" si="4"/>
        <v>#VALUE!</v>
      </c>
      <c r="AB94" s="34" t="e">
        <f t="shared" si="5"/>
        <v>#VALUE!</v>
      </c>
      <c r="AC94" s="2" t="e">
        <f t="shared" si="6"/>
        <v>#VALUE!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</row>
    <row r="95" spans="1:69" ht="12.75" x14ac:dyDescent="0.2">
      <c r="B95" s="1" t="s">
        <v>233</v>
      </c>
      <c r="H95" s="26"/>
      <c r="I95" s="26"/>
      <c r="J95" s="26"/>
      <c r="L95" s="95">
        <v>15</v>
      </c>
      <c r="Q95" s="1">
        <v>5</v>
      </c>
      <c r="U95" s="1">
        <v>5</v>
      </c>
      <c r="X95" s="1">
        <v>5</v>
      </c>
      <c r="Z95" s="96"/>
      <c r="AA95" s="26"/>
      <c r="AB95" s="96"/>
      <c r="AC95" s="26"/>
    </row>
    <row r="96" spans="1:69" ht="12.75" x14ac:dyDescent="0.2">
      <c r="B96" s="1" t="s">
        <v>234</v>
      </c>
      <c r="H96" s="26"/>
      <c r="I96" s="26"/>
      <c r="J96" s="26"/>
      <c r="L96" s="95">
        <v>15</v>
      </c>
      <c r="Q96" s="1">
        <v>5</v>
      </c>
      <c r="U96" s="1">
        <v>5</v>
      </c>
      <c r="X96" s="1">
        <v>5</v>
      </c>
      <c r="Z96" s="96"/>
      <c r="AA96" s="26"/>
      <c r="AB96" s="96"/>
      <c r="AC96" s="26"/>
    </row>
    <row r="97" spans="8:29" ht="12.75" x14ac:dyDescent="0.2">
      <c r="H97" s="26"/>
      <c r="I97" s="26"/>
      <c r="J97" s="26"/>
      <c r="Z97" s="96"/>
      <c r="AA97" s="26"/>
      <c r="AB97" s="96"/>
      <c r="AC97" s="26"/>
    </row>
    <row r="98" spans="8:29" ht="12.75" x14ac:dyDescent="0.2">
      <c r="H98" s="26"/>
      <c r="I98" s="26"/>
      <c r="J98" s="26"/>
      <c r="Z98" s="96"/>
      <c r="AA98" s="26"/>
      <c r="AB98" s="96"/>
      <c r="AC98" s="26"/>
    </row>
    <row r="99" spans="8:29" ht="12.75" x14ac:dyDescent="0.2">
      <c r="H99" s="26"/>
      <c r="I99" s="26"/>
      <c r="J99" s="26"/>
      <c r="Z99" s="96"/>
      <c r="AA99" s="26"/>
      <c r="AB99" s="96"/>
      <c r="AC99" s="26"/>
    </row>
    <row r="100" spans="8:29" ht="12.75" x14ac:dyDescent="0.2">
      <c r="H100" s="26"/>
      <c r="I100" s="26"/>
      <c r="J100" s="26"/>
      <c r="Z100" s="96"/>
      <c r="AA100" s="26"/>
      <c r="AB100" s="96"/>
      <c r="AC100" s="26"/>
    </row>
    <row r="101" spans="8:29" ht="12.75" x14ac:dyDescent="0.2">
      <c r="H101" s="26"/>
      <c r="I101" s="26"/>
      <c r="J101" s="26"/>
      <c r="Z101" s="96"/>
      <c r="AA101" s="26"/>
      <c r="AB101" s="96"/>
      <c r="AC101" s="26"/>
    </row>
    <row r="102" spans="8:29" ht="12.75" x14ac:dyDescent="0.2">
      <c r="H102" s="26"/>
      <c r="I102" s="26"/>
      <c r="J102" s="26"/>
      <c r="Z102" s="96"/>
      <c r="AA102" s="26"/>
      <c r="AB102" s="96"/>
      <c r="AC102" s="26"/>
    </row>
    <row r="103" spans="8:29" ht="12.75" x14ac:dyDescent="0.2">
      <c r="H103" s="26"/>
      <c r="I103" s="26"/>
      <c r="J103" s="26"/>
      <c r="Z103" s="96"/>
      <c r="AA103" s="26"/>
      <c r="AB103" s="96"/>
      <c r="AC103" s="26"/>
    </row>
    <row r="104" spans="8:29" ht="12.75" x14ac:dyDescent="0.2">
      <c r="H104" s="26"/>
      <c r="I104" s="26"/>
      <c r="J104" s="26"/>
      <c r="Z104" s="96"/>
      <c r="AA104" s="26"/>
      <c r="AB104" s="96"/>
      <c r="AC104" s="26"/>
    </row>
    <row r="105" spans="8:29" ht="12.75" x14ac:dyDescent="0.2">
      <c r="H105" s="26"/>
      <c r="I105" s="26"/>
      <c r="J105" s="26"/>
      <c r="Z105" s="96"/>
      <c r="AA105" s="26"/>
      <c r="AB105" s="96"/>
      <c r="AC105" s="26"/>
    </row>
    <row r="106" spans="8:29" ht="12.75" x14ac:dyDescent="0.2">
      <c r="H106" s="26"/>
      <c r="I106" s="26"/>
      <c r="J106" s="26"/>
      <c r="Z106" s="96"/>
      <c r="AA106" s="26"/>
      <c r="AB106" s="96"/>
      <c r="AC106" s="26"/>
    </row>
    <row r="107" spans="8:29" ht="12.75" x14ac:dyDescent="0.2">
      <c r="H107" s="26"/>
      <c r="I107" s="26"/>
      <c r="J107" s="26"/>
      <c r="Z107" s="96"/>
      <c r="AA107" s="26"/>
      <c r="AB107" s="96"/>
      <c r="AC107" s="26"/>
    </row>
    <row r="108" spans="8:29" ht="12.75" x14ac:dyDescent="0.2">
      <c r="H108" s="26"/>
      <c r="I108" s="26"/>
      <c r="J108" s="26"/>
      <c r="Z108" s="96"/>
      <c r="AA108" s="26"/>
      <c r="AB108" s="96"/>
      <c r="AC108" s="26"/>
    </row>
    <row r="109" spans="8:29" ht="12.75" x14ac:dyDescent="0.2">
      <c r="H109" s="26"/>
      <c r="I109" s="26"/>
      <c r="J109" s="26"/>
      <c r="Z109" s="96"/>
      <c r="AA109" s="26"/>
      <c r="AB109" s="96"/>
      <c r="AC109" s="26"/>
    </row>
    <row r="110" spans="8:29" ht="12.75" x14ac:dyDescent="0.2">
      <c r="H110" s="26"/>
      <c r="I110" s="26"/>
      <c r="J110" s="26"/>
      <c r="Z110" s="96"/>
      <c r="AA110" s="26"/>
      <c r="AB110" s="96"/>
      <c r="AC110" s="26"/>
    </row>
    <row r="111" spans="8:29" ht="12.75" x14ac:dyDescent="0.2">
      <c r="H111" s="26"/>
      <c r="I111" s="26"/>
      <c r="J111" s="26"/>
      <c r="Z111" s="96"/>
      <c r="AA111" s="26"/>
      <c r="AB111" s="96"/>
      <c r="AC111" s="26"/>
    </row>
    <row r="112" spans="8:29" ht="12.75" x14ac:dyDescent="0.2">
      <c r="H112" s="26"/>
      <c r="I112" s="26"/>
      <c r="J112" s="26"/>
      <c r="Z112" s="96"/>
      <c r="AA112" s="26"/>
      <c r="AB112" s="96"/>
      <c r="AC112" s="26"/>
    </row>
    <row r="113" spans="8:29" ht="12.75" x14ac:dyDescent="0.2">
      <c r="H113" s="26"/>
      <c r="I113" s="26"/>
      <c r="J113" s="26"/>
      <c r="Z113" s="96"/>
      <c r="AA113" s="26"/>
      <c r="AB113" s="96"/>
      <c r="AC113" s="26"/>
    </row>
    <row r="114" spans="8:29" ht="12.75" x14ac:dyDescent="0.2">
      <c r="H114" s="26"/>
      <c r="I114" s="26"/>
      <c r="J114" s="26"/>
      <c r="Z114" s="96"/>
      <c r="AA114" s="26"/>
      <c r="AB114" s="96"/>
      <c r="AC114" s="26"/>
    </row>
    <row r="115" spans="8:29" ht="12.75" x14ac:dyDescent="0.2">
      <c r="H115" s="26"/>
      <c r="I115" s="26"/>
      <c r="J115" s="26"/>
      <c r="Z115" s="96"/>
      <c r="AA115" s="26"/>
      <c r="AB115" s="96"/>
      <c r="AC115" s="26"/>
    </row>
    <row r="116" spans="8:29" ht="12.75" x14ac:dyDescent="0.2">
      <c r="H116" s="26"/>
      <c r="I116" s="26"/>
      <c r="J116" s="26"/>
      <c r="Z116" s="96"/>
      <c r="AA116" s="26"/>
      <c r="AB116" s="96"/>
      <c r="AC116" s="26"/>
    </row>
    <row r="117" spans="8:29" ht="12.75" x14ac:dyDescent="0.2">
      <c r="H117" s="26"/>
      <c r="I117" s="26"/>
      <c r="J117" s="26"/>
      <c r="Z117" s="96"/>
      <c r="AA117" s="26"/>
      <c r="AB117" s="96"/>
      <c r="AC117" s="26"/>
    </row>
    <row r="118" spans="8:29" ht="12.75" x14ac:dyDescent="0.2">
      <c r="H118" s="26"/>
      <c r="I118" s="26"/>
      <c r="J118" s="26"/>
      <c r="Z118" s="96"/>
      <c r="AA118" s="26"/>
      <c r="AB118" s="96"/>
      <c r="AC118" s="26"/>
    </row>
    <row r="119" spans="8:29" ht="12.75" x14ac:dyDescent="0.2">
      <c r="H119" s="26"/>
      <c r="I119" s="26"/>
      <c r="J119" s="26"/>
      <c r="Z119" s="96"/>
      <c r="AA119" s="26"/>
      <c r="AB119" s="96"/>
      <c r="AC119" s="26"/>
    </row>
    <row r="120" spans="8:29" ht="12.75" x14ac:dyDescent="0.2">
      <c r="H120" s="26"/>
      <c r="I120" s="26"/>
      <c r="J120" s="26"/>
      <c r="Z120" s="96"/>
      <c r="AA120" s="26"/>
      <c r="AB120" s="96"/>
      <c r="AC120" s="26"/>
    </row>
    <row r="121" spans="8:29" ht="12.75" x14ac:dyDescent="0.2">
      <c r="H121" s="26"/>
      <c r="I121" s="26"/>
      <c r="J121" s="26"/>
      <c r="Z121" s="96"/>
      <c r="AA121" s="26"/>
      <c r="AB121" s="96"/>
      <c r="AC121" s="26"/>
    </row>
    <row r="122" spans="8:29" ht="12.75" x14ac:dyDescent="0.2">
      <c r="H122" s="26"/>
      <c r="I122" s="26"/>
      <c r="J122" s="26"/>
      <c r="Z122" s="96"/>
      <c r="AA122" s="26"/>
      <c r="AB122" s="96"/>
      <c r="AC122" s="26"/>
    </row>
    <row r="123" spans="8:29" ht="12.75" x14ac:dyDescent="0.2">
      <c r="H123" s="26"/>
      <c r="I123" s="26"/>
      <c r="J123" s="26"/>
      <c r="Z123" s="96"/>
      <c r="AA123" s="26"/>
      <c r="AB123" s="96"/>
      <c r="AC123" s="26"/>
    </row>
    <row r="124" spans="8:29" ht="12.75" x14ac:dyDescent="0.2">
      <c r="H124" s="26"/>
      <c r="I124" s="26"/>
      <c r="J124" s="26"/>
      <c r="Z124" s="96"/>
      <c r="AA124" s="26"/>
      <c r="AB124" s="96"/>
      <c r="AC124" s="26"/>
    </row>
    <row r="125" spans="8:29" ht="12.75" x14ac:dyDescent="0.2">
      <c r="H125" s="26"/>
      <c r="I125" s="26"/>
      <c r="J125" s="26"/>
      <c r="Z125" s="96"/>
      <c r="AA125" s="26"/>
      <c r="AB125" s="96"/>
      <c r="AC125" s="26"/>
    </row>
    <row r="126" spans="8:29" ht="12.75" x14ac:dyDescent="0.2">
      <c r="H126" s="26"/>
      <c r="I126" s="26"/>
      <c r="J126" s="26"/>
      <c r="Z126" s="96"/>
      <c r="AA126" s="26"/>
      <c r="AB126" s="96"/>
      <c r="AC126" s="26"/>
    </row>
    <row r="127" spans="8:29" ht="12.75" x14ac:dyDescent="0.2">
      <c r="H127" s="26"/>
      <c r="I127" s="26"/>
      <c r="J127" s="26"/>
      <c r="Z127" s="96"/>
      <c r="AA127" s="26"/>
      <c r="AB127" s="96"/>
      <c r="AC127" s="26"/>
    </row>
    <row r="128" spans="8:29" ht="12.75" x14ac:dyDescent="0.2">
      <c r="H128" s="26"/>
      <c r="I128" s="26"/>
      <c r="J128" s="26"/>
      <c r="Z128" s="96"/>
      <c r="AA128" s="26"/>
      <c r="AB128" s="96"/>
      <c r="AC128" s="26"/>
    </row>
    <row r="129" spans="8:29" ht="12.75" x14ac:dyDescent="0.2">
      <c r="H129" s="26"/>
      <c r="I129" s="26"/>
      <c r="J129" s="26"/>
      <c r="Z129" s="96"/>
      <c r="AA129" s="26"/>
      <c r="AB129" s="96"/>
      <c r="AC129" s="26"/>
    </row>
    <row r="130" spans="8:29" ht="12.75" x14ac:dyDescent="0.2">
      <c r="H130" s="26"/>
      <c r="I130" s="26"/>
      <c r="J130" s="26"/>
      <c r="Z130" s="96"/>
      <c r="AA130" s="26"/>
      <c r="AB130" s="96"/>
      <c r="AC130" s="26"/>
    </row>
    <row r="131" spans="8:29" ht="12.75" x14ac:dyDescent="0.2">
      <c r="H131" s="26"/>
      <c r="I131" s="26"/>
      <c r="J131" s="26"/>
      <c r="Z131" s="96"/>
      <c r="AA131" s="26"/>
      <c r="AB131" s="96"/>
      <c r="AC131" s="26"/>
    </row>
    <row r="132" spans="8:29" ht="12.75" x14ac:dyDescent="0.2">
      <c r="H132" s="26"/>
      <c r="I132" s="26"/>
      <c r="J132" s="26"/>
      <c r="Z132" s="96"/>
      <c r="AA132" s="26"/>
      <c r="AB132" s="96"/>
      <c r="AC132" s="26"/>
    </row>
    <row r="133" spans="8:29" ht="12.75" x14ac:dyDescent="0.2">
      <c r="H133" s="26"/>
      <c r="I133" s="26"/>
      <c r="J133" s="26"/>
      <c r="Z133" s="96"/>
      <c r="AA133" s="26"/>
      <c r="AB133" s="96"/>
      <c r="AC133" s="26"/>
    </row>
    <row r="134" spans="8:29" ht="12.75" x14ac:dyDescent="0.2">
      <c r="H134" s="26"/>
      <c r="I134" s="26"/>
      <c r="J134" s="26"/>
      <c r="Z134" s="96"/>
      <c r="AA134" s="26"/>
      <c r="AB134" s="96"/>
      <c r="AC134" s="26"/>
    </row>
    <row r="135" spans="8:29" ht="12.75" x14ac:dyDescent="0.2">
      <c r="H135" s="26"/>
      <c r="I135" s="26"/>
      <c r="J135" s="26"/>
      <c r="Z135" s="96"/>
      <c r="AA135" s="26"/>
      <c r="AB135" s="96"/>
      <c r="AC135" s="26"/>
    </row>
    <row r="136" spans="8:29" ht="12.75" x14ac:dyDescent="0.2">
      <c r="H136" s="26"/>
      <c r="I136" s="26"/>
      <c r="J136" s="26"/>
      <c r="Z136" s="96"/>
      <c r="AA136" s="26"/>
      <c r="AB136" s="96"/>
      <c r="AC136" s="26"/>
    </row>
    <row r="137" spans="8:29" ht="12.75" x14ac:dyDescent="0.2">
      <c r="H137" s="26"/>
      <c r="I137" s="26"/>
      <c r="J137" s="26"/>
      <c r="Z137" s="96"/>
      <c r="AA137" s="26"/>
      <c r="AB137" s="96"/>
      <c r="AC137" s="26"/>
    </row>
    <row r="138" spans="8:29" ht="12.75" x14ac:dyDescent="0.2">
      <c r="H138" s="26"/>
      <c r="I138" s="26"/>
      <c r="J138" s="26"/>
      <c r="Z138" s="96"/>
      <c r="AA138" s="26"/>
      <c r="AB138" s="96"/>
      <c r="AC138" s="26"/>
    </row>
    <row r="139" spans="8:29" ht="12.75" x14ac:dyDescent="0.2">
      <c r="H139" s="26"/>
      <c r="I139" s="26"/>
      <c r="J139" s="26"/>
      <c r="Z139" s="96"/>
      <c r="AA139" s="26"/>
      <c r="AB139" s="96"/>
      <c r="AC139" s="26"/>
    </row>
    <row r="140" spans="8:29" ht="12.75" x14ac:dyDescent="0.2">
      <c r="H140" s="26"/>
      <c r="I140" s="26"/>
      <c r="J140" s="26"/>
      <c r="Z140" s="96"/>
      <c r="AA140" s="26"/>
      <c r="AB140" s="96"/>
      <c r="AC140" s="26"/>
    </row>
    <row r="141" spans="8:29" ht="12.75" x14ac:dyDescent="0.2">
      <c r="H141" s="26"/>
      <c r="I141" s="26"/>
      <c r="J141" s="26"/>
      <c r="Z141" s="96"/>
      <c r="AA141" s="26"/>
      <c r="AB141" s="96"/>
      <c r="AC141" s="26"/>
    </row>
    <row r="142" spans="8:29" ht="12.75" x14ac:dyDescent="0.2">
      <c r="H142" s="26"/>
      <c r="I142" s="26"/>
      <c r="J142" s="26"/>
      <c r="Z142" s="96"/>
      <c r="AA142" s="26"/>
      <c r="AB142" s="96"/>
      <c r="AC142" s="26"/>
    </row>
    <row r="143" spans="8:29" ht="12.75" x14ac:dyDescent="0.2">
      <c r="H143" s="26"/>
      <c r="I143" s="26"/>
      <c r="J143" s="26"/>
      <c r="Z143" s="96"/>
      <c r="AA143" s="26"/>
      <c r="AB143" s="96"/>
      <c r="AC143" s="26"/>
    </row>
    <row r="144" spans="8:29" ht="12.75" x14ac:dyDescent="0.2">
      <c r="H144" s="26"/>
      <c r="I144" s="26"/>
      <c r="J144" s="26"/>
      <c r="Z144" s="96"/>
      <c r="AA144" s="26"/>
      <c r="AB144" s="96"/>
      <c r="AC144" s="26"/>
    </row>
    <row r="145" spans="8:29" ht="12.75" x14ac:dyDescent="0.2">
      <c r="H145" s="26"/>
      <c r="I145" s="26"/>
      <c r="J145" s="26"/>
      <c r="Z145" s="96"/>
      <c r="AA145" s="26"/>
      <c r="AB145" s="96"/>
      <c r="AC145" s="26"/>
    </row>
    <row r="146" spans="8:29" ht="12.75" x14ac:dyDescent="0.2">
      <c r="H146" s="26"/>
      <c r="I146" s="26"/>
      <c r="J146" s="26"/>
      <c r="Z146" s="96"/>
      <c r="AA146" s="26"/>
      <c r="AB146" s="96"/>
      <c r="AC146" s="26"/>
    </row>
    <row r="147" spans="8:29" ht="12.75" x14ac:dyDescent="0.2">
      <c r="H147" s="26"/>
      <c r="I147" s="26"/>
      <c r="J147" s="26"/>
      <c r="Z147" s="96"/>
      <c r="AA147" s="26"/>
      <c r="AB147" s="96"/>
      <c r="AC147" s="26"/>
    </row>
    <row r="148" spans="8:29" ht="12.75" x14ac:dyDescent="0.2">
      <c r="H148" s="26"/>
      <c r="I148" s="26"/>
      <c r="J148" s="26"/>
      <c r="Z148" s="96"/>
      <c r="AA148" s="26"/>
      <c r="AB148" s="96"/>
      <c r="AC148" s="26"/>
    </row>
    <row r="149" spans="8:29" ht="12.75" x14ac:dyDescent="0.2">
      <c r="H149" s="26"/>
      <c r="I149" s="26"/>
      <c r="J149" s="26"/>
      <c r="Z149" s="96"/>
      <c r="AA149" s="26"/>
      <c r="AB149" s="96"/>
      <c r="AC149" s="26"/>
    </row>
    <row r="150" spans="8:29" ht="12.75" x14ac:dyDescent="0.2">
      <c r="H150" s="26"/>
      <c r="I150" s="26"/>
      <c r="J150" s="26"/>
      <c r="Z150" s="96"/>
      <c r="AA150" s="26"/>
      <c r="AB150" s="96"/>
      <c r="AC150" s="26"/>
    </row>
    <row r="151" spans="8:29" ht="12.75" x14ac:dyDescent="0.2">
      <c r="H151" s="26"/>
      <c r="I151" s="26"/>
      <c r="J151" s="26"/>
      <c r="Z151" s="96"/>
      <c r="AA151" s="26"/>
      <c r="AB151" s="96"/>
      <c r="AC151" s="26"/>
    </row>
    <row r="152" spans="8:29" ht="12.75" x14ac:dyDescent="0.2">
      <c r="H152" s="26"/>
      <c r="I152" s="26"/>
      <c r="J152" s="26"/>
      <c r="Z152" s="96"/>
      <c r="AA152" s="26"/>
      <c r="AB152" s="96"/>
      <c r="AC152" s="26"/>
    </row>
    <row r="153" spans="8:29" ht="12.75" x14ac:dyDescent="0.2">
      <c r="H153" s="26"/>
      <c r="I153" s="26"/>
      <c r="J153" s="26"/>
      <c r="Z153" s="96"/>
      <c r="AA153" s="26"/>
      <c r="AB153" s="96"/>
      <c r="AC153" s="26"/>
    </row>
    <row r="154" spans="8:29" ht="12.75" x14ac:dyDescent="0.2">
      <c r="H154" s="26"/>
      <c r="I154" s="26"/>
      <c r="J154" s="26"/>
      <c r="Z154" s="96"/>
      <c r="AA154" s="26"/>
      <c r="AB154" s="96"/>
      <c r="AC154" s="26"/>
    </row>
    <row r="155" spans="8:29" ht="12.75" x14ac:dyDescent="0.2">
      <c r="H155" s="26"/>
      <c r="I155" s="26"/>
      <c r="J155" s="26"/>
      <c r="Z155" s="96"/>
      <c r="AA155" s="26"/>
      <c r="AB155" s="96"/>
      <c r="AC155" s="26"/>
    </row>
    <row r="156" spans="8:29" ht="12.75" x14ac:dyDescent="0.2">
      <c r="H156" s="26"/>
      <c r="I156" s="26"/>
      <c r="J156" s="26"/>
      <c r="Z156" s="96"/>
      <c r="AA156" s="26"/>
      <c r="AB156" s="96"/>
      <c r="AC156" s="26"/>
    </row>
    <row r="157" spans="8:29" ht="12.75" x14ac:dyDescent="0.2">
      <c r="H157" s="26"/>
      <c r="I157" s="26"/>
      <c r="J157" s="26"/>
      <c r="Z157" s="96"/>
      <c r="AA157" s="26"/>
      <c r="AB157" s="96"/>
      <c r="AC157" s="26"/>
    </row>
    <row r="158" spans="8:29" ht="12.75" x14ac:dyDescent="0.2">
      <c r="H158" s="26"/>
      <c r="I158" s="26"/>
      <c r="J158" s="26"/>
      <c r="Z158" s="96"/>
      <c r="AA158" s="26"/>
      <c r="AB158" s="96"/>
      <c r="AC158" s="26"/>
    </row>
    <row r="159" spans="8:29" ht="12.75" x14ac:dyDescent="0.2">
      <c r="H159" s="26"/>
      <c r="I159" s="26"/>
      <c r="J159" s="26"/>
      <c r="Z159" s="96"/>
      <c r="AA159" s="26"/>
      <c r="AB159" s="96"/>
      <c r="AC159" s="26"/>
    </row>
    <row r="160" spans="8:29" ht="12.75" x14ac:dyDescent="0.2">
      <c r="H160" s="26"/>
      <c r="I160" s="26"/>
      <c r="J160" s="26"/>
      <c r="Z160" s="96"/>
      <c r="AA160" s="26"/>
      <c r="AB160" s="96"/>
      <c r="AC160" s="26"/>
    </row>
    <row r="161" spans="8:29" ht="12.75" x14ac:dyDescent="0.2">
      <c r="H161" s="26"/>
      <c r="I161" s="26"/>
      <c r="J161" s="26"/>
      <c r="Z161" s="96"/>
      <c r="AA161" s="26"/>
      <c r="AB161" s="96"/>
      <c r="AC161" s="26"/>
    </row>
    <row r="162" spans="8:29" ht="12.75" x14ac:dyDescent="0.2">
      <c r="H162" s="26"/>
      <c r="I162" s="26"/>
      <c r="J162" s="26"/>
      <c r="Z162" s="96"/>
      <c r="AA162" s="26"/>
      <c r="AB162" s="96"/>
      <c r="AC162" s="26"/>
    </row>
    <row r="163" spans="8:29" ht="12.75" x14ac:dyDescent="0.2">
      <c r="H163" s="26"/>
      <c r="I163" s="26"/>
      <c r="J163" s="26"/>
      <c r="Z163" s="96"/>
      <c r="AA163" s="26"/>
      <c r="AB163" s="96"/>
      <c r="AC163" s="26"/>
    </row>
    <row r="164" spans="8:29" ht="12.75" x14ac:dyDescent="0.2">
      <c r="H164" s="26"/>
      <c r="I164" s="26"/>
      <c r="J164" s="26"/>
      <c r="Z164" s="96"/>
      <c r="AA164" s="26"/>
      <c r="AB164" s="96"/>
      <c r="AC164" s="26"/>
    </row>
    <row r="165" spans="8:29" ht="12.75" x14ac:dyDescent="0.2">
      <c r="H165" s="26"/>
      <c r="I165" s="26"/>
      <c r="J165" s="26"/>
      <c r="Z165" s="96"/>
      <c r="AA165" s="26"/>
      <c r="AB165" s="96"/>
      <c r="AC165" s="26"/>
    </row>
    <row r="166" spans="8:29" ht="12.75" x14ac:dyDescent="0.2">
      <c r="H166" s="26"/>
      <c r="I166" s="26"/>
      <c r="J166" s="26"/>
      <c r="Z166" s="96"/>
      <c r="AA166" s="26"/>
      <c r="AB166" s="96"/>
      <c r="AC166" s="26"/>
    </row>
    <row r="167" spans="8:29" ht="12.75" x14ac:dyDescent="0.2">
      <c r="H167" s="26"/>
      <c r="I167" s="26"/>
      <c r="J167" s="26"/>
      <c r="Z167" s="96"/>
      <c r="AA167" s="26"/>
      <c r="AB167" s="96"/>
      <c r="AC167" s="26"/>
    </row>
    <row r="168" spans="8:29" ht="12.75" x14ac:dyDescent="0.2">
      <c r="H168" s="26"/>
      <c r="I168" s="26"/>
      <c r="J168" s="26"/>
      <c r="Z168" s="96"/>
      <c r="AA168" s="26"/>
      <c r="AB168" s="96"/>
      <c r="AC168" s="26"/>
    </row>
    <row r="169" spans="8:29" ht="12.75" x14ac:dyDescent="0.2">
      <c r="H169" s="26"/>
      <c r="I169" s="26"/>
      <c r="J169" s="26"/>
      <c r="Z169" s="96"/>
      <c r="AA169" s="26"/>
      <c r="AB169" s="96"/>
      <c r="AC169" s="26"/>
    </row>
    <row r="170" spans="8:29" ht="12.75" x14ac:dyDescent="0.2">
      <c r="H170" s="26"/>
      <c r="I170" s="26"/>
      <c r="J170" s="26"/>
      <c r="Z170" s="96"/>
      <c r="AA170" s="26"/>
      <c r="AB170" s="96"/>
      <c r="AC170" s="26"/>
    </row>
    <row r="171" spans="8:29" ht="12.75" x14ac:dyDescent="0.2">
      <c r="H171" s="26"/>
      <c r="I171" s="26"/>
      <c r="J171" s="26"/>
      <c r="Z171" s="96"/>
      <c r="AA171" s="26"/>
      <c r="AB171" s="96"/>
      <c r="AC171" s="26"/>
    </row>
    <row r="172" spans="8:29" ht="12.75" x14ac:dyDescent="0.2">
      <c r="H172" s="26"/>
      <c r="I172" s="26"/>
      <c r="J172" s="26"/>
      <c r="Z172" s="96"/>
      <c r="AA172" s="26"/>
      <c r="AB172" s="96"/>
      <c r="AC172" s="26"/>
    </row>
    <row r="173" spans="8:29" ht="12.75" x14ac:dyDescent="0.2">
      <c r="H173" s="26"/>
      <c r="I173" s="26"/>
      <c r="J173" s="26"/>
      <c r="Z173" s="96"/>
      <c r="AA173" s="26"/>
      <c r="AB173" s="96"/>
      <c r="AC173" s="26"/>
    </row>
    <row r="174" spans="8:29" ht="12.75" x14ac:dyDescent="0.2">
      <c r="H174" s="26"/>
      <c r="I174" s="26"/>
      <c r="J174" s="26"/>
      <c r="Z174" s="96"/>
      <c r="AA174" s="26"/>
      <c r="AB174" s="96"/>
      <c r="AC174" s="26"/>
    </row>
    <row r="175" spans="8:29" ht="12.75" x14ac:dyDescent="0.2">
      <c r="H175" s="26"/>
      <c r="I175" s="26"/>
      <c r="J175" s="26"/>
      <c r="Z175" s="96"/>
      <c r="AA175" s="26"/>
      <c r="AB175" s="96"/>
      <c r="AC175" s="26"/>
    </row>
    <row r="176" spans="8:29" ht="12.75" x14ac:dyDescent="0.2">
      <c r="H176" s="26"/>
      <c r="I176" s="26"/>
      <c r="J176" s="26"/>
      <c r="Z176" s="96"/>
      <c r="AA176" s="26"/>
      <c r="AB176" s="96"/>
      <c r="AC176" s="26"/>
    </row>
    <row r="177" spans="8:29" ht="12.75" x14ac:dyDescent="0.2">
      <c r="H177" s="26"/>
      <c r="I177" s="26"/>
      <c r="J177" s="26"/>
      <c r="Z177" s="96"/>
      <c r="AA177" s="26"/>
      <c r="AB177" s="96"/>
      <c r="AC177" s="26"/>
    </row>
    <row r="178" spans="8:29" ht="12.75" x14ac:dyDescent="0.2">
      <c r="H178" s="26"/>
      <c r="I178" s="26"/>
      <c r="J178" s="26"/>
      <c r="Z178" s="96"/>
      <c r="AA178" s="26"/>
      <c r="AB178" s="96"/>
      <c r="AC178" s="26"/>
    </row>
    <row r="179" spans="8:29" ht="12.75" x14ac:dyDescent="0.2">
      <c r="H179" s="26"/>
      <c r="I179" s="26"/>
      <c r="J179" s="26"/>
      <c r="Z179" s="96"/>
      <c r="AA179" s="26"/>
      <c r="AB179" s="96"/>
      <c r="AC179" s="26"/>
    </row>
    <row r="180" spans="8:29" ht="12.75" x14ac:dyDescent="0.2">
      <c r="H180" s="26"/>
      <c r="I180" s="26"/>
      <c r="J180" s="26"/>
      <c r="Z180" s="96"/>
      <c r="AA180" s="26"/>
      <c r="AB180" s="96"/>
      <c r="AC180" s="26"/>
    </row>
    <row r="181" spans="8:29" ht="12.75" x14ac:dyDescent="0.2">
      <c r="H181" s="26"/>
      <c r="I181" s="26"/>
      <c r="J181" s="26"/>
      <c r="Z181" s="96"/>
      <c r="AA181" s="26"/>
      <c r="AB181" s="96"/>
      <c r="AC181" s="26"/>
    </row>
    <row r="182" spans="8:29" ht="12.75" x14ac:dyDescent="0.2">
      <c r="H182" s="26"/>
      <c r="I182" s="26"/>
      <c r="J182" s="26"/>
      <c r="Z182" s="96"/>
      <c r="AA182" s="26"/>
      <c r="AB182" s="96"/>
      <c r="AC182" s="26"/>
    </row>
    <row r="183" spans="8:29" ht="12.75" x14ac:dyDescent="0.2">
      <c r="H183" s="26"/>
      <c r="I183" s="26"/>
      <c r="J183" s="26"/>
      <c r="Z183" s="96"/>
      <c r="AA183" s="26"/>
      <c r="AB183" s="96"/>
      <c r="AC183" s="26"/>
    </row>
    <row r="184" spans="8:29" ht="12.75" x14ac:dyDescent="0.2">
      <c r="H184" s="26"/>
      <c r="I184" s="26"/>
      <c r="J184" s="26"/>
      <c r="Z184" s="96"/>
      <c r="AA184" s="26"/>
      <c r="AB184" s="96"/>
      <c r="AC184" s="26"/>
    </row>
    <row r="185" spans="8:29" ht="12.75" x14ac:dyDescent="0.2">
      <c r="H185" s="26"/>
      <c r="I185" s="26"/>
      <c r="J185" s="26"/>
      <c r="Z185" s="96"/>
      <c r="AA185" s="26"/>
      <c r="AB185" s="96"/>
      <c r="AC185" s="26"/>
    </row>
    <row r="186" spans="8:29" ht="12.75" x14ac:dyDescent="0.2">
      <c r="H186" s="26"/>
      <c r="I186" s="26"/>
      <c r="J186" s="26"/>
      <c r="Z186" s="96"/>
      <c r="AA186" s="26"/>
      <c r="AB186" s="96"/>
      <c r="AC186" s="26"/>
    </row>
    <row r="187" spans="8:29" ht="12.75" x14ac:dyDescent="0.2">
      <c r="H187" s="26"/>
      <c r="I187" s="26"/>
      <c r="J187" s="26"/>
      <c r="Z187" s="96"/>
      <c r="AA187" s="26"/>
      <c r="AB187" s="96"/>
      <c r="AC187" s="26"/>
    </row>
    <row r="188" spans="8:29" ht="12.75" x14ac:dyDescent="0.2">
      <c r="H188" s="26"/>
      <c r="I188" s="26"/>
      <c r="J188" s="26"/>
      <c r="Z188" s="96"/>
      <c r="AA188" s="26"/>
      <c r="AB188" s="96"/>
      <c r="AC188" s="26"/>
    </row>
    <row r="189" spans="8:29" ht="12.75" x14ac:dyDescent="0.2">
      <c r="H189" s="26"/>
      <c r="I189" s="26"/>
      <c r="J189" s="26"/>
      <c r="Z189" s="96"/>
      <c r="AA189" s="26"/>
      <c r="AB189" s="96"/>
      <c r="AC189" s="26"/>
    </row>
    <row r="190" spans="8:29" ht="12.75" x14ac:dyDescent="0.2">
      <c r="H190" s="26"/>
      <c r="I190" s="26"/>
      <c r="J190" s="26"/>
      <c r="Z190" s="96"/>
      <c r="AA190" s="26"/>
      <c r="AB190" s="96"/>
      <c r="AC190" s="26"/>
    </row>
    <row r="191" spans="8:29" ht="12.75" x14ac:dyDescent="0.2">
      <c r="H191" s="26"/>
      <c r="I191" s="26"/>
      <c r="J191" s="26"/>
      <c r="Z191" s="96"/>
      <c r="AA191" s="26"/>
      <c r="AB191" s="96"/>
      <c r="AC191" s="26"/>
    </row>
    <row r="192" spans="8:29" ht="12.75" x14ac:dyDescent="0.2">
      <c r="H192" s="26"/>
      <c r="I192" s="26"/>
      <c r="J192" s="26"/>
      <c r="Z192" s="96"/>
      <c r="AA192" s="26"/>
      <c r="AB192" s="96"/>
      <c r="AC192" s="26"/>
    </row>
    <row r="193" spans="8:29" ht="12.75" x14ac:dyDescent="0.2">
      <c r="H193" s="26"/>
      <c r="I193" s="26"/>
      <c r="J193" s="26"/>
      <c r="Z193" s="96"/>
      <c r="AA193" s="26"/>
      <c r="AB193" s="96"/>
      <c r="AC193" s="26"/>
    </row>
    <row r="194" spans="8:29" ht="12.75" x14ac:dyDescent="0.2">
      <c r="H194" s="26"/>
      <c r="I194" s="26"/>
      <c r="J194" s="26"/>
      <c r="Z194" s="96"/>
      <c r="AA194" s="26"/>
      <c r="AB194" s="96"/>
      <c r="AC194" s="26"/>
    </row>
    <row r="195" spans="8:29" ht="12.75" x14ac:dyDescent="0.2">
      <c r="H195" s="26"/>
      <c r="I195" s="26"/>
      <c r="J195" s="26"/>
      <c r="Z195" s="96"/>
      <c r="AA195" s="26"/>
      <c r="AB195" s="96"/>
      <c r="AC195" s="26"/>
    </row>
    <row r="196" spans="8:29" ht="12.75" x14ac:dyDescent="0.2">
      <c r="H196" s="26"/>
      <c r="I196" s="26"/>
      <c r="J196" s="26"/>
      <c r="Z196" s="96"/>
      <c r="AA196" s="26"/>
      <c r="AB196" s="96"/>
      <c r="AC196" s="26"/>
    </row>
    <row r="197" spans="8:29" ht="12.75" x14ac:dyDescent="0.2">
      <c r="H197" s="26"/>
      <c r="I197" s="26"/>
      <c r="J197" s="26"/>
      <c r="Z197" s="96"/>
      <c r="AA197" s="26"/>
      <c r="AB197" s="96"/>
      <c r="AC197" s="26"/>
    </row>
    <row r="198" spans="8:29" ht="12.75" x14ac:dyDescent="0.2">
      <c r="H198" s="26"/>
      <c r="I198" s="26"/>
      <c r="J198" s="26"/>
      <c r="Z198" s="96"/>
      <c r="AA198" s="26"/>
      <c r="AB198" s="96"/>
      <c r="AC198" s="26"/>
    </row>
    <row r="199" spans="8:29" ht="12.75" x14ac:dyDescent="0.2">
      <c r="H199" s="26"/>
      <c r="I199" s="26"/>
      <c r="J199" s="26"/>
      <c r="Z199" s="96"/>
      <c r="AA199" s="26"/>
      <c r="AB199" s="96"/>
      <c r="AC199" s="26"/>
    </row>
    <row r="200" spans="8:29" ht="12.75" x14ac:dyDescent="0.2">
      <c r="H200" s="26"/>
      <c r="I200" s="26"/>
      <c r="J200" s="26"/>
      <c r="Z200" s="96"/>
      <c r="AA200" s="26"/>
      <c r="AB200" s="96"/>
      <c r="AC200" s="26"/>
    </row>
    <row r="201" spans="8:29" ht="12.75" x14ac:dyDescent="0.2">
      <c r="H201" s="26"/>
      <c r="I201" s="26"/>
      <c r="J201" s="26"/>
      <c r="Z201" s="96"/>
      <c r="AA201" s="26"/>
      <c r="AB201" s="96"/>
      <c r="AC201" s="26"/>
    </row>
    <row r="202" spans="8:29" ht="12.75" x14ac:dyDescent="0.2">
      <c r="H202" s="26"/>
      <c r="I202" s="26"/>
      <c r="J202" s="26"/>
      <c r="Z202" s="96"/>
      <c r="AA202" s="26"/>
      <c r="AB202" s="96"/>
      <c r="AC202" s="26"/>
    </row>
    <row r="203" spans="8:29" ht="12.75" x14ac:dyDescent="0.2">
      <c r="H203" s="26"/>
      <c r="I203" s="26"/>
      <c r="J203" s="26"/>
      <c r="Z203" s="96"/>
      <c r="AA203" s="26"/>
      <c r="AB203" s="96"/>
      <c r="AC203" s="26"/>
    </row>
    <row r="204" spans="8:29" ht="12.75" x14ac:dyDescent="0.2">
      <c r="H204" s="26"/>
      <c r="I204" s="26"/>
      <c r="J204" s="26"/>
      <c r="Z204" s="96"/>
      <c r="AA204" s="26"/>
      <c r="AB204" s="96"/>
      <c r="AC204" s="26"/>
    </row>
    <row r="205" spans="8:29" ht="12.75" x14ac:dyDescent="0.2">
      <c r="H205" s="26"/>
      <c r="I205" s="26"/>
      <c r="J205" s="26"/>
      <c r="Z205" s="96"/>
      <c r="AA205" s="26"/>
      <c r="AB205" s="96"/>
      <c r="AC205" s="26"/>
    </row>
    <row r="206" spans="8:29" ht="12.75" x14ac:dyDescent="0.2">
      <c r="H206" s="26"/>
      <c r="I206" s="26"/>
      <c r="J206" s="26"/>
      <c r="Z206" s="96"/>
      <c r="AA206" s="26"/>
      <c r="AB206" s="96"/>
      <c r="AC206" s="26"/>
    </row>
    <row r="207" spans="8:29" ht="12.75" x14ac:dyDescent="0.2">
      <c r="H207" s="26"/>
      <c r="I207" s="26"/>
      <c r="J207" s="26"/>
      <c r="Z207" s="96"/>
      <c r="AA207" s="26"/>
      <c r="AB207" s="96"/>
      <c r="AC207" s="26"/>
    </row>
    <row r="208" spans="8:29" ht="12.75" x14ac:dyDescent="0.2">
      <c r="H208" s="26"/>
      <c r="I208" s="26"/>
      <c r="J208" s="26"/>
      <c r="Z208" s="96"/>
      <c r="AA208" s="26"/>
      <c r="AB208" s="96"/>
      <c r="AC208" s="26"/>
    </row>
    <row r="209" spans="8:29" ht="12.75" x14ac:dyDescent="0.2">
      <c r="H209" s="26"/>
      <c r="I209" s="26"/>
      <c r="J209" s="26"/>
      <c r="Z209" s="96"/>
      <c r="AA209" s="26"/>
      <c r="AB209" s="96"/>
      <c r="AC209" s="26"/>
    </row>
    <row r="210" spans="8:29" ht="12.75" x14ac:dyDescent="0.2">
      <c r="H210" s="26"/>
      <c r="I210" s="26"/>
      <c r="J210" s="26"/>
      <c r="Z210" s="96"/>
      <c r="AA210" s="26"/>
      <c r="AB210" s="96"/>
      <c r="AC210" s="26"/>
    </row>
    <row r="211" spans="8:29" ht="12.75" x14ac:dyDescent="0.2">
      <c r="H211" s="26"/>
      <c r="I211" s="26"/>
      <c r="J211" s="26"/>
      <c r="Z211" s="96"/>
      <c r="AA211" s="26"/>
      <c r="AB211" s="96"/>
      <c r="AC211" s="26"/>
    </row>
    <row r="212" spans="8:29" ht="12.75" x14ac:dyDescent="0.2">
      <c r="H212" s="26"/>
      <c r="I212" s="26"/>
      <c r="J212" s="26"/>
      <c r="Z212" s="96"/>
      <c r="AA212" s="26"/>
      <c r="AB212" s="96"/>
      <c r="AC212" s="26"/>
    </row>
    <row r="213" spans="8:29" ht="12.75" x14ac:dyDescent="0.2">
      <c r="H213" s="26"/>
      <c r="I213" s="26"/>
      <c r="J213" s="26"/>
      <c r="Z213" s="96"/>
      <c r="AA213" s="26"/>
      <c r="AB213" s="96"/>
      <c r="AC213" s="26"/>
    </row>
    <row r="214" spans="8:29" ht="12.75" x14ac:dyDescent="0.2">
      <c r="H214" s="26"/>
      <c r="I214" s="26"/>
      <c r="J214" s="26"/>
      <c r="Z214" s="96"/>
      <c r="AA214" s="26"/>
      <c r="AB214" s="96"/>
      <c r="AC214" s="26"/>
    </row>
    <row r="215" spans="8:29" ht="12.75" x14ac:dyDescent="0.2">
      <c r="H215" s="26"/>
      <c r="I215" s="26"/>
      <c r="J215" s="26"/>
      <c r="Z215" s="96"/>
      <c r="AA215" s="26"/>
      <c r="AB215" s="96"/>
      <c r="AC215" s="26"/>
    </row>
    <row r="216" spans="8:29" ht="12.75" x14ac:dyDescent="0.2">
      <c r="H216" s="26"/>
      <c r="I216" s="26"/>
      <c r="J216" s="26"/>
      <c r="Z216" s="96"/>
      <c r="AA216" s="26"/>
      <c r="AB216" s="96"/>
      <c r="AC216" s="26"/>
    </row>
    <row r="217" spans="8:29" ht="12.75" x14ac:dyDescent="0.2">
      <c r="H217" s="26"/>
      <c r="I217" s="26"/>
      <c r="J217" s="26"/>
      <c r="Z217" s="96"/>
      <c r="AA217" s="26"/>
      <c r="AB217" s="96"/>
      <c r="AC217" s="26"/>
    </row>
    <row r="218" spans="8:29" ht="12.75" x14ac:dyDescent="0.2">
      <c r="H218" s="26"/>
      <c r="I218" s="26"/>
      <c r="J218" s="26"/>
      <c r="Z218" s="96"/>
      <c r="AA218" s="26"/>
      <c r="AB218" s="96"/>
      <c r="AC218" s="26"/>
    </row>
    <row r="219" spans="8:29" ht="12.75" x14ac:dyDescent="0.2">
      <c r="H219" s="26"/>
      <c r="I219" s="26"/>
      <c r="J219" s="26"/>
      <c r="Z219" s="96"/>
      <c r="AA219" s="26"/>
      <c r="AB219" s="96"/>
      <c r="AC219" s="26"/>
    </row>
    <row r="220" spans="8:29" ht="12.75" x14ac:dyDescent="0.2">
      <c r="H220" s="26"/>
      <c r="I220" s="26"/>
      <c r="J220" s="26"/>
      <c r="Z220" s="96"/>
      <c r="AA220" s="26"/>
      <c r="AB220" s="96"/>
      <c r="AC220" s="26"/>
    </row>
    <row r="221" spans="8:29" ht="12.75" x14ac:dyDescent="0.2">
      <c r="H221" s="26"/>
      <c r="I221" s="26"/>
      <c r="J221" s="26"/>
      <c r="Z221" s="96"/>
      <c r="AA221" s="26"/>
      <c r="AB221" s="96"/>
      <c r="AC221" s="26"/>
    </row>
    <row r="222" spans="8:29" ht="12.75" x14ac:dyDescent="0.2">
      <c r="H222" s="26"/>
      <c r="I222" s="26"/>
      <c r="J222" s="26"/>
      <c r="Z222" s="96"/>
      <c r="AA222" s="26"/>
      <c r="AB222" s="96"/>
      <c r="AC222" s="26"/>
    </row>
    <row r="223" spans="8:29" ht="12.75" x14ac:dyDescent="0.2">
      <c r="H223" s="26"/>
      <c r="I223" s="26"/>
      <c r="J223" s="26"/>
      <c r="Z223" s="96"/>
      <c r="AA223" s="26"/>
      <c r="AB223" s="96"/>
      <c r="AC223" s="26"/>
    </row>
    <row r="224" spans="8:29" ht="12.75" x14ac:dyDescent="0.2">
      <c r="H224" s="26"/>
      <c r="I224" s="26"/>
      <c r="J224" s="26"/>
      <c r="Z224" s="96"/>
      <c r="AA224" s="26"/>
      <c r="AB224" s="96"/>
      <c r="AC224" s="26"/>
    </row>
    <row r="225" spans="8:29" ht="12.75" x14ac:dyDescent="0.2">
      <c r="H225" s="26"/>
      <c r="I225" s="26"/>
      <c r="J225" s="26"/>
      <c r="Z225" s="96"/>
      <c r="AA225" s="26"/>
      <c r="AB225" s="96"/>
      <c r="AC225" s="26"/>
    </row>
    <row r="226" spans="8:29" ht="12.75" x14ac:dyDescent="0.2">
      <c r="H226" s="26"/>
      <c r="I226" s="26"/>
      <c r="J226" s="26"/>
      <c r="Z226" s="96"/>
      <c r="AA226" s="26"/>
      <c r="AB226" s="96"/>
      <c r="AC226" s="26"/>
    </row>
    <row r="227" spans="8:29" ht="12.75" x14ac:dyDescent="0.2">
      <c r="H227" s="26"/>
      <c r="I227" s="26"/>
      <c r="J227" s="26"/>
      <c r="Z227" s="96"/>
      <c r="AA227" s="26"/>
      <c r="AB227" s="96"/>
      <c r="AC227" s="26"/>
    </row>
    <row r="228" spans="8:29" ht="12.75" x14ac:dyDescent="0.2">
      <c r="H228" s="26"/>
      <c r="I228" s="26"/>
      <c r="J228" s="26"/>
      <c r="Z228" s="96"/>
      <c r="AA228" s="26"/>
      <c r="AB228" s="96"/>
      <c r="AC228" s="26"/>
    </row>
    <row r="229" spans="8:29" ht="12.75" x14ac:dyDescent="0.2">
      <c r="H229" s="26"/>
      <c r="I229" s="26"/>
      <c r="J229" s="26"/>
      <c r="Z229" s="96"/>
      <c r="AA229" s="26"/>
      <c r="AB229" s="96"/>
      <c r="AC229" s="26"/>
    </row>
    <row r="230" spans="8:29" ht="12.75" x14ac:dyDescent="0.2">
      <c r="H230" s="26"/>
      <c r="I230" s="26"/>
      <c r="J230" s="26"/>
      <c r="Z230" s="96"/>
      <c r="AA230" s="26"/>
      <c r="AB230" s="96"/>
      <c r="AC230" s="26"/>
    </row>
    <row r="231" spans="8:29" ht="12.75" x14ac:dyDescent="0.2">
      <c r="H231" s="26"/>
      <c r="I231" s="26"/>
      <c r="J231" s="26"/>
      <c r="Z231" s="96"/>
      <c r="AA231" s="26"/>
      <c r="AB231" s="96"/>
      <c r="AC231" s="26"/>
    </row>
    <row r="232" spans="8:29" ht="12.75" x14ac:dyDescent="0.2">
      <c r="H232" s="26"/>
      <c r="I232" s="26"/>
      <c r="J232" s="26"/>
      <c r="Z232" s="96"/>
      <c r="AA232" s="26"/>
      <c r="AB232" s="96"/>
      <c r="AC232" s="26"/>
    </row>
    <row r="233" spans="8:29" ht="12.75" x14ac:dyDescent="0.2">
      <c r="H233" s="26"/>
      <c r="I233" s="26"/>
      <c r="J233" s="26"/>
      <c r="Z233" s="96"/>
      <c r="AA233" s="26"/>
      <c r="AB233" s="96"/>
      <c r="AC233" s="26"/>
    </row>
    <row r="234" spans="8:29" ht="12.75" x14ac:dyDescent="0.2">
      <c r="H234" s="26"/>
      <c r="I234" s="26"/>
      <c r="J234" s="26"/>
      <c r="Z234" s="96"/>
      <c r="AA234" s="26"/>
      <c r="AB234" s="96"/>
      <c r="AC234" s="26"/>
    </row>
    <row r="235" spans="8:29" ht="12.75" x14ac:dyDescent="0.2">
      <c r="H235" s="26"/>
      <c r="I235" s="26"/>
      <c r="J235" s="26"/>
      <c r="Z235" s="96"/>
      <c r="AA235" s="26"/>
      <c r="AB235" s="96"/>
      <c r="AC235" s="26"/>
    </row>
    <row r="236" spans="8:29" ht="12.75" x14ac:dyDescent="0.2">
      <c r="H236" s="26"/>
      <c r="I236" s="26"/>
      <c r="J236" s="26"/>
      <c r="Z236" s="96"/>
      <c r="AA236" s="26"/>
      <c r="AB236" s="96"/>
      <c r="AC236" s="26"/>
    </row>
    <row r="237" spans="8:29" ht="12.75" x14ac:dyDescent="0.2">
      <c r="H237" s="26"/>
      <c r="I237" s="26"/>
      <c r="J237" s="26"/>
      <c r="Z237" s="96"/>
      <c r="AA237" s="26"/>
      <c r="AB237" s="96"/>
      <c r="AC237" s="26"/>
    </row>
    <row r="238" spans="8:29" ht="12.75" x14ac:dyDescent="0.2">
      <c r="H238" s="26"/>
      <c r="I238" s="26"/>
      <c r="J238" s="26"/>
      <c r="Z238" s="96"/>
      <c r="AA238" s="26"/>
      <c r="AB238" s="96"/>
      <c r="AC238" s="26"/>
    </row>
    <row r="239" spans="8:29" ht="12.75" x14ac:dyDescent="0.2">
      <c r="H239" s="26"/>
      <c r="I239" s="26"/>
      <c r="J239" s="26"/>
      <c r="Z239" s="96"/>
      <c r="AA239" s="26"/>
      <c r="AB239" s="96"/>
      <c r="AC239" s="26"/>
    </row>
    <row r="240" spans="8:29" ht="12.75" x14ac:dyDescent="0.2">
      <c r="H240" s="26"/>
      <c r="I240" s="26"/>
      <c r="J240" s="26"/>
      <c r="Z240" s="96"/>
      <c r="AA240" s="26"/>
      <c r="AB240" s="96"/>
      <c r="AC240" s="26"/>
    </row>
    <row r="241" spans="8:29" ht="12.75" x14ac:dyDescent="0.2">
      <c r="H241" s="26"/>
      <c r="I241" s="26"/>
      <c r="J241" s="26"/>
      <c r="Z241" s="96"/>
      <c r="AA241" s="26"/>
      <c r="AB241" s="96"/>
      <c r="AC241" s="26"/>
    </row>
    <row r="242" spans="8:29" ht="12.75" x14ac:dyDescent="0.2">
      <c r="H242" s="26"/>
      <c r="I242" s="26"/>
      <c r="J242" s="26"/>
      <c r="Z242" s="96"/>
      <c r="AA242" s="26"/>
      <c r="AB242" s="96"/>
      <c r="AC242" s="26"/>
    </row>
    <row r="243" spans="8:29" ht="12.75" x14ac:dyDescent="0.2">
      <c r="H243" s="26"/>
      <c r="I243" s="26"/>
      <c r="J243" s="26"/>
      <c r="Z243" s="96"/>
      <c r="AA243" s="26"/>
      <c r="AB243" s="96"/>
      <c r="AC243" s="26"/>
    </row>
    <row r="244" spans="8:29" ht="12.75" x14ac:dyDescent="0.2">
      <c r="H244" s="26"/>
      <c r="I244" s="26"/>
      <c r="J244" s="26"/>
      <c r="Z244" s="96"/>
      <c r="AA244" s="26"/>
      <c r="AB244" s="96"/>
      <c r="AC244" s="26"/>
    </row>
    <row r="245" spans="8:29" ht="12.75" x14ac:dyDescent="0.2">
      <c r="H245" s="26"/>
      <c r="I245" s="26"/>
      <c r="J245" s="26"/>
      <c r="Z245" s="96"/>
      <c r="AA245" s="26"/>
      <c r="AB245" s="96"/>
      <c r="AC245" s="26"/>
    </row>
    <row r="246" spans="8:29" ht="12.75" x14ac:dyDescent="0.2">
      <c r="H246" s="26"/>
      <c r="I246" s="26"/>
      <c r="J246" s="26"/>
      <c r="Z246" s="96"/>
      <c r="AA246" s="26"/>
      <c r="AB246" s="96"/>
      <c r="AC246" s="26"/>
    </row>
    <row r="247" spans="8:29" ht="12.75" x14ac:dyDescent="0.2">
      <c r="H247" s="26"/>
      <c r="I247" s="26"/>
      <c r="J247" s="26"/>
      <c r="Z247" s="96"/>
      <c r="AA247" s="26"/>
      <c r="AB247" s="96"/>
      <c r="AC247" s="26"/>
    </row>
    <row r="248" spans="8:29" ht="12.75" x14ac:dyDescent="0.2">
      <c r="H248" s="26"/>
      <c r="I248" s="26"/>
      <c r="J248" s="26"/>
      <c r="Z248" s="96"/>
      <c r="AA248" s="26"/>
      <c r="AB248" s="96"/>
      <c r="AC248" s="26"/>
    </row>
    <row r="249" spans="8:29" ht="12.75" x14ac:dyDescent="0.2">
      <c r="H249" s="26"/>
      <c r="I249" s="26"/>
      <c r="J249" s="26"/>
      <c r="Z249" s="96"/>
      <c r="AA249" s="26"/>
      <c r="AB249" s="96"/>
      <c r="AC249" s="26"/>
    </row>
    <row r="250" spans="8:29" ht="12.75" x14ac:dyDescent="0.2">
      <c r="H250" s="26"/>
      <c r="I250" s="26"/>
      <c r="J250" s="26"/>
      <c r="Z250" s="96"/>
      <c r="AA250" s="26"/>
      <c r="AB250" s="96"/>
      <c r="AC250" s="26"/>
    </row>
    <row r="251" spans="8:29" ht="12.75" x14ac:dyDescent="0.2">
      <c r="H251" s="26"/>
      <c r="I251" s="26"/>
      <c r="J251" s="26"/>
      <c r="Z251" s="96"/>
      <c r="AA251" s="26"/>
      <c r="AB251" s="96"/>
      <c r="AC251" s="26"/>
    </row>
    <row r="252" spans="8:29" ht="12.75" x14ac:dyDescent="0.2">
      <c r="H252" s="26"/>
      <c r="I252" s="26"/>
      <c r="J252" s="26"/>
      <c r="Z252" s="96"/>
      <c r="AA252" s="26"/>
      <c r="AB252" s="96"/>
      <c r="AC252" s="26"/>
    </row>
    <row r="253" spans="8:29" ht="12.75" x14ac:dyDescent="0.2">
      <c r="H253" s="26"/>
      <c r="I253" s="26"/>
      <c r="J253" s="26"/>
      <c r="Z253" s="96"/>
      <c r="AA253" s="26"/>
      <c r="AB253" s="96"/>
      <c r="AC253" s="26"/>
    </row>
    <row r="254" spans="8:29" ht="12.75" x14ac:dyDescent="0.2">
      <c r="H254" s="26"/>
      <c r="I254" s="26"/>
      <c r="J254" s="26"/>
      <c r="Z254" s="96"/>
      <c r="AA254" s="26"/>
      <c r="AB254" s="96"/>
      <c r="AC254" s="26"/>
    </row>
    <row r="255" spans="8:29" ht="12.75" x14ac:dyDescent="0.2">
      <c r="H255" s="26"/>
      <c r="I255" s="26"/>
      <c r="J255" s="26"/>
      <c r="Z255" s="96"/>
      <c r="AA255" s="26"/>
      <c r="AB255" s="96"/>
      <c r="AC255" s="26"/>
    </row>
    <row r="256" spans="8:29" ht="12.75" x14ac:dyDescent="0.2">
      <c r="H256" s="26"/>
      <c r="I256" s="26"/>
      <c r="J256" s="26"/>
      <c r="Z256" s="96"/>
      <c r="AA256" s="26"/>
      <c r="AB256" s="96"/>
      <c r="AC256" s="26"/>
    </row>
    <row r="257" spans="8:29" ht="12.75" x14ac:dyDescent="0.2">
      <c r="H257" s="26"/>
      <c r="I257" s="26"/>
      <c r="J257" s="26"/>
      <c r="Z257" s="96"/>
      <c r="AA257" s="26"/>
      <c r="AB257" s="96"/>
      <c r="AC257" s="26"/>
    </row>
    <row r="258" spans="8:29" ht="12.75" x14ac:dyDescent="0.2">
      <c r="H258" s="26"/>
      <c r="I258" s="26"/>
      <c r="J258" s="26"/>
      <c r="Z258" s="96"/>
      <c r="AA258" s="26"/>
      <c r="AB258" s="96"/>
      <c r="AC258" s="26"/>
    </row>
    <row r="259" spans="8:29" ht="12.75" x14ac:dyDescent="0.2">
      <c r="H259" s="26"/>
      <c r="I259" s="26"/>
      <c r="J259" s="26"/>
      <c r="Z259" s="96"/>
      <c r="AA259" s="26"/>
      <c r="AB259" s="96"/>
      <c r="AC259" s="26"/>
    </row>
    <row r="260" spans="8:29" ht="12.75" x14ac:dyDescent="0.2">
      <c r="H260" s="26"/>
      <c r="I260" s="26"/>
      <c r="J260" s="26"/>
      <c r="Z260" s="96"/>
      <c r="AA260" s="26"/>
      <c r="AB260" s="96"/>
      <c r="AC260" s="26"/>
    </row>
    <row r="261" spans="8:29" ht="12.75" x14ac:dyDescent="0.2">
      <c r="H261" s="26"/>
      <c r="I261" s="26"/>
      <c r="J261" s="26"/>
      <c r="Z261" s="96"/>
      <c r="AA261" s="26"/>
      <c r="AB261" s="96"/>
      <c r="AC261" s="26"/>
    </row>
    <row r="262" spans="8:29" ht="12.75" x14ac:dyDescent="0.2">
      <c r="H262" s="26"/>
      <c r="I262" s="26"/>
      <c r="J262" s="26"/>
      <c r="Z262" s="96"/>
      <c r="AA262" s="26"/>
      <c r="AB262" s="96"/>
      <c r="AC262" s="26"/>
    </row>
    <row r="263" spans="8:29" ht="12.75" x14ac:dyDescent="0.2">
      <c r="H263" s="26"/>
      <c r="I263" s="26"/>
      <c r="J263" s="26"/>
      <c r="Z263" s="96"/>
      <c r="AA263" s="26"/>
      <c r="AB263" s="96"/>
      <c r="AC263" s="26"/>
    </row>
    <row r="264" spans="8:29" ht="12.75" x14ac:dyDescent="0.2">
      <c r="H264" s="26"/>
      <c r="I264" s="26"/>
      <c r="J264" s="26"/>
      <c r="Z264" s="96"/>
      <c r="AA264" s="26"/>
      <c r="AB264" s="96"/>
      <c r="AC264" s="26"/>
    </row>
    <row r="265" spans="8:29" ht="12.75" x14ac:dyDescent="0.2">
      <c r="H265" s="26"/>
      <c r="I265" s="26"/>
      <c r="J265" s="26"/>
      <c r="Z265" s="96"/>
      <c r="AA265" s="26"/>
      <c r="AB265" s="96"/>
      <c r="AC265" s="26"/>
    </row>
    <row r="266" spans="8:29" ht="12.75" x14ac:dyDescent="0.2">
      <c r="H266" s="26"/>
      <c r="I266" s="26"/>
      <c r="J266" s="26"/>
      <c r="Z266" s="96"/>
      <c r="AA266" s="26"/>
      <c r="AB266" s="96"/>
      <c r="AC266" s="26"/>
    </row>
    <row r="267" spans="8:29" ht="12.75" x14ac:dyDescent="0.2">
      <c r="H267" s="26"/>
      <c r="I267" s="26"/>
      <c r="J267" s="26"/>
      <c r="Z267" s="96"/>
      <c r="AA267" s="26"/>
      <c r="AB267" s="96"/>
      <c r="AC267" s="26"/>
    </row>
    <row r="268" spans="8:29" ht="12.75" x14ac:dyDescent="0.2">
      <c r="H268" s="26"/>
      <c r="I268" s="26"/>
      <c r="J268" s="26"/>
      <c r="Z268" s="96"/>
      <c r="AA268" s="26"/>
      <c r="AB268" s="96"/>
      <c r="AC268" s="26"/>
    </row>
    <row r="269" spans="8:29" ht="12.75" x14ac:dyDescent="0.2">
      <c r="H269" s="26"/>
      <c r="I269" s="26"/>
      <c r="J269" s="26"/>
      <c r="Z269" s="96"/>
      <c r="AA269" s="26"/>
      <c r="AB269" s="96"/>
      <c r="AC269" s="26"/>
    </row>
    <row r="270" spans="8:29" ht="12.75" x14ac:dyDescent="0.2">
      <c r="H270" s="26"/>
      <c r="I270" s="26"/>
      <c r="J270" s="26"/>
      <c r="Z270" s="96"/>
      <c r="AA270" s="26"/>
      <c r="AB270" s="96"/>
      <c r="AC270" s="26"/>
    </row>
    <row r="271" spans="8:29" ht="12.75" x14ac:dyDescent="0.2">
      <c r="H271" s="26"/>
      <c r="I271" s="26"/>
      <c r="J271" s="26"/>
      <c r="Z271" s="96"/>
      <c r="AA271" s="26"/>
      <c r="AB271" s="96"/>
      <c r="AC271" s="26"/>
    </row>
    <row r="272" spans="8:29" ht="12.75" x14ac:dyDescent="0.2">
      <c r="H272" s="26"/>
      <c r="I272" s="26"/>
      <c r="J272" s="26"/>
      <c r="Z272" s="96"/>
      <c r="AA272" s="26"/>
      <c r="AB272" s="96"/>
      <c r="AC272" s="26"/>
    </row>
    <row r="273" spans="8:29" ht="12.75" x14ac:dyDescent="0.2">
      <c r="H273" s="26"/>
      <c r="I273" s="26"/>
      <c r="J273" s="26"/>
      <c r="Z273" s="96"/>
      <c r="AA273" s="26"/>
      <c r="AB273" s="96"/>
      <c r="AC273" s="26"/>
    </row>
    <row r="274" spans="8:29" ht="12.75" x14ac:dyDescent="0.2">
      <c r="H274" s="26"/>
      <c r="I274" s="26"/>
      <c r="J274" s="26"/>
      <c r="Z274" s="96"/>
      <c r="AA274" s="26"/>
      <c r="AB274" s="96"/>
      <c r="AC274" s="26"/>
    </row>
    <row r="275" spans="8:29" ht="12.75" x14ac:dyDescent="0.2">
      <c r="H275" s="26"/>
      <c r="I275" s="26"/>
      <c r="J275" s="26"/>
      <c r="Z275" s="96"/>
      <c r="AA275" s="26"/>
      <c r="AB275" s="96"/>
      <c r="AC275" s="26"/>
    </row>
    <row r="276" spans="8:29" ht="12.75" x14ac:dyDescent="0.2">
      <c r="H276" s="26"/>
      <c r="I276" s="26"/>
      <c r="J276" s="26"/>
      <c r="Z276" s="96"/>
      <c r="AA276" s="26"/>
      <c r="AB276" s="96"/>
      <c r="AC276" s="26"/>
    </row>
    <row r="277" spans="8:29" ht="12.75" x14ac:dyDescent="0.2">
      <c r="H277" s="26"/>
      <c r="I277" s="26"/>
      <c r="J277" s="26"/>
      <c r="Z277" s="96"/>
      <c r="AA277" s="26"/>
      <c r="AB277" s="96"/>
      <c r="AC277" s="26"/>
    </row>
    <row r="278" spans="8:29" ht="12.75" x14ac:dyDescent="0.2">
      <c r="H278" s="26"/>
      <c r="I278" s="26"/>
      <c r="J278" s="26"/>
      <c r="Z278" s="96"/>
      <c r="AA278" s="26"/>
      <c r="AB278" s="96"/>
      <c r="AC278" s="26"/>
    </row>
    <row r="279" spans="8:29" ht="12.75" x14ac:dyDescent="0.2">
      <c r="H279" s="26"/>
      <c r="I279" s="26"/>
      <c r="J279" s="26"/>
      <c r="Z279" s="96"/>
      <c r="AA279" s="26"/>
      <c r="AB279" s="96"/>
      <c r="AC279" s="26"/>
    </row>
    <row r="280" spans="8:29" ht="12.75" x14ac:dyDescent="0.2">
      <c r="H280" s="26"/>
      <c r="I280" s="26"/>
      <c r="J280" s="26"/>
      <c r="Z280" s="96"/>
      <c r="AA280" s="26"/>
      <c r="AB280" s="96"/>
      <c r="AC280" s="26"/>
    </row>
    <row r="281" spans="8:29" ht="12.75" x14ac:dyDescent="0.2">
      <c r="H281" s="26"/>
      <c r="I281" s="26"/>
      <c r="J281" s="26"/>
      <c r="Z281" s="96"/>
      <c r="AA281" s="26"/>
      <c r="AB281" s="96"/>
      <c r="AC281" s="26"/>
    </row>
    <row r="282" spans="8:29" ht="12.75" x14ac:dyDescent="0.2">
      <c r="H282" s="26"/>
      <c r="I282" s="26"/>
      <c r="J282" s="26"/>
      <c r="Z282" s="96"/>
      <c r="AA282" s="26"/>
      <c r="AB282" s="96"/>
      <c r="AC282" s="26"/>
    </row>
    <row r="283" spans="8:29" ht="12.75" x14ac:dyDescent="0.2">
      <c r="H283" s="26"/>
      <c r="I283" s="26"/>
      <c r="J283" s="26"/>
      <c r="Z283" s="96"/>
      <c r="AA283" s="26"/>
      <c r="AB283" s="96"/>
      <c r="AC283" s="26"/>
    </row>
    <row r="284" spans="8:29" ht="12.75" x14ac:dyDescent="0.2">
      <c r="H284" s="26"/>
      <c r="I284" s="26"/>
      <c r="J284" s="26"/>
      <c r="Z284" s="96"/>
      <c r="AA284" s="26"/>
      <c r="AB284" s="96"/>
      <c r="AC284" s="26"/>
    </row>
    <row r="285" spans="8:29" ht="12.75" x14ac:dyDescent="0.2">
      <c r="H285" s="26"/>
      <c r="I285" s="26"/>
      <c r="J285" s="26"/>
      <c r="Z285" s="96"/>
      <c r="AA285" s="26"/>
      <c r="AB285" s="96"/>
      <c r="AC285" s="26"/>
    </row>
    <row r="286" spans="8:29" ht="12.75" x14ac:dyDescent="0.2">
      <c r="H286" s="26"/>
      <c r="I286" s="26"/>
      <c r="J286" s="26"/>
      <c r="Z286" s="96"/>
      <c r="AA286" s="26"/>
      <c r="AB286" s="96"/>
      <c r="AC286" s="26"/>
    </row>
    <row r="287" spans="8:29" ht="12.75" x14ac:dyDescent="0.2">
      <c r="H287" s="26"/>
      <c r="I287" s="26"/>
      <c r="J287" s="26"/>
      <c r="Z287" s="96"/>
      <c r="AA287" s="26"/>
      <c r="AB287" s="96"/>
      <c r="AC287" s="26"/>
    </row>
    <row r="288" spans="8:29" ht="12.75" x14ac:dyDescent="0.2">
      <c r="H288" s="26"/>
      <c r="I288" s="26"/>
      <c r="J288" s="26"/>
      <c r="Z288" s="96"/>
      <c r="AA288" s="26"/>
      <c r="AB288" s="96"/>
      <c r="AC288" s="26"/>
    </row>
    <row r="289" spans="8:29" ht="12.75" x14ac:dyDescent="0.2">
      <c r="H289" s="26"/>
      <c r="I289" s="26"/>
      <c r="J289" s="26"/>
      <c r="Z289" s="96"/>
      <c r="AA289" s="26"/>
      <c r="AB289" s="96"/>
      <c r="AC289" s="26"/>
    </row>
    <row r="290" spans="8:29" ht="12.75" x14ac:dyDescent="0.2">
      <c r="H290" s="26"/>
      <c r="I290" s="26"/>
      <c r="J290" s="26"/>
      <c r="Z290" s="96"/>
      <c r="AA290" s="26"/>
      <c r="AB290" s="96"/>
      <c r="AC290" s="26"/>
    </row>
    <row r="291" spans="8:29" ht="12.75" x14ac:dyDescent="0.2">
      <c r="H291" s="26"/>
      <c r="I291" s="26"/>
      <c r="J291" s="26"/>
      <c r="Z291" s="96"/>
      <c r="AA291" s="26"/>
      <c r="AB291" s="96"/>
      <c r="AC291" s="26"/>
    </row>
    <row r="292" spans="8:29" ht="12.75" x14ac:dyDescent="0.2">
      <c r="H292" s="26"/>
      <c r="I292" s="26"/>
      <c r="J292" s="26"/>
      <c r="Z292" s="96"/>
      <c r="AA292" s="26"/>
      <c r="AB292" s="96"/>
      <c r="AC292" s="26"/>
    </row>
    <row r="293" spans="8:29" ht="12.75" x14ac:dyDescent="0.2">
      <c r="H293" s="26"/>
      <c r="I293" s="26"/>
      <c r="J293" s="26"/>
      <c r="Z293" s="96"/>
      <c r="AA293" s="26"/>
      <c r="AB293" s="96"/>
      <c r="AC293" s="26"/>
    </row>
    <row r="294" spans="8:29" ht="12.75" x14ac:dyDescent="0.2">
      <c r="H294" s="26"/>
      <c r="I294" s="26"/>
      <c r="J294" s="26"/>
      <c r="Z294" s="96"/>
      <c r="AA294" s="26"/>
      <c r="AB294" s="96"/>
      <c r="AC294" s="26"/>
    </row>
    <row r="295" spans="8:29" ht="12.75" x14ac:dyDescent="0.2">
      <c r="H295" s="26"/>
      <c r="I295" s="26"/>
      <c r="J295" s="26"/>
      <c r="Z295" s="96"/>
      <c r="AA295" s="26"/>
      <c r="AB295" s="96"/>
      <c r="AC295" s="26"/>
    </row>
    <row r="296" spans="8:29" ht="12.75" x14ac:dyDescent="0.2">
      <c r="H296" s="26"/>
      <c r="I296" s="26"/>
      <c r="J296" s="26"/>
      <c r="Z296" s="96"/>
      <c r="AA296" s="26"/>
      <c r="AB296" s="96"/>
      <c r="AC296" s="26"/>
    </row>
    <row r="297" spans="8:29" ht="12.75" x14ac:dyDescent="0.2">
      <c r="H297" s="26"/>
      <c r="I297" s="26"/>
      <c r="J297" s="26"/>
      <c r="Z297" s="96"/>
      <c r="AA297" s="26"/>
      <c r="AB297" s="96"/>
      <c r="AC297" s="26"/>
    </row>
    <row r="298" spans="8:29" ht="12.75" x14ac:dyDescent="0.2">
      <c r="H298" s="26"/>
      <c r="I298" s="26"/>
      <c r="J298" s="26"/>
      <c r="Z298" s="96"/>
      <c r="AA298" s="26"/>
      <c r="AB298" s="96"/>
      <c r="AC298" s="26"/>
    </row>
    <row r="299" spans="8:29" ht="12.75" x14ac:dyDescent="0.2">
      <c r="H299" s="26"/>
      <c r="I299" s="26"/>
      <c r="J299" s="26"/>
      <c r="Z299" s="96"/>
      <c r="AA299" s="26"/>
      <c r="AB299" s="96"/>
      <c r="AC299" s="26"/>
    </row>
    <row r="300" spans="8:29" ht="12.75" x14ac:dyDescent="0.2">
      <c r="H300" s="26"/>
      <c r="I300" s="26"/>
      <c r="J300" s="26"/>
      <c r="Z300" s="96"/>
      <c r="AA300" s="26"/>
      <c r="AB300" s="96"/>
      <c r="AC300" s="26"/>
    </row>
    <row r="301" spans="8:29" ht="12.75" x14ac:dyDescent="0.2">
      <c r="H301" s="26"/>
      <c r="I301" s="26"/>
      <c r="J301" s="26"/>
      <c r="Z301" s="96"/>
      <c r="AA301" s="26"/>
      <c r="AB301" s="96"/>
      <c r="AC301" s="26"/>
    </row>
    <row r="302" spans="8:29" ht="12.75" x14ac:dyDescent="0.2">
      <c r="H302" s="26"/>
      <c r="I302" s="26"/>
      <c r="J302" s="26"/>
      <c r="Z302" s="96"/>
      <c r="AA302" s="26"/>
      <c r="AB302" s="96"/>
      <c r="AC302" s="26"/>
    </row>
    <row r="303" spans="8:29" ht="12.75" x14ac:dyDescent="0.2">
      <c r="H303" s="26"/>
      <c r="I303" s="26"/>
      <c r="J303" s="26"/>
      <c r="Z303" s="96"/>
      <c r="AA303" s="26"/>
      <c r="AB303" s="96"/>
      <c r="AC303" s="26"/>
    </row>
    <row r="304" spans="8:29" ht="12.75" x14ac:dyDescent="0.2">
      <c r="H304" s="26"/>
      <c r="I304" s="26"/>
      <c r="J304" s="26"/>
      <c r="Z304" s="96"/>
      <c r="AA304" s="26"/>
      <c r="AB304" s="96"/>
      <c r="AC304" s="26"/>
    </row>
    <row r="305" spans="8:29" ht="12.75" x14ac:dyDescent="0.2">
      <c r="H305" s="26"/>
      <c r="I305" s="26"/>
      <c r="J305" s="26"/>
      <c r="Z305" s="96"/>
      <c r="AA305" s="26"/>
      <c r="AB305" s="96"/>
      <c r="AC305" s="26"/>
    </row>
    <row r="306" spans="8:29" ht="12.75" x14ac:dyDescent="0.2">
      <c r="H306" s="26"/>
      <c r="I306" s="26"/>
      <c r="J306" s="26"/>
      <c r="Z306" s="96"/>
      <c r="AA306" s="26"/>
      <c r="AB306" s="96"/>
      <c r="AC306" s="26"/>
    </row>
    <row r="307" spans="8:29" ht="12.75" x14ac:dyDescent="0.2">
      <c r="H307" s="26"/>
      <c r="I307" s="26"/>
      <c r="J307" s="26"/>
      <c r="Z307" s="96"/>
      <c r="AA307" s="26"/>
      <c r="AB307" s="96"/>
      <c r="AC307" s="26"/>
    </row>
    <row r="308" spans="8:29" ht="12.75" x14ac:dyDescent="0.2">
      <c r="H308" s="26"/>
      <c r="I308" s="26"/>
      <c r="J308" s="26"/>
      <c r="Z308" s="96"/>
      <c r="AA308" s="26"/>
      <c r="AB308" s="96"/>
      <c r="AC308" s="26"/>
    </row>
    <row r="309" spans="8:29" ht="12.75" x14ac:dyDescent="0.2">
      <c r="H309" s="26"/>
      <c r="I309" s="26"/>
      <c r="J309" s="26"/>
      <c r="Z309" s="96"/>
      <c r="AA309" s="26"/>
      <c r="AB309" s="96"/>
      <c r="AC309" s="26"/>
    </row>
    <row r="310" spans="8:29" ht="12.75" x14ac:dyDescent="0.2">
      <c r="H310" s="26"/>
      <c r="I310" s="26"/>
      <c r="J310" s="26"/>
      <c r="Z310" s="96"/>
      <c r="AA310" s="26"/>
      <c r="AB310" s="96"/>
      <c r="AC310" s="26"/>
    </row>
    <row r="311" spans="8:29" ht="12.75" x14ac:dyDescent="0.2">
      <c r="H311" s="26"/>
      <c r="I311" s="26"/>
      <c r="J311" s="26"/>
      <c r="Z311" s="96"/>
      <c r="AA311" s="26"/>
      <c r="AB311" s="96"/>
      <c r="AC311" s="26"/>
    </row>
    <row r="312" spans="8:29" ht="12.75" x14ac:dyDescent="0.2">
      <c r="H312" s="26"/>
      <c r="I312" s="26"/>
      <c r="J312" s="26"/>
      <c r="Z312" s="96"/>
      <c r="AA312" s="26"/>
      <c r="AB312" s="96"/>
      <c r="AC312" s="26"/>
    </row>
    <row r="313" spans="8:29" ht="12.75" x14ac:dyDescent="0.2">
      <c r="H313" s="26"/>
      <c r="I313" s="26"/>
      <c r="J313" s="26"/>
      <c r="Z313" s="96"/>
      <c r="AA313" s="26"/>
      <c r="AB313" s="96"/>
      <c r="AC313" s="26"/>
    </row>
    <row r="314" spans="8:29" ht="12.75" x14ac:dyDescent="0.2">
      <c r="H314" s="26"/>
      <c r="I314" s="26"/>
      <c r="J314" s="26"/>
      <c r="Z314" s="96"/>
      <c r="AA314" s="26"/>
      <c r="AB314" s="96"/>
      <c r="AC314" s="26"/>
    </row>
    <row r="315" spans="8:29" ht="12.75" x14ac:dyDescent="0.2">
      <c r="H315" s="26"/>
      <c r="I315" s="26"/>
      <c r="J315" s="26"/>
      <c r="Z315" s="96"/>
      <c r="AA315" s="26"/>
      <c r="AB315" s="96"/>
      <c r="AC315" s="26"/>
    </row>
    <row r="316" spans="8:29" ht="12.75" x14ac:dyDescent="0.2">
      <c r="H316" s="26"/>
      <c r="I316" s="26"/>
      <c r="J316" s="26"/>
      <c r="Z316" s="96"/>
      <c r="AA316" s="26"/>
      <c r="AB316" s="96"/>
      <c r="AC316" s="26"/>
    </row>
    <row r="317" spans="8:29" ht="12.75" x14ac:dyDescent="0.2">
      <c r="H317" s="26"/>
      <c r="I317" s="26"/>
      <c r="J317" s="26"/>
      <c r="Z317" s="96"/>
      <c r="AA317" s="26"/>
      <c r="AB317" s="96"/>
      <c r="AC317" s="26"/>
    </row>
    <row r="318" spans="8:29" ht="12.75" x14ac:dyDescent="0.2">
      <c r="H318" s="26"/>
      <c r="I318" s="26"/>
      <c r="J318" s="26"/>
      <c r="Z318" s="96"/>
      <c r="AA318" s="26"/>
      <c r="AB318" s="96"/>
      <c r="AC318" s="26"/>
    </row>
    <row r="319" spans="8:29" ht="12.75" x14ac:dyDescent="0.2">
      <c r="H319" s="26"/>
      <c r="I319" s="26"/>
      <c r="J319" s="26"/>
      <c r="Z319" s="96"/>
      <c r="AA319" s="26"/>
      <c r="AB319" s="96"/>
      <c r="AC319" s="26"/>
    </row>
    <row r="320" spans="8:29" ht="12.75" x14ac:dyDescent="0.2">
      <c r="H320" s="26"/>
      <c r="I320" s="26"/>
      <c r="J320" s="26"/>
      <c r="Z320" s="96"/>
      <c r="AA320" s="26"/>
      <c r="AB320" s="96"/>
      <c r="AC320" s="26"/>
    </row>
    <row r="321" spans="8:29" ht="12.75" x14ac:dyDescent="0.2">
      <c r="H321" s="26"/>
      <c r="I321" s="26"/>
      <c r="J321" s="26"/>
      <c r="Z321" s="96"/>
      <c r="AA321" s="26"/>
      <c r="AB321" s="96"/>
      <c r="AC321" s="26"/>
    </row>
    <row r="322" spans="8:29" ht="12.75" x14ac:dyDescent="0.2">
      <c r="H322" s="26"/>
      <c r="I322" s="26"/>
      <c r="J322" s="26"/>
      <c r="Z322" s="96"/>
      <c r="AA322" s="26"/>
      <c r="AB322" s="96"/>
      <c r="AC322" s="26"/>
    </row>
    <row r="323" spans="8:29" ht="12.75" x14ac:dyDescent="0.2">
      <c r="H323" s="26"/>
      <c r="I323" s="26"/>
      <c r="J323" s="26"/>
      <c r="Z323" s="96"/>
      <c r="AA323" s="26"/>
      <c r="AB323" s="96"/>
      <c r="AC323" s="26"/>
    </row>
    <row r="324" spans="8:29" ht="12.75" x14ac:dyDescent="0.2">
      <c r="H324" s="26"/>
      <c r="I324" s="26"/>
      <c r="J324" s="26"/>
      <c r="Z324" s="96"/>
      <c r="AA324" s="26"/>
      <c r="AB324" s="96"/>
      <c r="AC324" s="26"/>
    </row>
    <row r="325" spans="8:29" ht="12.75" x14ac:dyDescent="0.2">
      <c r="H325" s="26"/>
      <c r="I325" s="26"/>
      <c r="J325" s="26"/>
      <c r="Z325" s="96"/>
      <c r="AA325" s="26"/>
      <c r="AB325" s="96"/>
      <c r="AC325" s="26"/>
    </row>
    <row r="326" spans="8:29" ht="12.75" x14ac:dyDescent="0.2">
      <c r="H326" s="26"/>
      <c r="I326" s="26"/>
      <c r="J326" s="26"/>
      <c r="Z326" s="96"/>
      <c r="AA326" s="26"/>
      <c r="AB326" s="96"/>
      <c r="AC326" s="26"/>
    </row>
    <row r="327" spans="8:29" ht="12.75" x14ac:dyDescent="0.2">
      <c r="H327" s="26"/>
      <c r="I327" s="26"/>
      <c r="J327" s="26"/>
      <c r="Z327" s="96"/>
      <c r="AA327" s="26"/>
      <c r="AB327" s="96"/>
      <c r="AC327" s="26"/>
    </row>
    <row r="328" spans="8:29" ht="12.75" x14ac:dyDescent="0.2">
      <c r="H328" s="26"/>
      <c r="I328" s="26"/>
      <c r="J328" s="26"/>
      <c r="Z328" s="96"/>
      <c r="AA328" s="26"/>
      <c r="AB328" s="96"/>
      <c r="AC328" s="26"/>
    </row>
    <row r="329" spans="8:29" ht="12.75" x14ac:dyDescent="0.2">
      <c r="H329" s="26"/>
      <c r="I329" s="26"/>
      <c r="J329" s="26"/>
      <c r="Z329" s="96"/>
      <c r="AA329" s="26"/>
      <c r="AB329" s="96"/>
      <c r="AC329" s="26"/>
    </row>
    <row r="330" spans="8:29" ht="12.75" x14ac:dyDescent="0.2">
      <c r="H330" s="26"/>
      <c r="I330" s="26"/>
      <c r="J330" s="26"/>
      <c r="Z330" s="96"/>
      <c r="AA330" s="26"/>
      <c r="AB330" s="96"/>
      <c r="AC330" s="26"/>
    </row>
    <row r="331" spans="8:29" ht="12.75" x14ac:dyDescent="0.2">
      <c r="H331" s="26"/>
      <c r="I331" s="26"/>
      <c r="J331" s="26"/>
      <c r="Z331" s="96"/>
      <c r="AA331" s="26"/>
      <c r="AB331" s="96"/>
      <c r="AC331" s="26"/>
    </row>
    <row r="332" spans="8:29" ht="12.75" x14ac:dyDescent="0.2">
      <c r="H332" s="26"/>
      <c r="I332" s="26"/>
      <c r="J332" s="26"/>
      <c r="Z332" s="96"/>
      <c r="AA332" s="26"/>
      <c r="AB332" s="96"/>
      <c r="AC332" s="26"/>
    </row>
    <row r="333" spans="8:29" ht="12.75" x14ac:dyDescent="0.2">
      <c r="H333" s="26"/>
      <c r="I333" s="26"/>
      <c r="J333" s="26"/>
      <c r="Z333" s="96"/>
      <c r="AA333" s="26"/>
      <c r="AB333" s="96"/>
      <c r="AC333" s="26"/>
    </row>
    <row r="334" spans="8:29" ht="12.75" x14ac:dyDescent="0.2">
      <c r="H334" s="26"/>
      <c r="I334" s="26"/>
      <c r="J334" s="26"/>
      <c r="Z334" s="96"/>
      <c r="AA334" s="26"/>
      <c r="AB334" s="96"/>
      <c r="AC334" s="26"/>
    </row>
    <row r="335" spans="8:29" ht="12.75" x14ac:dyDescent="0.2">
      <c r="H335" s="26"/>
      <c r="I335" s="26"/>
      <c r="J335" s="26"/>
      <c r="Z335" s="96"/>
      <c r="AA335" s="26"/>
      <c r="AB335" s="96"/>
      <c r="AC335" s="26"/>
    </row>
    <row r="336" spans="8:29" ht="12.75" x14ac:dyDescent="0.2">
      <c r="H336" s="26"/>
      <c r="I336" s="26"/>
      <c r="J336" s="26"/>
      <c r="Z336" s="96"/>
      <c r="AA336" s="26"/>
      <c r="AB336" s="96"/>
      <c r="AC336" s="26"/>
    </row>
    <row r="337" spans="8:29" ht="12.75" x14ac:dyDescent="0.2">
      <c r="H337" s="26"/>
      <c r="I337" s="26"/>
      <c r="J337" s="26"/>
      <c r="Z337" s="96"/>
      <c r="AA337" s="26"/>
      <c r="AB337" s="96"/>
      <c r="AC337" s="26"/>
    </row>
    <row r="338" spans="8:29" ht="12.75" x14ac:dyDescent="0.2">
      <c r="H338" s="26"/>
      <c r="I338" s="26"/>
      <c r="J338" s="26"/>
      <c r="Z338" s="96"/>
      <c r="AA338" s="26"/>
      <c r="AB338" s="96"/>
      <c r="AC338" s="26"/>
    </row>
    <row r="339" spans="8:29" ht="12.75" x14ac:dyDescent="0.2">
      <c r="H339" s="26"/>
      <c r="I339" s="26"/>
      <c r="J339" s="26"/>
      <c r="Z339" s="96"/>
      <c r="AA339" s="26"/>
      <c r="AB339" s="96"/>
      <c r="AC339" s="26"/>
    </row>
    <row r="340" spans="8:29" ht="12.75" x14ac:dyDescent="0.2">
      <c r="H340" s="26"/>
      <c r="I340" s="26"/>
      <c r="J340" s="26"/>
      <c r="Z340" s="96"/>
      <c r="AA340" s="26"/>
      <c r="AB340" s="96"/>
      <c r="AC340" s="26"/>
    </row>
    <row r="341" spans="8:29" ht="12.75" x14ac:dyDescent="0.2">
      <c r="H341" s="26"/>
      <c r="I341" s="26"/>
      <c r="J341" s="26"/>
      <c r="Z341" s="96"/>
      <c r="AA341" s="26"/>
      <c r="AB341" s="96"/>
      <c r="AC341" s="26"/>
    </row>
    <row r="342" spans="8:29" ht="12.75" x14ac:dyDescent="0.2">
      <c r="H342" s="26"/>
      <c r="I342" s="26"/>
      <c r="J342" s="26"/>
      <c r="Z342" s="96"/>
      <c r="AA342" s="26"/>
      <c r="AB342" s="96"/>
      <c r="AC342" s="26"/>
    </row>
    <row r="343" spans="8:29" ht="12.75" x14ac:dyDescent="0.2">
      <c r="H343" s="26"/>
      <c r="I343" s="26"/>
      <c r="J343" s="26"/>
      <c r="Z343" s="96"/>
      <c r="AA343" s="26"/>
      <c r="AB343" s="96"/>
      <c r="AC343" s="26"/>
    </row>
    <row r="344" spans="8:29" ht="12.75" x14ac:dyDescent="0.2">
      <c r="H344" s="26"/>
      <c r="I344" s="26"/>
      <c r="J344" s="26"/>
      <c r="Z344" s="96"/>
      <c r="AA344" s="26"/>
      <c r="AB344" s="96"/>
      <c r="AC344" s="26"/>
    </row>
    <row r="345" spans="8:29" ht="12.75" x14ac:dyDescent="0.2">
      <c r="H345" s="26"/>
      <c r="I345" s="26"/>
      <c r="J345" s="26"/>
      <c r="Z345" s="96"/>
      <c r="AA345" s="26"/>
      <c r="AB345" s="96"/>
      <c r="AC345" s="26"/>
    </row>
    <row r="346" spans="8:29" ht="12.75" x14ac:dyDescent="0.2">
      <c r="H346" s="26"/>
      <c r="I346" s="26"/>
      <c r="J346" s="26"/>
      <c r="Z346" s="96"/>
      <c r="AA346" s="26"/>
      <c r="AB346" s="96"/>
      <c r="AC346" s="26"/>
    </row>
    <row r="347" spans="8:29" ht="12.75" x14ac:dyDescent="0.2">
      <c r="H347" s="26"/>
      <c r="I347" s="26"/>
      <c r="J347" s="26"/>
      <c r="Z347" s="96"/>
      <c r="AA347" s="26"/>
      <c r="AB347" s="96"/>
      <c r="AC347" s="26"/>
    </row>
    <row r="348" spans="8:29" ht="12.75" x14ac:dyDescent="0.2">
      <c r="H348" s="26"/>
      <c r="I348" s="26"/>
      <c r="J348" s="26"/>
      <c r="Z348" s="96"/>
      <c r="AA348" s="26"/>
      <c r="AB348" s="96"/>
      <c r="AC348" s="26"/>
    </row>
    <row r="349" spans="8:29" ht="12.75" x14ac:dyDescent="0.2">
      <c r="H349" s="26"/>
      <c r="I349" s="26"/>
      <c r="J349" s="26"/>
      <c r="Z349" s="96"/>
      <c r="AA349" s="26"/>
      <c r="AB349" s="96"/>
      <c r="AC349" s="26"/>
    </row>
    <row r="350" spans="8:29" ht="12.75" x14ac:dyDescent="0.2">
      <c r="H350" s="26"/>
      <c r="I350" s="26"/>
      <c r="J350" s="26"/>
      <c r="Z350" s="96"/>
      <c r="AA350" s="26"/>
      <c r="AB350" s="96"/>
      <c r="AC350" s="26"/>
    </row>
    <row r="351" spans="8:29" ht="12.75" x14ac:dyDescent="0.2">
      <c r="H351" s="26"/>
      <c r="I351" s="26"/>
      <c r="J351" s="26"/>
      <c r="Z351" s="96"/>
      <c r="AA351" s="26"/>
      <c r="AB351" s="96"/>
      <c r="AC351" s="26"/>
    </row>
    <row r="352" spans="8:29" ht="12.75" x14ac:dyDescent="0.2">
      <c r="H352" s="26"/>
      <c r="I352" s="26"/>
      <c r="J352" s="26"/>
      <c r="Z352" s="96"/>
      <c r="AA352" s="26"/>
      <c r="AB352" s="96"/>
      <c r="AC352" s="26"/>
    </row>
    <row r="353" spans="8:29" ht="12.75" x14ac:dyDescent="0.2">
      <c r="H353" s="26"/>
      <c r="I353" s="26"/>
      <c r="J353" s="26"/>
      <c r="Z353" s="96"/>
      <c r="AA353" s="26"/>
      <c r="AB353" s="96"/>
      <c r="AC353" s="26"/>
    </row>
    <row r="354" spans="8:29" ht="12.75" x14ac:dyDescent="0.2">
      <c r="H354" s="26"/>
      <c r="I354" s="26"/>
      <c r="J354" s="26"/>
      <c r="Z354" s="96"/>
      <c r="AA354" s="26"/>
      <c r="AB354" s="96"/>
      <c r="AC354" s="26"/>
    </row>
    <row r="355" spans="8:29" ht="12.75" x14ac:dyDescent="0.2">
      <c r="H355" s="26"/>
      <c r="I355" s="26"/>
      <c r="J355" s="26"/>
      <c r="Z355" s="96"/>
      <c r="AA355" s="26"/>
      <c r="AB355" s="96"/>
      <c r="AC355" s="26"/>
    </row>
    <row r="356" spans="8:29" ht="12.75" x14ac:dyDescent="0.2">
      <c r="H356" s="26"/>
      <c r="I356" s="26"/>
      <c r="J356" s="26"/>
      <c r="Z356" s="96"/>
      <c r="AA356" s="26"/>
      <c r="AB356" s="96"/>
      <c r="AC356" s="26"/>
    </row>
    <row r="357" spans="8:29" ht="12.75" x14ac:dyDescent="0.2">
      <c r="H357" s="26"/>
      <c r="I357" s="26"/>
      <c r="J357" s="26"/>
      <c r="Z357" s="96"/>
      <c r="AA357" s="26"/>
      <c r="AB357" s="96"/>
      <c r="AC357" s="26"/>
    </row>
    <row r="358" spans="8:29" ht="12.75" x14ac:dyDescent="0.2">
      <c r="H358" s="26"/>
      <c r="I358" s="26"/>
      <c r="J358" s="26"/>
      <c r="Z358" s="96"/>
      <c r="AA358" s="26"/>
      <c r="AB358" s="96"/>
      <c r="AC358" s="26"/>
    </row>
    <row r="359" spans="8:29" ht="12.75" x14ac:dyDescent="0.2">
      <c r="H359" s="26"/>
      <c r="I359" s="26"/>
      <c r="J359" s="26"/>
      <c r="Z359" s="96"/>
      <c r="AA359" s="26"/>
      <c r="AB359" s="96"/>
      <c r="AC359" s="26"/>
    </row>
    <row r="360" spans="8:29" ht="12.75" x14ac:dyDescent="0.2">
      <c r="H360" s="26"/>
      <c r="I360" s="26"/>
      <c r="J360" s="26"/>
      <c r="Z360" s="96"/>
      <c r="AA360" s="26"/>
      <c r="AB360" s="96"/>
      <c r="AC360" s="26"/>
    </row>
    <row r="361" spans="8:29" ht="12.75" x14ac:dyDescent="0.2">
      <c r="H361" s="26"/>
      <c r="I361" s="26"/>
      <c r="J361" s="26"/>
      <c r="Z361" s="96"/>
      <c r="AA361" s="26"/>
      <c r="AB361" s="96"/>
      <c r="AC361" s="26"/>
    </row>
    <row r="362" spans="8:29" ht="12.75" x14ac:dyDescent="0.2">
      <c r="H362" s="26"/>
      <c r="I362" s="26"/>
      <c r="J362" s="26"/>
      <c r="Z362" s="96"/>
      <c r="AA362" s="26"/>
      <c r="AB362" s="96"/>
      <c r="AC362" s="26"/>
    </row>
    <row r="363" spans="8:29" ht="12.75" x14ac:dyDescent="0.2">
      <c r="H363" s="26"/>
      <c r="I363" s="26"/>
      <c r="J363" s="26"/>
      <c r="Z363" s="96"/>
      <c r="AA363" s="26"/>
      <c r="AB363" s="96"/>
      <c r="AC363" s="26"/>
    </row>
    <row r="364" spans="8:29" ht="12.75" x14ac:dyDescent="0.2">
      <c r="H364" s="26"/>
      <c r="I364" s="26"/>
      <c r="J364" s="26"/>
      <c r="Z364" s="96"/>
      <c r="AA364" s="26"/>
      <c r="AB364" s="96"/>
      <c r="AC364" s="26"/>
    </row>
    <row r="365" spans="8:29" ht="12.75" x14ac:dyDescent="0.2">
      <c r="H365" s="26"/>
      <c r="I365" s="26"/>
      <c r="J365" s="26"/>
      <c r="Z365" s="96"/>
      <c r="AA365" s="26"/>
      <c r="AB365" s="96"/>
      <c r="AC365" s="26"/>
    </row>
    <row r="366" spans="8:29" ht="12.75" x14ac:dyDescent="0.2">
      <c r="H366" s="26"/>
      <c r="I366" s="26"/>
      <c r="J366" s="26"/>
      <c r="Z366" s="96"/>
      <c r="AA366" s="26"/>
      <c r="AB366" s="96"/>
      <c r="AC366" s="26"/>
    </row>
    <row r="367" spans="8:29" ht="12.75" x14ac:dyDescent="0.2">
      <c r="H367" s="26"/>
      <c r="I367" s="26"/>
      <c r="J367" s="26"/>
      <c r="Z367" s="96"/>
      <c r="AA367" s="26"/>
      <c r="AB367" s="96"/>
      <c r="AC367" s="26"/>
    </row>
    <row r="368" spans="8:29" ht="12.75" x14ac:dyDescent="0.2">
      <c r="H368" s="26"/>
      <c r="I368" s="26"/>
      <c r="J368" s="26"/>
      <c r="Z368" s="96"/>
      <c r="AA368" s="26"/>
      <c r="AB368" s="96"/>
      <c r="AC368" s="26"/>
    </row>
    <row r="369" spans="8:29" ht="12.75" x14ac:dyDescent="0.2">
      <c r="H369" s="26"/>
      <c r="I369" s="26"/>
      <c r="J369" s="26"/>
      <c r="Z369" s="96"/>
      <c r="AA369" s="26"/>
      <c r="AB369" s="96"/>
      <c r="AC369" s="26"/>
    </row>
    <row r="370" spans="8:29" ht="12.75" x14ac:dyDescent="0.2">
      <c r="H370" s="26"/>
      <c r="I370" s="26"/>
      <c r="J370" s="26"/>
      <c r="Z370" s="96"/>
      <c r="AA370" s="26"/>
      <c r="AB370" s="96"/>
      <c r="AC370" s="26"/>
    </row>
    <row r="371" spans="8:29" ht="12.75" x14ac:dyDescent="0.2">
      <c r="H371" s="26"/>
      <c r="I371" s="26"/>
      <c r="J371" s="26"/>
      <c r="Z371" s="96"/>
      <c r="AA371" s="26"/>
      <c r="AB371" s="96"/>
      <c r="AC371" s="26"/>
    </row>
    <row r="372" spans="8:29" ht="12.75" x14ac:dyDescent="0.2">
      <c r="H372" s="26"/>
      <c r="I372" s="26"/>
      <c r="J372" s="26"/>
      <c r="Z372" s="96"/>
      <c r="AA372" s="26"/>
      <c r="AB372" s="96"/>
      <c r="AC372" s="26"/>
    </row>
    <row r="373" spans="8:29" ht="12.75" x14ac:dyDescent="0.2">
      <c r="H373" s="26"/>
      <c r="I373" s="26"/>
      <c r="J373" s="26"/>
      <c r="Z373" s="96"/>
      <c r="AA373" s="26"/>
      <c r="AB373" s="96"/>
      <c r="AC373" s="26"/>
    </row>
    <row r="374" spans="8:29" ht="12.75" x14ac:dyDescent="0.2">
      <c r="H374" s="26"/>
      <c r="I374" s="26"/>
      <c r="J374" s="26"/>
      <c r="Z374" s="96"/>
      <c r="AA374" s="26"/>
      <c r="AB374" s="96"/>
      <c r="AC374" s="26"/>
    </row>
    <row r="375" spans="8:29" ht="12.75" x14ac:dyDescent="0.2">
      <c r="H375" s="26"/>
      <c r="I375" s="26"/>
      <c r="J375" s="26"/>
      <c r="Z375" s="96"/>
      <c r="AA375" s="26"/>
      <c r="AB375" s="96"/>
      <c r="AC375" s="26"/>
    </row>
    <row r="376" spans="8:29" ht="12.75" x14ac:dyDescent="0.2">
      <c r="H376" s="26"/>
      <c r="I376" s="26"/>
      <c r="J376" s="26"/>
      <c r="Z376" s="96"/>
      <c r="AA376" s="26"/>
      <c r="AB376" s="96"/>
      <c r="AC376" s="26"/>
    </row>
    <row r="377" spans="8:29" ht="12.75" x14ac:dyDescent="0.2">
      <c r="H377" s="26"/>
      <c r="I377" s="26"/>
      <c r="J377" s="26"/>
      <c r="Z377" s="96"/>
      <c r="AA377" s="26"/>
      <c r="AB377" s="96"/>
      <c r="AC377" s="26"/>
    </row>
    <row r="378" spans="8:29" ht="12.75" x14ac:dyDescent="0.2">
      <c r="H378" s="26"/>
      <c r="I378" s="26"/>
      <c r="J378" s="26"/>
      <c r="Z378" s="96"/>
      <c r="AA378" s="26"/>
      <c r="AB378" s="96"/>
      <c r="AC378" s="26"/>
    </row>
    <row r="379" spans="8:29" ht="12.75" x14ac:dyDescent="0.2">
      <c r="H379" s="26"/>
      <c r="I379" s="26"/>
      <c r="J379" s="26"/>
      <c r="Z379" s="96"/>
      <c r="AA379" s="26"/>
      <c r="AB379" s="96"/>
      <c r="AC379" s="26"/>
    </row>
    <row r="380" spans="8:29" ht="12.75" x14ac:dyDescent="0.2">
      <c r="H380" s="26"/>
      <c r="I380" s="26"/>
      <c r="J380" s="26"/>
      <c r="Z380" s="96"/>
      <c r="AA380" s="26"/>
      <c r="AB380" s="96"/>
      <c r="AC380" s="26"/>
    </row>
    <row r="381" spans="8:29" ht="12.75" x14ac:dyDescent="0.2">
      <c r="H381" s="26"/>
      <c r="I381" s="26"/>
      <c r="J381" s="26"/>
      <c r="Z381" s="96"/>
      <c r="AA381" s="26"/>
      <c r="AB381" s="96"/>
      <c r="AC381" s="26"/>
    </row>
    <row r="382" spans="8:29" ht="12.75" x14ac:dyDescent="0.2">
      <c r="H382" s="26"/>
      <c r="I382" s="26"/>
      <c r="J382" s="26"/>
      <c r="Z382" s="96"/>
      <c r="AA382" s="26"/>
      <c r="AB382" s="96"/>
      <c r="AC382" s="26"/>
    </row>
    <row r="383" spans="8:29" ht="12.75" x14ac:dyDescent="0.2">
      <c r="H383" s="26"/>
      <c r="I383" s="26"/>
      <c r="J383" s="26"/>
      <c r="Z383" s="96"/>
      <c r="AA383" s="26"/>
      <c r="AB383" s="96"/>
      <c r="AC383" s="26"/>
    </row>
    <row r="384" spans="8:29" ht="12.75" x14ac:dyDescent="0.2">
      <c r="H384" s="26"/>
      <c r="I384" s="26"/>
      <c r="J384" s="26"/>
      <c r="Z384" s="96"/>
      <c r="AA384" s="26"/>
      <c r="AB384" s="96"/>
      <c r="AC384" s="26"/>
    </row>
    <row r="385" spans="8:29" ht="12.75" x14ac:dyDescent="0.2">
      <c r="H385" s="26"/>
      <c r="I385" s="26"/>
      <c r="J385" s="26"/>
      <c r="Z385" s="96"/>
      <c r="AA385" s="26"/>
      <c r="AB385" s="96"/>
      <c r="AC385" s="26"/>
    </row>
    <row r="386" spans="8:29" ht="12.75" x14ac:dyDescent="0.2">
      <c r="H386" s="26"/>
      <c r="I386" s="26"/>
      <c r="J386" s="26"/>
      <c r="Z386" s="96"/>
      <c r="AA386" s="26"/>
      <c r="AB386" s="96"/>
      <c r="AC386" s="26"/>
    </row>
    <row r="387" spans="8:29" ht="12.75" x14ac:dyDescent="0.2">
      <c r="H387" s="26"/>
      <c r="I387" s="26"/>
      <c r="J387" s="26"/>
      <c r="Z387" s="96"/>
      <c r="AA387" s="26"/>
      <c r="AB387" s="96"/>
      <c r="AC387" s="26"/>
    </row>
    <row r="388" spans="8:29" ht="12.75" x14ac:dyDescent="0.2">
      <c r="H388" s="26"/>
      <c r="I388" s="26"/>
      <c r="J388" s="26"/>
      <c r="Z388" s="96"/>
      <c r="AA388" s="26"/>
      <c r="AB388" s="96"/>
      <c r="AC388" s="26"/>
    </row>
    <row r="389" spans="8:29" ht="12.75" x14ac:dyDescent="0.2">
      <c r="H389" s="26"/>
      <c r="I389" s="26"/>
      <c r="J389" s="26"/>
      <c r="Z389" s="96"/>
      <c r="AA389" s="26"/>
      <c r="AB389" s="96"/>
      <c r="AC389" s="26"/>
    </row>
    <row r="390" spans="8:29" ht="12.75" x14ac:dyDescent="0.2">
      <c r="H390" s="26"/>
      <c r="I390" s="26"/>
      <c r="J390" s="26"/>
      <c r="Z390" s="96"/>
      <c r="AA390" s="26"/>
      <c r="AB390" s="96"/>
      <c r="AC390" s="26"/>
    </row>
    <row r="391" spans="8:29" ht="12.75" x14ac:dyDescent="0.2">
      <c r="H391" s="26"/>
      <c r="I391" s="26"/>
      <c r="J391" s="26"/>
      <c r="Z391" s="96"/>
      <c r="AA391" s="26"/>
      <c r="AB391" s="96"/>
      <c r="AC391" s="26"/>
    </row>
    <row r="392" spans="8:29" ht="12.75" x14ac:dyDescent="0.2">
      <c r="H392" s="26"/>
      <c r="I392" s="26"/>
      <c r="J392" s="26"/>
      <c r="Z392" s="96"/>
      <c r="AA392" s="26"/>
      <c r="AB392" s="96"/>
      <c r="AC392" s="26"/>
    </row>
    <row r="393" spans="8:29" ht="12.75" x14ac:dyDescent="0.2">
      <c r="H393" s="26"/>
      <c r="I393" s="26"/>
      <c r="J393" s="26"/>
      <c r="Z393" s="96"/>
      <c r="AA393" s="26"/>
      <c r="AB393" s="96"/>
      <c r="AC393" s="26"/>
    </row>
    <row r="394" spans="8:29" ht="12.75" x14ac:dyDescent="0.2">
      <c r="H394" s="26"/>
      <c r="I394" s="26"/>
      <c r="J394" s="26"/>
      <c r="Z394" s="96"/>
      <c r="AA394" s="26"/>
      <c r="AB394" s="96"/>
      <c r="AC394" s="26"/>
    </row>
    <row r="395" spans="8:29" ht="12.75" x14ac:dyDescent="0.2">
      <c r="H395" s="26"/>
      <c r="I395" s="26"/>
      <c r="J395" s="26"/>
      <c r="Z395" s="96"/>
      <c r="AA395" s="26"/>
      <c r="AB395" s="96"/>
      <c r="AC395" s="26"/>
    </row>
    <row r="396" spans="8:29" ht="12.75" x14ac:dyDescent="0.2">
      <c r="H396" s="26"/>
      <c r="I396" s="26"/>
      <c r="J396" s="26"/>
      <c r="Z396" s="96"/>
      <c r="AA396" s="26"/>
      <c r="AB396" s="96"/>
      <c r="AC396" s="26"/>
    </row>
    <row r="397" spans="8:29" ht="12.75" x14ac:dyDescent="0.2">
      <c r="H397" s="26"/>
      <c r="I397" s="26"/>
      <c r="J397" s="26"/>
      <c r="Z397" s="96"/>
      <c r="AA397" s="26"/>
      <c r="AB397" s="96"/>
      <c r="AC397" s="26"/>
    </row>
    <row r="398" spans="8:29" ht="12.75" x14ac:dyDescent="0.2">
      <c r="H398" s="26"/>
      <c r="I398" s="26"/>
      <c r="J398" s="26"/>
      <c r="Z398" s="96"/>
      <c r="AA398" s="26"/>
      <c r="AB398" s="96"/>
      <c r="AC398" s="26"/>
    </row>
    <row r="399" spans="8:29" ht="12.75" x14ac:dyDescent="0.2">
      <c r="H399" s="26"/>
      <c r="I399" s="26"/>
      <c r="J399" s="26"/>
      <c r="Z399" s="96"/>
      <c r="AA399" s="26"/>
      <c r="AB399" s="96"/>
      <c r="AC399" s="26"/>
    </row>
    <row r="400" spans="8:29" ht="12.75" x14ac:dyDescent="0.2">
      <c r="H400" s="26"/>
      <c r="I400" s="26"/>
      <c r="J400" s="26"/>
      <c r="Z400" s="96"/>
      <c r="AA400" s="26"/>
      <c r="AB400" s="96"/>
      <c r="AC400" s="26"/>
    </row>
    <row r="401" spans="8:29" ht="12.75" x14ac:dyDescent="0.2">
      <c r="H401" s="26"/>
      <c r="I401" s="26"/>
      <c r="J401" s="26"/>
      <c r="Z401" s="96"/>
      <c r="AA401" s="26"/>
      <c r="AB401" s="96"/>
      <c r="AC401" s="26"/>
    </row>
    <row r="402" spans="8:29" ht="12.75" x14ac:dyDescent="0.2">
      <c r="H402" s="26"/>
      <c r="I402" s="26"/>
      <c r="J402" s="26"/>
      <c r="Z402" s="96"/>
      <c r="AA402" s="26"/>
      <c r="AB402" s="96"/>
      <c r="AC402" s="26"/>
    </row>
    <row r="403" spans="8:29" ht="12.75" x14ac:dyDescent="0.2">
      <c r="H403" s="26"/>
      <c r="I403" s="26"/>
      <c r="J403" s="26"/>
      <c r="Z403" s="96"/>
      <c r="AA403" s="26"/>
      <c r="AB403" s="96"/>
      <c r="AC403" s="26"/>
    </row>
    <row r="404" spans="8:29" ht="12.75" x14ac:dyDescent="0.2">
      <c r="H404" s="26"/>
      <c r="I404" s="26"/>
      <c r="J404" s="26"/>
      <c r="Z404" s="96"/>
      <c r="AA404" s="26"/>
      <c r="AB404" s="96"/>
      <c r="AC404" s="26"/>
    </row>
    <row r="405" spans="8:29" ht="12.75" x14ac:dyDescent="0.2">
      <c r="H405" s="26"/>
      <c r="I405" s="26"/>
      <c r="J405" s="26"/>
      <c r="Z405" s="96"/>
      <c r="AA405" s="26"/>
      <c r="AB405" s="96"/>
      <c r="AC405" s="26"/>
    </row>
    <row r="406" spans="8:29" ht="12.75" x14ac:dyDescent="0.2">
      <c r="H406" s="26"/>
      <c r="I406" s="26"/>
      <c r="J406" s="26"/>
      <c r="Z406" s="96"/>
      <c r="AA406" s="26"/>
      <c r="AB406" s="96"/>
      <c r="AC406" s="26"/>
    </row>
    <row r="407" spans="8:29" ht="12.75" x14ac:dyDescent="0.2">
      <c r="H407" s="26"/>
      <c r="I407" s="26"/>
      <c r="J407" s="26"/>
      <c r="Z407" s="96"/>
      <c r="AA407" s="26"/>
      <c r="AB407" s="96"/>
      <c r="AC407" s="26"/>
    </row>
    <row r="408" spans="8:29" ht="12.75" x14ac:dyDescent="0.2">
      <c r="H408" s="26"/>
      <c r="I408" s="26"/>
      <c r="J408" s="26"/>
      <c r="Z408" s="96"/>
      <c r="AA408" s="26"/>
      <c r="AB408" s="96"/>
      <c r="AC408" s="26"/>
    </row>
    <row r="409" spans="8:29" ht="12.75" x14ac:dyDescent="0.2">
      <c r="H409" s="26"/>
      <c r="I409" s="26"/>
      <c r="J409" s="26"/>
      <c r="Z409" s="96"/>
      <c r="AA409" s="26"/>
      <c r="AB409" s="96"/>
      <c r="AC409" s="26"/>
    </row>
    <row r="410" spans="8:29" ht="12.75" x14ac:dyDescent="0.2">
      <c r="H410" s="26"/>
      <c r="I410" s="26"/>
      <c r="J410" s="26"/>
      <c r="Z410" s="96"/>
      <c r="AA410" s="26"/>
      <c r="AB410" s="96"/>
      <c r="AC410" s="26"/>
    </row>
    <row r="411" spans="8:29" ht="12.75" x14ac:dyDescent="0.2">
      <c r="H411" s="26"/>
      <c r="I411" s="26"/>
      <c r="J411" s="26"/>
      <c r="Z411" s="96"/>
      <c r="AA411" s="26"/>
      <c r="AB411" s="96"/>
      <c r="AC411" s="26"/>
    </row>
    <row r="412" spans="8:29" ht="12.75" x14ac:dyDescent="0.2">
      <c r="H412" s="26"/>
      <c r="I412" s="26"/>
      <c r="J412" s="26"/>
      <c r="Z412" s="96"/>
      <c r="AA412" s="26"/>
      <c r="AB412" s="96"/>
      <c r="AC412" s="26"/>
    </row>
    <row r="413" spans="8:29" ht="12.75" x14ac:dyDescent="0.2">
      <c r="H413" s="26"/>
      <c r="I413" s="26"/>
      <c r="J413" s="26"/>
      <c r="Z413" s="96"/>
      <c r="AA413" s="26"/>
      <c r="AB413" s="96"/>
      <c r="AC413" s="26"/>
    </row>
    <row r="414" spans="8:29" ht="12.75" x14ac:dyDescent="0.2">
      <c r="H414" s="26"/>
      <c r="I414" s="26"/>
      <c r="J414" s="26"/>
      <c r="Z414" s="96"/>
      <c r="AA414" s="26"/>
      <c r="AB414" s="96"/>
      <c r="AC414" s="26"/>
    </row>
    <row r="415" spans="8:29" ht="12.75" x14ac:dyDescent="0.2">
      <c r="H415" s="26"/>
      <c r="I415" s="26"/>
      <c r="J415" s="26"/>
      <c r="Z415" s="96"/>
      <c r="AA415" s="26"/>
      <c r="AB415" s="96"/>
      <c r="AC415" s="26"/>
    </row>
    <row r="416" spans="8:29" ht="12.75" x14ac:dyDescent="0.2">
      <c r="H416" s="26"/>
      <c r="I416" s="26"/>
      <c r="J416" s="26"/>
      <c r="Z416" s="96"/>
      <c r="AA416" s="26"/>
      <c r="AB416" s="96"/>
      <c r="AC416" s="26"/>
    </row>
    <row r="417" spans="8:29" ht="12.75" x14ac:dyDescent="0.2">
      <c r="H417" s="26"/>
      <c r="I417" s="26"/>
      <c r="J417" s="26"/>
      <c r="Z417" s="96"/>
      <c r="AA417" s="26"/>
      <c r="AB417" s="96"/>
      <c r="AC417" s="26"/>
    </row>
    <row r="418" spans="8:29" ht="12.75" x14ac:dyDescent="0.2">
      <c r="H418" s="26"/>
      <c r="I418" s="26"/>
      <c r="J418" s="26"/>
      <c r="Z418" s="96"/>
      <c r="AA418" s="26"/>
      <c r="AB418" s="96"/>
      <c r="AC418" s="26"/>
    </row>
    <row r="419" spans="8:29" ht="12.75" x14ac:dyDescent="0.2">
      <c r="H419" s="26"/>
      <c r="I419" s="26"/>
      <c r="J419" s="26"/>
      <c r="Z419" s="96"/>
      <c r="AA419" s="26"/>
      <c r="AB419" s="96"/>
      <c r="AC419" s="26"/>
    </row>
    <row r="420" spans="8:29" ht="12.75" x14ac:dyDescent="0.2">
      <c r="H420" s="26"/>
      <c r="I420" s="26"/>
      <c r="J420" s="26"/>
      <c r="Z420" s="96"/>
      <c r="AA420" s="26"/>
      <c r="AB420" s="96"/>
      <c r="AC420" s="26"/>
    </row>
    <row r="421" spans="8:29" ht="12.75" x14ac:dyDescent="0.2">
      <c r="H421" s="26"/>
      <c r="I421" s="26"/>
      <c r="J421" s="26"/>
      <c r="Z421" s="96"/>
      <c r="AA421" s="26"/>
      <c r="AB421" s="96"/>
      <c r="AC421" s="26"/>
    </row>
    <row r="422" spans="8:29" ht="12.75" x14ac:dyDescent="0.2">
      <c r="H422" s="26"/>
      <c r="I422" s="26"/>
      <c r="J422" s="26"/>
      <c r="Z422" s="96"/>
      <c r="AA422" s="26"/>
      <c r="AB422" s="96"/>
      <c r="AC422" s="26"/>
    </row>
    <row r="423" spans="8:29" ht="12.75" x14ac:dyDescent="0.2">
      <c r="H423" s="26"/>
      <c r="I423" s="26"/>
      <c r="J423" s="26"/>
      <c r="Z423" s="96"/>
      <c r="AA423" s="26"/>
      <c r="AB423" s="96"/>
      <c r="AC423" s="26"/>
    </row>
    <row r="424" spans="8:29" ht="12.75" x14ac:dyDescent="0.2">
      <c r="H424" s="26"/>
      <c r="I424" s="26"/>
      <c r="J424" s="26"/>
      <c r="Z424" s="96"/>
      <c r="AA424" s="26"/>
      <c r="AB424" s="96"/>
      <c r="AC424" s="26"/>
    </row>
    <row r="425" spans="8:29" ht="12.75" x14ac:dyDescent="0.2">
      <c r="H425" s="26"/>
      <c r="I425" s="26"/>
      <c r="J425" s="26"/>
      <c r="Z425" s="96"/>
      <c r="AA425" s="26"/>
      <c r="AB425" s="96"/>
      <c r="AC425" s="26"/>
    </row>
    <row r="426" spans="8:29" ht="12.75" x14ac:dyDescent="0.2">
      <c r="H426" s="26"/>
      <c r="I426" s="26"/>
      <c r="J426" s="26"/>
      <c r="Z426" s="96"/>
      <c r="AA426" s="26"/>
      <c r="AB426" s="96"/>
      <c r="AC426" s="26"/>
    </row>
    <row r="427" spans="8:29" ht="12.75" x14ac:dyDescent="0.2">
      <c r="H427" s="26"/>
      <c r="I427" s="26"/>
      <c r="J427" s="26"/>
      <c r="Z427" s="96"/>
      <c r="AA427" s="26"/>
      <c r="AB427" s="96"/>
      <c r="AC427" s="26"/>
    </row>
    <row r="428" spans="8:29" ht="12.75" x14ac:dyDescent="0.2">
      <c r="H428" s="26"/>
      <c r="I428" s="26"/>
      <c r="J428" s="26"/>
      <c r="Z428" s="96"/>
      <c r="AA428" s="26"/>
      <c r="AB428" s="96"/>
      <c r="AC428" s="26"/>
    </row>
    <row r="429" spans="8:29" ht="12.75" x14ac:dyDescent="0.2">
      <c r="H429" s="26"/>
      <c r="I429" s="26"/>
      <c r="J429" s="26"/>
      <c r="Z429" s="96"/>
      <c r="AA429" s="26"/>
      <c r="AB429" s="96"/>
      <c r="AC429" s="26"/>
    </row>
    <row r="430" spans="8:29" ht="12.75" x14ac:dyDescent="0.2">
      <c r="H430" s="26"/>
      <c r="I430" s="26"/>
      <c r="J430" s="26"/>
      <c r="Z430" s="96"/>
      <c r="AA430" s="26"/>
      <c r="AB430" s="96"/>
      <c r="AC430" s="26"/>
    </row>
    <row r="431" spans="8:29" ht="12.75" x14ac:dyDescent="0.2">
      <c r="H431" s="26"/>
      <c r="I431" s="26"/>
      <c r="J431" s="26"/>
      <c r="Z431" s="96"/>
      <c r="AA431" s="26"/>
      <c r="AB431" s="96"/>
      <c r="AC431" s="26"/>
    </row>
    <row r="432" spans="8:29" ht="12.75" x14ac:dyDescent="0.2">
      <c r="H432" s="26"/>
      <c r="I432" s="26"/>
      <c r="J432" s="26"/>
      <c r="Z432" s="96"/>
      <c r="AA432" s="26"/>
      <c r="AB432" s="96"/>
      <c r="AC432" s="26"/>
    </row>
    <row r="433" spans="8:29" ht="12.75" x14ac:dyDescent="0.2">
      <c r="H433" s="26"/>
      <c r="I433" s="26"/>
      <c r="J433" s="26"/>
      <c r="Z433" s="96"/>
      <c r="AA433" s="26"/>
      <c r="AB433" s="96"/>
      <c r="AC433" s="26"/>
    </row>
    <row r="434" spans="8:29" ht="12.75" x14ac:dyDescent="0.2">
      <c r="H434" s="26"/>
      <c r="I434" s="26"/>
      <c r="J434" s="26"/>
      <c r="Z434" s="96"/>
      <c r="AA434" s="26"/>
      <c r="AB434" s="96"/>
      <c r="AC434" s="26"/>
    </row>
    <row r="435" spans="8:29" ht="12.75" x14ac:dyDescent="0.2">
      <c r="H435" s="26"/>
      <c r="I435" s="26"/>
      <c r="J435" s="26"/>
      <c r="Z435" s="96"/>
      <c r="AA435" s="26"/>
      <c r="AB435" s="96"/>
      <c r="AC435" s="26"/>
    </row>
    <row r="436" spans="8:29" ht="12.75" x14ac:dyDescent="0.2">
      <c r="H436" s="26"/>
      <c r="I436" s="26"/>
      <c r="J436" s="26"/>
      <c r="Z436" s="96"/>
      <c r="AA436" s="26"/>
      <c r="AB436" s="96"/>
      <c r="AC436" s="26"/>
    </row>
    <row r="437" spans="8:29" ht="12.75" x14ac:dyDescent="0.2">
      <c r="H437" s="26"/>
      <c r="I437" s="26"/>
      <c r="J437" s="26"/>
      <c r="Z437" s="96"/>
      <c r="AA437" s="26"/>
      <c r="AB437" s="96"/>
      <c r="AC437" s="26"/>
    </row>
    <row r="438" spans="8:29" ht="12.75" x14ac:dyDescent="0.2">
      <c r="H438" s="26"/>
      <c r="I438" s="26"/>
      <c r="J438" s="26"/>
      <c r="Z438" s="96"/>
      <c r="AA438" s="26"/>
      <c r="AB438" s="96"/>
      <c r="AC438" s="26"/>
    </row>
    <row r="439" spans="8:29" ht="12.75" x14ac:dyDescent="0.2">
      <c r="H439" s="26"/>
      <c r="I439" s="26"/>
      <c r="J439" s="26"/>
      <c r="Z439" s="96"/>
      <c r="AA439" s="26"/>
      <c r="AB439" s="96"/>
      <c r="AC439" s="26"/>
    </row>
    <row r="440" spans="8:29" ht="12.75" x14ac:dyDescent="0.2">
      <c r="H440" s="26"/>
      <c r="I440" s="26"/>
      <c r="J440" s="26"/>
      <c r="Z440" s="96"/>
      <c r="AA440" s="26"/>
      <c r="AB440" s="96"/>
      <c r="AC440" s="26"/>
    </row>
    <row r="441" spans="8:29" ht="12.75" x14ac:dyDescent="0.2">
      <c r="H441" s="26"/>
      <c r="I441" s="26"/>
      <c r="J441" s="26"/>
      <c r="Z441" s="96"/>
      <c r="AA441" s="26"/>
      <c r="AB441" s="96"/>
      <c r="AC441" s="26"/>
    </row>
    <row r="442" spans="8:29" ht="12.75" x14ac:dyDescent="0.2">
      <c r="H442" s="26"/>
      <c r="I442" s="26"/>
      <c r="J442" s="26"/>
      <c r="Z442" s="96"/>
      <c r="AA442" s="26"/>
      <c r="AB442" s="96"/>
      <c r="AC442" s="26"/>
    </row>
    <row r="443" spans="8:29" ht="12.75" x14ac:dyDescent="0.2">
      <c r="H443" s="26"/>
      <c r="I443" s="26"/>
      <c r="J443" s="26"/>
      <c r="Z443" s="96"/>
      <c r="AA443" s="26"/>
      <c r="AB443" s="96"/>
      <c r="AC443" s="26"/>
    </row>
    <row r="444" spans="8:29" ht="12.75" x14ac:dyDescent="0.2">
      <c r="H444" s="26"/>
      <c r="I444" s="26"/>
      <c r="J444" s="26"/>
      <c r="Z444" s="96"/>
      <c r="AA444" s="26"/>
      <c r="AB444" s="96"/>
      <c r="AC444" s="26"/>
    </row>
    <row r="445" spans="8:29" ht="12.75" x14ac:dyDescent="0.2">
      <c r="H445" s="26"/>
      <c r="I445" s="26"/>
      <c r="J445" s="26"/>
      <c r="Z445" s="96"/>
      <c r="AA445" s="26"/>
      <c r="AB445" s="96"/>
      <c r="AC445" s="26"/>
    </row>
    <row r="446" spans="8:29" ht="12.75" x14ac:dyDescent="0.2">
      <c r="H446" s="26"/>
      <c r="I446" s="26"/>
      <c r="J446" s="26"/>
      <c r="Z446" s="96"/>
      <c r="AA446" s="26"/>
      <c r="AB446" s="96"/>
      <c r="AC446" s="26"/>
    </row>
    <row r="447" spans="8:29" ht="12.75" x14ac:dyDescent="0.2">
      <c r="H447" s="26"/>
      <c r="I447" s="26"/>
      <c r="J447" s="26"/>
      <c r="Z447" s="96"/>
      <c r="AA447" s="26"/>
      <c r="AB447" s="96"/>
      <c r="AC447" s="26"/>
    </row>
    <row r="448" spans="8:29" ht="12.75" x14ac:dyDescent="0.2">
      <c r="H448" s="26"/>
      <c r="I448" s="26"/>
      <c r="J448" s="26"/>
      <c r="Z448" s="96"/>
      <c r="AA448" s="26"/>
      <c r="AB448" s="96"/>
      <c r="AC448" s="26"/>
    </row>
    <row r="449" spans="8:29" ht="12.75" x14ac:dyDescent="0.2">
      <c r="H449" s="26"/>
      <c r="I449" s="26"/>
      <c r="J449" s="26"/>
      <c r="Z449" s="96"/>
      <c r="AA449" s="26"/>
      <c r="AB449" s="96"/>
      <c r="AC449" s="26"/>
    </row>
    <row r="450" spans="8:29" ht="12.75" x14ac:dyDescent="0.2">
      <c r="H450" s="26"/>
      <c r="I450" s="26"/>
      <c r="J450" s="26"/>
      <c r="Z450" s="96"/>
      <c r="AA450" s="26"/>
      <c r="AB450" s="96"/>
      <c r="AC450" s="26"/>
    </row>
    <row r="451" spans="8:29" ht="12.75" x14ac:dyDescent="0.2">
      <c r="H451" s="26"/>
      <c r="I451" s="26"/>
      <c r="J451" s="26"/>
      <c r="Z451" s="96"/>
      <c r="AA451" s="26"/>
      <c r="AB451" s="96"/>
      <c r="AC451" s="26"/>
    </row>
    <row r="452" spans="8:29" ht="12.75" x14ac:dyDescent="0.2">
      <c r="H452" s="26"/>
      <c r="I452" s="26"/>
      <c r="J452" s="26"/>
      <c r="Z452" s="96"/>
      <c r="AA452" s="26"/>
      <c r="AB452" s="96"/>
      <c r="AC452" s="26"/>
    </row>
    <row r="453" spans="8:29" ht="12.75" x14ac:dyDescent="0.2">
      <c r="H453" s="26"/>
      <c r="I453" s="26"/>
      <c r="J453" s="26"/>
      <c r="Z453" s="96"/>
      <c r="AA453" s="26"/>
      <c r="AB453" s="96"/>
      <c r="AC453" s="26"/>
    </row>
    <row r="454" spans="8:29" ht="12.75" x14ac:dyDescent="0.2">
      <c r="H454" s="26"/>
      <c r="I454" s="26"/>
      <c r="J454" s="26"/>
      <c r="Z454" s="96"/>
      <c r="AA454" s="26"/>
      <c r="AB454" s="96"/>
      <c r="AC454" s="26"/>
    </row>
    <row r="455" spans="8:29" ht="12.75" x14ac:dyDescent="0.2">
      <c r="H455" s="26"/>
      <c r="I455" s="26"/>
      <c r="J455" s="26"/>
      <c r="Z455" s="96"/>
      <c r="AA455" s="26"/>
      <c r="AB455" s="96"/>
      <c r="AC455" s="26"/>
    </row>
    <row r="456" spans="8:29" ht="12.75" x14ac:dyDescent="0.2">
      <c r="H456" s="26"/>
      <c r="I456" s="26"/>
      <c r="J456" s="26"/>
      <c r="Z456" s="96"/>
      <c r="AA456" s="26"/>
      <c r="AB456" s="96"/>
      <c r="AC456" s="26"/>
    </row>
    <row r="457" spans="8:29" ht="12.75" x14ac:dyDescent="0.2">
      <c r="H457" s="26"/>
      <c r="I457" s="26"/>
      <c r="J457" s="26"/>
      <c r="Z457" s="96"/>
      <c r="AA457" s="26"/>
      <c r="AB457" s="96"/>
      <c r="AC457" s="26"/>
    </row>
    <row r="458" spans="8:29" ht="12.75" x14ac:dyDescent="0.2">
      <c r="H458" s="26"/>
      <c r="I458" s="26"/>
      <c r="J458" s="26"/>
      <c r="Z458" s="96"/>
      <c r="AA458" s="26"/>
      <c r="AB458" s="96"/>
      <c r="AC458" s="26"/>
    </row>
    <row r="459" spans="8:29" ht="12.75" x14ac:dyDescent="0.2">
      <c r="H459" s="26"/>
      <c r="I459" s="26"/>
      <c r="J459" s="26"/>
      <c r="Z459" s="96"/>
      <c r="AA459" s="26"/>
      <c r="AB459" s="96"/>
      <c r="AC459" s="26"/>
    </row>
    <row r="460" spans="8:29" ht="12.75" x14ac:dyDescent="0.2">
      <c r="H460" s="26"/>
      <c r="I460" s="26"/>
      <c r="J460" s="26"/>
      <c r="Z460" s="96"/>
      <c r="AA460" s="26"/>
      <c r="AB460" s="96"/>
      <c r="AC460" s="26"/>
    </row>
    <row r="461" spans="8:29" ht="12.75" x14ac:dyDescent="0.2">
      <c r="H461" s="26"/>
      <c r="I461" s="26"/>
      <c r="J461" s="26"/>
      <c r="Z461" s="96"/>
      <c r="AA461" s="26"/>
      <c r="AB461" s="96"/>
      <c r="AC461" s="26"/>
    </row>
    <row r="462" spans="8:29" ht="12.75" x14ac:dyDescent="0.2">
      <c r="H462" s="26"/>
      <c r="I462" s="26"/>
      <c r="J462" s="26"/>
      <c r="Z462" s="96"/>
      <c r="AA462" s="26"/>
      <c r="AB462" s="96"/>
      <c r="AC462" s="26"/>
    </row>
    <row r="463" spans="8:29" ht="12.75" x14ac:dyDescent="0.2">
      <c r="H463" s="26"/>
      <c r="I463" s="26"/>
      <c r="J463" s="26"/>
      <c r="Z463" s="96"/>
      <c r="AA463" s="26"/>
      <c r="AB463" s="96"/>
      <c r="AC463" s="26"/>
    </row>
    <row r="464" spans="8:29" ht="12.75" x14ac:dyDescent="0.2">
      <c r="H464" s="26"/>
      <c r="I464" s="26"/>
      <c r="J464" s="26"/>
      <c r="Z464" s="96"/>
      <c r="AA464" s="26"/>
      <c r="AB464" s="96"/>
      <c r="AC464" s="26"/>
    </row>
    <row r="465" spans="8:29" ht="12.75" x14ac:dyDescent="0.2">
      <c r="H465" s="26"/>
      <c r="I465" s="26"/>
      <c r="J465" s="26"/>
      <c r="Z465" s="96"/>
      <c r="AA465" s="26"/>
      <c r="AB465" s="96"/>
      <c r="AC465" s="26"/>
    </row>
    <row r="466" spans="8:29" ht="12.75" x14ac:dyDescent="0.2">
      <c r="H466" s="26"/>
      <c r="I466" s="26"/>
      <c r="J466" s="26"/>
      <c r="Z466" s="96"/>
      <c r="AA466" s="26"/>
      <c r="AB466" s="96"/>
      <c r="AC466" s="26"/>
    </row>
    <row r="467" spans="8:29" ht="12.75" x14ac:dyDescent="0.2">
      <c r="H467" s="26"/>
      <c r="I467" s="26"/>
      <c r="J467" s="26"/>
      <c r="Z467" s="96"/>
      <c r="AA467" s="26"/>
      <c r="AB467" s="96"/>
      <c r="AC467" s="26"/>
    </row>
    <row r="468" spans="8:29" ht="12.75" x14ac:dyDescent="0.2">
      <c r="H468" s="26"/>
      <c r="I468" s="26"/>
      <c r="J468" s="26"/>
      <c r="Z468" s="96"/>
      <c r="AA468" s="26"/>
      <c r="AB468" s="96"/>
      <c r="AC468" s="26"/>
    </row>
    <row r="469" spans="8:29" ht="12.75" x14ac:dyDescent="0.2">
      <c r="H469" s="26"/>
      <c r="I469" s="26"/>
      <c r="J469" s="26"/>
      <c r="Z469" s="96"/>
      <c r="AA469" s="26"/>
      <c r="AB469" s="96"/>
      <c r="AC469" s="26"/>
    </row>
    <row r="470" spans="8:29" ht="12.75" x14ac:dyDescent="0.2">
      <c r="H470" s="26"/>
      <c r="I470" s="26"/>
      <c r="J470" s="26"/>
      <c r="Z470" s="96"/>
      <c r="AA470" s="26"/>
      <c r="AB470" s="96"/>
      <c r="AC470" s="26"/>
    </row>
    <row r="471" spans="8:29" ht="12.75" x14ac:dyDescent="0.2">
      <c r="H471" s="26"/>
      <c r="I471" s="26"/>
      <c r="J471" s="26"/>
      <c r="Z471" s="96"/>
      <c r="AA471" s="26"/>
      <c r="AB471" s="96"/>
      <c r="AC471" s="26"/>
    </row>
    <row r="472" spans="8:29" ht="12.75" x14ac:dyDescent="0.2">
      <c r="H472" s="26"/>
      <c r="I472" s="26"/>
      <c r="J472" s="26"/>
      <c r="Z472" s="96"/>
      <c r="AA472" s="26"/>
      <c r="AB472" s="96"/>
      <c r="AC472" s="26"/>
    </row>
    <row r="473" spans="8:29" ht="12.75" x14ac:dyDescent="0.2">
      <c r="H473" s="26"/>
      <c r="I473" s="26"/>
      <c r="J473" s="26"/>
      <c r="Z473" s="96"/>
      <c r="AA473" s="26"/>
      <c r="AB473" s="96"/>
      <c r="AC473" s="26"/>
    </row>
    <row r="474" spans="8:29" ht="12.75" x14ac:dyDescent="0.2">
      <c r="H474" s="26"/>
      <c r="I474" s="26"/>
      <c r="J474" s="26"/>
      <c r="Z474" s="96"/>
      <c r="AA474" s="26"/>
      <c r="AB474" s="96"/>
      <c r="AC474" s="26"/>
    </row>
    <row r="475" spans="8:29" ht="12.75" x14ac:dyDescent="0.2">
      <c r="H475" s="26"/>
      <c r="I475" s="26"/>
      <c r="J475" s="26"/>
      <c r="Z475" s="96"/>
      <c r="AA475" s="26"/>
      <c r="AB475" s="96"/>
      <c r="AC475" s="26"/>
    </row>
    <row r="476" spans="8:29" ht="12.75" x14ac:dyDescent="0.2">
      <c r="H476" s="26"/>
      <c r="I476" s="26"/>
      <c r="J476" s="26"/>
      <c r="Z476" s="96"/>
      <c r="AA476" s="26"/>
      <c r="AB476" s="96"/>
      <c r="AC476" s="26"/>
    </row>
    <row r="477" spans="8:29" ht="12.75" x14ac:dyDescent="0.2">
      <c r="H477" s="26"/>
      <c r="I477" s="26"/>
      <c r="J477" s="26"/>
      <c r="Z477" s="96"/>
      <c r="AA477" s="26"/>
      <c r="AB477" s="96"/>
      <c r="AC477" s="26"/>
    </row>
    <row r="478" spans="8:29" ht="12.75" x14ac:dyDescent="0.2">
      <c r="H478" s="26"/>
      <c r="I478" s="26"/>
      <c r="J478" s="26"/>
      <c r="Z478" s="96"/>
      <c r="AA478" s="26"/>
      <c r="AB478" s="96"/>
      <c r="AC478" s="26"/>
    </row>
    <row r="479" spans="8:29" ht="12.75" x14ac:dyDescent="0.2">
      <c r="H479" s="26"/>
      <c r="I479" s="26"/>
      <c r="J479" s="26"/>
      <c r="Z479" s="96"/>
      <c r="AA479" s="26"/>
      <c r="AB479" s="96"/>
      <c r="AC479" s="26"/>
    </row>
    <row r="480" spans="8:29" ht="12.75" x14ac:dyDescent="0.2">
      <c r="H480" s="26"/>
      <c r="I480" s="26"/>
      <c r="J480" s="26"/>
      <c r="Z480" s="96"/>
      <c r="AA480" s="26"/>
      <c r="AB480" s="96"/>
      <c r="AC480" s="26"/>
    </row>
    <row r="481" spans="8:29" ht="12.75" x14ac:dyDescent="0.2">
      <c r="H481" s="26"/>
      <c r="I481" s="26"/>
      <c r="J481" s="26"/>
      <c r="Z481" s="96"/>
      <c r="AA481" s="26"/>
      <c r="AB481" s="96"/>
      <c r="AC481" s="26"/>
    </row>
    <row r="482" spans="8:29" ht="12.75" x14ac:dyDescent="0.2">
      <c r="H482" s="26"/>
      <c r="I482" s="26"/>
      <c r="J482" s="26"/>
      <c r="Z482" s="96"/>
      <c r="AA482" s="26"/>
      <c r="AB482" s="96"/>
      <c r="AC482" s="26"/>
    </row>
    <row r="483" spans="8:29" ht="12.75" x14ac:dyDescent="0.2">
      <c r="H483" s="26"/>
      <c r="I483" s="26"/>
      <c r="J483" s="26"/>
      <c r="Z483" s="96"/>
      <c r="AA483" s="26"/>
      <c r="AB483" s="96"/>
      <c r="AC483" s="26"/>
    </row>
    <row r="484" spans="8:29" ht="12.75" x14ac:dyDescent="0.2">
      <c r="H484" s="26"/>
      <c r="I484" s="26"/>
      <c r="J484" s="26"/>
      <c r="Z484" s="96"/>
      <c r="AA484" s="26"/>
      <c r="AB484" s="96"/>
      <c r="AC484" s="26"/>
    </row>
    <row r="485" spans="8:29" ht="12.75" x14ac:dyDescent="0.2">
      <c r="H485" s="26"/>
      <c r="I485" s="26"/>
      <c r="J485" s="26"/>
      <c r="Z485" s="96"/>
      <c r="AA485" s="26"/>
      <c r="AB485" s="96"/>
      <c r="AC485" s="26"/>
    </row>
    <row r="486" spans="8:29" ht="12.75" x14ac:dyDescent="0.2">
      <c r="H486" s="26"/>
      <c r="I486" s="26"/>
      <c r="J486" s="26"/>
      <c r="Z486" s="96"/>
      <c r="AA486" s="26"/>
      <c r="AB486" s="96"/>
      <c r="AC486" s="26"/>
    </row>
    <row r="487" spans="8:29" ht="12.75" x14ac:dyDescent="0.2">
      <c r="H487" s="26"/>
      <c r="I487" s="26"/>
      <c r="J487" s="26"/>
      <c r="Z487" s="96"/>
      <c r="AA487" s="26"/>
      <c r="AB487" s="96"/>
      <c r="AC487" s="26"/>
    </row>
    <row r="488" spans="8:29" ht="12.75" x14ac:dyDescent="0.2">
      <c r="H488" s="26"/>
      <c r="I488" s="26"/>
      <c r="J488" s="26"/>
      <c r="Z488" s="96"/>
      <c r="AA488" s="26"/>
      <c r="AB488" s="96"/>
      <c r="AC488" s="26"/>
    </row>
    <row r="489" spans="8:29" ht="12.75" x14ac:dyDescent="0.2">
      <c r="H489" s="26"/>
      <c r="I489" s="26"/>
      <c r="J489" s="26"/>
      <c r="Z489" s="96"/>
      <c r="AA489" s="26"/>
      <c r="AB489" s="96"/>
      <c r="AC489" s="26"/>
    </row>
    <row r="490" spans="8:29" ht="12.75" x14ac:dyDescent="0.2">
      <c r="H490" s="26"/>
      <c r="I490" s="26"/>
      <c r="J490" s="26"/>
      <c r="Z490" s="96"/>
      <c r="AA490" s="26"/>
      <c r="AB490" s="96"/>
      <c r="AC490" s="26"/>
    </row>
    <row r="491" spans="8:29" ht="12.75" x14ac:dyDescent="0.2">
      <c r="H491" s="26"/>
      <c r="I491" s="26"/>
      <c r="J491" s="26"/>
      <c r="Z491" s="96"/>
      <c r="AA491" s="26"/>
      <c r="AB491" s="96"/>
      <c r="AC491" s="26"/>
    </row>
    <row r="492" spans="8:29" ht="12.75" x14ac:dyDescent="0.2">
      <c r="H492" s="26"/>
      <c r="I492" s="26"/>
      <c r="J492" s="26"/>
      <c r="Z492" s="96"/>
      <c r="AA492" s="26"/>
      <c r="AB492" s="96"/>
      <c r="AC492" s="26"/>
    </row>
    <row r="493" spans="8:29" ht="12.75" x14ac:dyDescent="0.2">
      <c r="H493" s="26"/>
      <c r="I493" s="26"/>
      <c r="J493" s="26"/>
      <c r="Z493" s="96"/>
      <c r="AA493" s="26"/>
      <c r="AB493" s="96"/>
      <c r="AC493" s="26"/>
    </row>
    <row r="494" spans="8:29" ht="12.75" x14ac:dyDescent="0.2">
      <c r="H494" s="26"/>
      <c r="I494" s="26"/>
      <c r="J494" s="26"/>
      <c r="Z494" s="96"/>
      <c r="AA494" s="26"/>
      <c r="AB494" s="96"/>
      <c r="AC494" s="26"/>
    </row>
    <row r="495" spans="8:29" ht="12.75" x14ac:dyDescent="0.2">
      <c r="H495" s="26"/>
      <c r="I495" s="26"/>
      <c r="J495" s="26"/>
      <c r="Z495" s="96"/>
      <c r="AA495" s="26"/>
      <c r="AB495" s="96"/>
      <c r="AC495" s="26"/>
    </row>
    <row r="496" spans="8:29" ht="12.75" x14ac:dyDescent="0.2">
      <c r="H496" s="26"/>
      <c r="I496" s="26"/>
      <c r="J496" s="26"/>
      <c r="Z496" s="96"/>
      <c r="AA496" s="26"/>
      <c r="AB496" s="96"/>
      <c r="AC496" s="26"/>
    </row>
    <row r="497" spans="8:29" ht="12.75" x14ac:dyDescent="0.2">
      <c r="H497" s="26"/>
      <c r="I497" s="26"/>
      <c r="J497" s="26"/>
      <c r="Z497" s="96"/>
      <c r="AA497" s="26"/>
      <c r="AB497" s="96"/>
      <c r="AC497" s="26"/>
    </row>
    <row r="498" spans="8:29" ht="12.75" x14ac:dyDescent="0.2">
      <c r="H498" s="26"/>
      <c r="I498" s="26"/>
      <c r="J498" s="26"/>
      <c r="Z498" s="96"/>
      <c r="AA498" s="26"/>
      <c r="AB498" s="96"/>
      <c r="AC498" s="26"/>
    </row>
    <row r="499" spans="8:29" ht="12.75" x14ac:dyDescent="0.2">
      <c r="H499" s="26"/>
      <c r="I499" s="26"/>
      <c r="J499" s="26"/>
      <c r="Z499" s="96"/>
      <c r="AA499" s="26"/>
      <c r="AB499" s="96"/>
      <c r="AC499" s="26"/>
    </row>
    <row r="500" spans="8:29" ht="12.75" x14ac:dyDescent="0.2">
      <c r="H500" s="26"/>
      <c r="I500" s="26"/>
      <c r="J500" s="26"/>
      <c r="Z500" s="96"/>
      <c r="AA500" s="26"/>
      <c r="AB500" s="96"/>
      <c r="AC500" s="26"/>
    </row>
    <row r="501" spans="8:29" ht="12.75" x14ac:dyDescent="0.2">
      <c r="H501" s="26"/>
      <c r="I501" s="26"/>
      <c r="J501" s="26"/>
      <c r="Z501" s="96"/>
      <c r="AA501" s="26"/>
      <c r="AB501" s="96"/>
      <c r="AC501" s="26"/>
    </row>
    <row r="502" spans="8:29" ht="12.75" x14ac:dyDescent="0.2">
      <c r="H502" s="26"/>
      <c r="I502" s="26"/>
      <c r="J502" s="26"/>
      <c r="Z502" s="96"/>
      <c r="AA502" s="26"/>
      <c r="AB502" s="96"/>
      <c r="AC502" s="26"/>
    </row>
    <row r="503" spans="8:29" ht="12.75" x14ac:dyDescent="0.2">
      <c r="H503" s="26"/>
      <c r="I503" s="26"/>
      <c r="J503" s="26"/>
      <c r="Z503" s="96"/>
      <c r="AA503" s="26"/>
      <c r="AB503" s="96"/>
      <c r="AC503" s="26"/>
    </row>
    <row r="504" spans="8:29" ht="12.75" x14ac:dyDescent="0.2">
      <c r="H504" s="26"/>
      <c r="I504" s="26"/>
      <c r="J504" s="26"/>
      <c r="Z504" s="96"/>
      <c r="AA504" s="26"/>
      <c r="AB504" s="96"/>
      <c r="AC504" s="26"/>
    </row>
    <row r="505" spans="8:29" ht="12.75" x14ac:dyDescent="0.2">
      <c r="H505" s="26"/>
      <c r="I505" s="26"/>
      <c r="J505" s="26"/>
      <c r="Z505" s="96"/>
      <c r="AA505" s="26"/>
      <c r="AB505" s="96"/>
      <c r="AC505" s="26"/>
    </row>
    <row r="506" spans="8:29" ht="12.75" x14ac:dyDescent="0.2">
      <c r="H506" s="26"/>
      <c r="I506" s="26"/>
      <c r="J506" s="26"/>
      <c r="Z506" s="96"/>
      <c r="AA506" s="26"/>
      <c r="AB506" s="96"/>
      <c r="AC506" s="26"/>
    </row>
    <row r="507" spans="8:29" ht="12.75" x14ac:dyDescent="0.2">
      <c r="H507" s="26"/>
      <c r="I507" s="26"/>
      <c r="J507" s="26"/>
      <c r="Z507" s="96"/>
      <c r="AA507" s="26"/>
      <c r="AB507" s="96"/>
      <c r="AC507" s="26"/>
    </row>
    <row r="508" spans="8:29" ht="12.75" x14ac:dyDescent="0.2">
      <c r="H508" s="26"/>
      <c r="I508" s="26"/>
      <c r="J508" s="26"/>
      <c r="Z508" s="96"/>
      <c r="AA508" s="26"/>
      <c r="AB508" s="96"/>
      <c r="AC508" s="26"/>
    </row>
    <row r="509" spans="8:29" ht="12.75" x14ac:dyDescent="0.2">
      <c r="H509" s="26"/>
      <c r="I509" s="26"/>
      <c r="J509" s="26"/>
      <c r="Z509" s="96"/>
      <c r="AA509" s="26"/>
      <c r="AB509" s="96"/>
      <c r="AC509" s="26"/>
    </row>
    <row r="510" spans="8:29" ht="12.75" x14ac:dyDescent="0.2">
      <c r="H510" s="26"/>
      <c r="I510" s="26"/>
      <c r="J510" s="26"/>
      <c r="Z510" s="96"/>
      <c r="AA510" s="26"/>
      <c r="AB510" s="96"/>
      <c r="AC510" s="26"/>
    </row>
    <row r="511" spans="8:29" ht="12.75" x14ac:dyDescent="0.2">
      <c r="H511" s="26"/>
      <c r="I511" s="26"/>
      <c r="J511" s="26"/>
      <c r="Z511" s="96"/>
      <c r="AA511" s="26"/>
      <c r="AB511" s="96"/>
      <c r="AC511" s="26"/>
    </row>
    <row r="512" spans="8:29" ht="12.75" x14ac:dyDescent="0.2">
      <c r="H512" s="26"/>
      <c r="I512" s="26"/>
      <c r="J512" s="26"/>
      <c r="Z512" s="96"/>
      <c r="AA512" s="26"/>
      <c r="AB512" s="96"/>
      <c r="AC512" s="26"/>
    </row>
    <row r="513" spans="8:29" ht="12.75" x14ac:dyDescent="0.2">
      <c r="H513" s="26"/>
      <c r="I513" s="26"/>
      <c r="J513" s="26"/>
      <c r="Z513" s="96"/>
      <c r="AA513" s="26"/>
      <c r="AB513" s="96"/>
      <c r="AC513" s="26"/>
    </row>
    <row r="514" spans="8:29" ht="12.75" x14ac:dyDescent="0.2">
      <c r="H514" s="26"/>
      <c r="I514" s="26"/>
      <c r="J514" s="26"/>
      <c r="Z514" s="96"/>
      <c r="AA514" s="26"/>
      <c r="AB514" s="96"/>
      <c r="AC514" s="26"/>
    </row>
    <row r="515" spans="8:29" ht="12.75" x14ac:dyDescent="0.2">
      <c r="H515" s="26"/>
      <c r="I515" s="26"/>
      <c r="J515" s="26"/>
      <c r="Z515" s="96"/>
      <c r="AA515" s="26"/>
      <c r="AB515" s="96"/>
      <c r="AC515" s="26"/>
    </row>
    <row r="516" spans="8:29" ht="12.75" x14ac:dyDescent="0.2">
      <c r="H516" s="26"/>
      <c r="I516" s="26"/>
      <c r="J516" s="26"/>
      <c r="Z516" s="96"/>
      <c r="AA516" s="26"/>
      <c r="AB516" s="96"/>
      <c r="AC516" s="26"/>
    </row>
    <row r="517" spans="8:29" ht="12.75" x14ac:dyDescent="0.2">
      <c r="H517" s="26"/>
      <c r="I517" s="26"/>
      <c r="J517" s="26"/>
      <c r="Z517" s="96"/>
      <c r="AA517" s="26"/>
      <c r="AB517" s="96"/>
      <c r="AC517" s="26"/>
    </row>
    <row r="518" spans="8:29" ht="12.75" x14ac:dyDescent="0.2">
      <c r="H518" s="26"/>
      <c r="I518" s="26"/>
      <c r="J518" s="26"/>
      <c r="Z518" s="96"/>
      <c r="AA518" s="26"/>
      <c r="AB518" s="96"/>
      <c r="AC518" s="26"/>
    </row>
    <row r="519" spans="8:29" ht="12.75" x14ac:dyDescent="0.2">
      <c r="H519" s="26"/>
      <c r="I519" s="26"/>
      <c r="J519" s="26"/>
      <c r="Z519" s="96"/>
      <c r="AA519" s="26"/>
      <c r="AB519" s="96"/>
      <c r="AC519" s="26"/>
    </row>
    <row r="520" spans="8:29" ht="12.75" x14ac:dyDescent="0.2">
      <c r="H520" s="26"/>
      <c r="I520" s="26"/>
      <c r="J520" s="26"/>
      <c r="Z520" s="96"/>
      <c r="AA520" s="26"/>
      <c r="AB520" s="96"/>
      <c r="AC520" s="26"/>
    </row>
    <row r="521" spans="8:29" ht="12.75" x14ac:dyDescent="0.2">
      <c r="H521" s="26"/>
      <c r="I521" s="26"/>
      <c r="J521" s="26"/>
      <c r="Z521" s="96"/>
      <c r="AA521" s="26"/>
      <c r="AB521" s="96"/>
      <c r="AC521" s="26"/>
    </row>
    <row r="522" spans="8:29" ht="12.75" x14ac:dyDescent="0.2">
      <c r="H522" s="26"/>
      <c r="I522" s="26"/>
      <c r="J522" s="26"/>
      <c r="Z522" s="96"/>
      <c r="AA522" s="26"/>
      <c r="AB522" s="96"/>
      <c r="AC522" s="26"/>
    </row>
    <row r="523" spans="8:29" ht="12.75" x14ac:dyDescent="0.2">
      <c r="H523" s="26"/>
      <c r="I523" s="26"/>
      <c r="J523" s="26"/>
      <c r="Z523" s="96"/>
      <c r="AA523" s="26"/>
      <c r="AB523" s="96"/>
      <c r="AC523" s="26"/>
    </row>
    <row r="524" spans="8:29" ht="12.75" x14ac:dyDescent="0.2">
      <c r="H524" s="26"/>
      <c r="I524" s="26"/>
      <c r="J524" s="26"/>
      <c r="Z524" s="96"/>
      <c r="AA524" s="26"/>
      <c r="AB524" s="96"/>
      <c r="AC524" s="26"/>
    </row>
    <row r="525" spans="8:29" ht="12.75" x14ac:dyDescent="0.2">
      <c r="H525" s="26"/>
      <c r="I525" s="26"/>
      <c r="J525" s="26"/>
      <c r="Z525" s="96"/>
      <c r="AA525" s="26"/>
      <c r="AB525" s="96"/>
      <c r="AC525" s="26"/>
    </row>
    <row r="526" spans="8:29" ht="12.75" x14ac:dyDescent="0.2">
      <c r="H526" s="26"/>
      <c r="I526" s="26"/>
      <c r="J526" s="26"/>
      <c r="Z526" s="96"/>
      <c r="AA526" s="26"/>
      <c r="AB526" s="96"/>
      <c r="AC526" s="26"/>
    </row>
    <row r="527" spans="8:29" ht="12.75" x14ac:dyDescent="0.2">
      <c r="H527" s="26"/>
      <c r="I527" s="26"/>
      <c r="J527" s="26"/>
      <c r="Z527" s="96"/>
      <c r="AA527" s="26"/>
      <c r="AB527" s="96"/>
      <c r="AC527" s="26"/>
    </row>
    <row r="528" spans="8:29" ht="12.75" x14ac:dyDescent="0.2">
      <c r="H528" s="26"/>
      <c r="I528" s="26"/>
      <c r="J528" s="26"/>
      <c r="Z528" s="96"/>
      <c r="AA528" s="26"/>
      <c r="AB528" s="96"/>
      <c r="AC528" s="26"/>
    </row>
    <row r="529" spans="8:29" ht="12.75" x14ac:dyDescent="0.2">
      <c r="H529" s="26"/>
      <c r="I529" s="26"/>
      <c r="J529" s="26"/>
      <c r="Z529" s="96"/>
      <c r="AA529" s="26"/>
      <c r="AB529" s="96"/>
      <c r="AC529" s="26"/>
    </row>
    <row r="530" spans="8:29" ht="12.75" x14ac:dyDescent="0.2">
      <c r="H530" s="26"/>
      <c r="I530" s="26"/>
      <c r="J530" s="26"/>
      <c r="Z530" s="96"/>
      <c r="AA530" s="26"/>
      <c r="AB530" s="96"/>
      <c r="AC530" s="26"/>
    </row>
    <row r="531" spans="8:29" ht="12.75" x14ac:dyDescent="0.2">
      <c r="H531" s="26"/>
      <c r="I531" s="26"/>
      <c r="J531" s="26"/>
      <c r="Z531" s="96"/>
      <c r="AA531" s="26"/>
      <c r="AB531" s="96"/>
      <c r="AC531" s="26"/>
    </row>
    <row r="532" spans="8:29" ht="12.75" x14ac:dyDescent="0.2">
      <c r="H532" s="26"/>
      <c r="I532" s="26"/>
      <c r="J532" s="26"/>
      <c r="Z532" s="96"/>
      <c r="AA532" s="26"/>
      <c r="AB532" s="96"/>
      <c r="AC532" s="26"/>
    </row>
    <row r="533" spans="8:29" ht="12.75" x14ac:dyDescent="0.2">
      <c r="H533" s="26"/>
      <c r="I533" s="26"/>
      <c r="J533" s="26"/>
      <c r="Z533" s="96"/>
      <c r="AA533" s="26"/>
      <c r="AB533" s="96"/>
      <c r="AC533" s="26"/>
    </row>
    <row r="534" spans="8:29" ht="12.75" x14ac:dyDescent="0.2">
      <c r="H534" s="26"/>
      <c r="I534" s="26"/>
      <c r="J534" s="26"/>
      <c r="Z534" s="96"/>
      <c r="AA534" s="26"/>
      <c r="AB534" s="96"/>
      <c r="AC534" s="26"/>
    </row>
    <row r="535" spans="8:29" ht="12.75" x14ac:dyDescent="0.2">
      <c r="H535" s="26"/>
      <c r="I535" s="26"/>
      <c r="J535" s="26"/>
      <c r="Z535" s="96"/>
      <c r="AA535" s="26"/>
      <c r="AB535" s="96"/>
      <c r="AC535" s="26"/>
    </row>
    <row r="536" spans="8:29" ht="12.75" x14ac:dyDescent="0.2">
      <c r="H536" s="26"/>
      <c r="I536" s="26"/>
      <c r="J536" s="26"/>
      <c r="Z536" s="96"/>
      <c r="AA536" s="26"/>
      <c r="AB536" s="96"/>
      <c r="AC536" s="26"/>
    </row>
    <row r="537" spans="8:29" ht="12.75" x14ac:dyDescent="0.2">
      <c r="H537" s="26"/>
      <c r="I537" s="26"/>
      <c r="J537" s="26"/>
      <c r="Z537" s="96"/>
      <c r="AA537" s="26"/>
      <c r="AB537" s="96"/>
      <c r="AC537" s="26"/>
    </row>
    <row r="538" spans="8:29" ht="12.75" x14ac:dyDescent="0.2">
      <c r="H538" s="26"/>
      <c r="I538" s="26"/>
      <c r="J538" s="26"/>
      <c r="Z538" s="96"/>
      <c r="AA538" s="26"/>
      <c r="AB538" s="96"/>
      <c r="AC538" s="26"/>
    </row>
    <row r="539" spans="8:29" ht="12.75" x14ac:dyDescent="0.2">
      <c r="H539" s="26"/>
      <c r="I539" s="26"/>
      <c r="J539" s="26"/>
      <c r="Z539" s="96"/>
      <c r="AA539" s="26"/>
      <c r="AB539" s="96"/>
      <c r="AC539" s="26"/>
    </row>
    <row r="540" spans="8:29" ht="12.75" x14ac:dyDescent="0.2">
      <c r="H540" s="26"/>
      <c r="I540" s="26"/>
      <c r="J540" s="26"/>
      <c r="Z540" s="96"/>
      <c r="AA540" s="26"/>
      <c r="AB540" s="96"/>
      <c r="AC540" s="26"/>
    </row>
    <row r="541" spans="8:29" ht="12.75" x14ac:dyDescent="0.2">
      <c r="H541" s="26"/>
      <c r="I541" s="26"/>
      <c r="J541" s="26"/>
      <c r="Z541" s="96"/>
      <c r="AA541" s="26"/>
      <c r="AB541" s="96"/>
      <c r="AC541" s="26"/>
    </row>
    <row r="542" spans="8:29" ht="12.75" x14ac:dyDescent="0.2">
      <c r="H542" s="26"/>
      <c r="I542" s="26"/>
      <c r="J542" s="26"/>
      <c r="Z542" s="96"/>
      <c r="AA542" s="26"/>
      <c r="AB542" s="96"/>
      <c r="AC542" s="26"/>
    </row>
    <row r="543" spans="8:29" ht="12.75" x14ac:dyDescent="0.2">
      <c r="H543" s="26"/>
      <c r="I543" s="26"/>
      <c r="J543" s="26"/>
      <c r="Z543" s="96"/>
      <c r="AA543" s="26"/>
      <c r="AB543" s="96"/>
      <c r="AC543" s="26"/>
    </row>
    <row r="544" spans="8:29" ht="12.75" x14ac:dyDescent="0.2">
      <c r="H544" s="26"/>
      <c r="I544" s="26"/>
      <c r="J544" s="26"/>
      <c r="Z544" s="96"/>
      <c r="AA544" s="26"/>
      <c r="AB544" s="96"/>
      <c r="AC544" s="26"/>
    </row>
    <row r="545" spans="8:29" ht="12.75" x14ac:dyDescent="0.2">
      <c r="H545" s="26"/>
      <c r="I545" s="26"/>
      <c r="J545" s="26"/>
      <c r="Z545" s="96"/>
      <c r="AA545" s="26"/>
      <c r="AB545" s="96"/>
      <c r="AC545" s="26"/>
    </row>
    <row r="546" spans="8:29" ht="12.75" x14ac:dyDescent="0.2">
      <c r="H546" s="26"/>
      <c r="I546" s="26"/>
      <c r="J546" s="26"/>
      <c r="Z546" s="96"/>
      <c r="AA546" s="26"/>
      <c r="AB546" s="96"/>
      <c r="AC546" s="26"/>
    </row>
    <row r="547" spans="8:29" ht="12.75" x14ac:dyDescent="0.2">
      <c r="H547" s="26"/>
      <c r="I547" s="26"/>
      <c r="J547" s="26"/>
      <c r="Z547" s="96"/>
      <c r="AA547" s="26"/>
      <c r="AB547" s="96"/>
      <c r="AC547" s="26"/>
    </row>
    <row r="548" spans="8:29" ht="12.75" x14ac:dyDescent="0.2">
      <c r="H548" s="26"/>
      <c r="I548" s="26"/>
      <c r="J548" s="26"/>
      <c r="Z548" s="96"/>
      <c r="AA548" s="26"/>
      <c r="AB548" s="96"/>
      <c r="AC548" s="26"/>
    </row>
    <row r="549" spans="8:29" ht="12.75" x14ac:dyDescent="0.2">
      <c r="H549" s="26"/>
      <c r="I549" s="26"/>
      <c r="J549" s="26"/>
      <c r="Z549" s="96"/>
      <c r="AA549" s="26"/>
      <c r="AB549" s="96"/>
      <c r="AC549" s="26"/>
    </row>
    <row r="550" spans="8:29" ht="12.75" x14ac:dyDescent="0.2">
      <c r="H550" s="26"/>
      <c r="I550" s="26"/>
      <c r="J550" s="26"/>
      <c r="Z550" s="96"/>
      <c r="AA550" s="26"/>
      <c r="AB550" s="96"/>
      <c r="AC550" s="26"/>
    </row>
    <row r="551" spans="8:29" ht="12.75" x14ac:dyDescent="0.2">
      <c r="H551" s="26"/>
      <c r="I551" s="26"/>
      <c r="J551" s="26"/>
      <c r="Z551" s="96"/>
      <c r="AA551" s="26"/>
      <c r="AB551" s="96"/>
      <c r="AC551" s="26"/>
    </row>
    <row r="552" spans="8:29" ht="12.75" x14ac:dyDescent="0.2">
      <c r="H552" s="26"/>
      <c r="I552" s="26"/>
      <c r="J552" s="26"/>
      <c r="Z552" s="96"/>
      <c r="AA552" s="26"/>
      <c r="AB552" s="96"/>
      <c r="AC552" s="26"/>
    </row>
    <row r="553" spans="8:29" ht="12.75" x14ac:dyDescent="0.2">
      <c r="H553" s="26"/>
      <c r="I553" s="26"/>
      <c r="J553" s="26"/>
      <c r="Z553" s="96"/>
      <c r="AA553" s="26"/>
      <c r="AB553" s="96"/>
      <c r="AC553" s="26"/>
    </row>
    <row r="554" spans="8:29" ht="12.75" x14ac:dyDescent="0.2">
      <c r="H554" s="26"/>
      <c r="I554" s="26"/>
      <c r="J554" s="26"/>
      <c r="Z554" s="96"/>
      <c r="AA554" s="26"/>
      <c r="AB554" s="96"/>
      <c r="AC554" s="26"/>
    </row>
    <row r="555" spans="8:29" ht="12.75" x14ac:dyDescent="0.2">
      <c r="H555" s="26"/>
      <c r="I555" s="26"/>
      <c r="J555" s="26"/>
      <c r="Z555" s="96"/>
      <c r="AA555" s="26"/>
      <c r="AB555" s="96"/>
      <c r="AC555" s="26"/>
    </row>
    <row r="556" spans="8:29" ht="12.75" x14ac:dyDescent="0.2">
      <c r="H556" s="26"/>
      <c r="I556" s="26"/>
      <c r="J556" s="26"/>
      <c r="Z556" s="96"/>
      <c r="AA556" s="26"/>
      <c r="AB556" s="96"/>
      <c r="AC556" s="26"/>
    </row>
    <row r="557" spans="8:29" ht="12.75" x14ac:dyDescent="0.2">
      <c r="H557" s="26"/>
      <c r="I557" s="26"/>
      <c r="J557" s="26"/>
      <c r="Z557" s="96"/>
      <c r="AA557" s="26"/>
      <c r="AB557" s="96"/>
      <c r="AC557" s="26"/>
    </row>
    <row r="558" spans="8:29" ht="12.75" x14ac:dyDescent="0.2">
      <c r="H558" s="26"/>
      <c r="I558" s="26"/>
      <c r="J558" s="26"/>
      <c r="Z558" s="96"/>
      <c r="AA558" s="26"/>
      <c r="AB558" s="96"/>
      <c r="AC558" s="26"/>
    </row>
    <row r="559" spans="8:29" ht="12.75" x14ac:dyDescent="0.2">
      <c r="H559" s="26"/>
      <c r="I559" s="26"/>
      <c r="J559" s="26"/>
      <c r="Z559" s="96"/>
      <c r="AA559" s="26"/>
      <c r="AB559" s="96"/>
      <c r="AC559" s="26"/>
    </row>
    <row r="560" spans="8:29" ht="12.75" x14ac:dyDescent="0.2">
      <c r="H560" s="26"/>
      <c r="I560" s="26"/>
      <c r="J560" s="26"/>
      <c r="Z560" s="96"/>
      <c r="AA560" s="26"/>
      <c r="AB560" s="96"/>
      <c r="AC560" s="26"/>
    </row>
    <row r="561" spans="8:29" ht="12.75" x14ac:dyDescent="0.2">
      <c r="H561" s="26"/>
      <c r="I561" s="26"/>
      <c r="J561" s="26"/>
      <c r="Z561" s="96"/>
      <c r="AA561" s="26"/>
      <c r="AB561" s="96"/>
      <c r="AC561" s="26"/>
    </row>
    <row r="562" spans="8:29" ht="12.75" x14ac:dyDescent="0.2">
      <c r="H562" s="26"/>
      <c r="I562" s="26"/>
      <c r="J562" s="26"/>
      <c r="Z562" s="96"/>
      <c r="AA562" s="26"/>
      <c r="AB562" s="96"/>
      <c r="AC562" s="26"/>
    </row>
    <row r="563" spans="8:29" ht="12.75" x14ac:dyDescent="0.2">
      <c r="H563" s="26"/>
      <c r="I563" s="26"/>
      <c r="J563" s="26"/>
      <c r="Z563" s="96"/>
      <c r="AA563" s="26"/>
      <c r="AB563" s="96"/>
      <c r="AC563" s="26"/>
    </row>
    <row r="564" spans="8:29" ht="12.75" x14ac:dyDescent="0.2">
      <c r="H564" s="26"/>
      <c r="I564" s="26"/>
      <c r="J564" s="26"/>
      <c r="Z564" s="96"/>
      <c r="AA564" s="26"/>
      <c r="AB564" s="96"/>
      <c r="AC564" s="26"/>
    </row>
    <row r="565" spans="8:29" ht="12.75" x14ac:dyDescent="0.2">
      <c r="H565" s="26"/>
      <c r="I565" s="26"/>
      <c r="J565" s="26"/>
      <c r="Z565" s="96"/>
      <c r="AA565" s="26"/>
      <c r="AB565" s="96"/>
      <c r="AC565" s="26"/>
    </row>
    <row r="566" spans="8:29" ht="12.75" x14ac:dyDescent="0.2">
      <c r="H566" s="26"/>
      <c r="I566" s="26"/>
      <c r="J566" s="26"/>
      <c r="Z566" s="96"/>
      <c r="AA566" s="26"/>
      <c r="AB566" s="96"/>
      <c r="AC566" s="26"/>
    </row>
    <row r="567" spans="8:29" ht="12.75" x14ac:dyDescent="0.2">
      <c r="H567" s="26"/>
      <c r="I567" s="26"/>
      <c r="J567" s="26"/>
      <c r="Z567" s="96"/>
      <c r="AA567" s="26"/>
      <c r="AB567" s="96"/>
      <c r="AC567" s="26"/>
    </row>
    <row r="568" spans="8:29" ht="12.75" x14ac:dyDescent="0.2">
      <c r="H568" s="26"/>
      <c r="I568" s="26"/>
      <c r="J568" s="26"/>
      <c r="Z568" s="96"/>
      <c r="AA568" s="26"/>
      <c r="AB568" s="96"/>
      <c r="AC568" s="26"/>
    </row>
    <row r="569" spans="8:29" ht="12.75" x14ac:dyDescent="0.2">
      <c r="H569" s="26"/>
      <c r="I569" s="26"/>
      <c r="J569" s="26"/>
      <c r="Z569" s="96"/>
      <c r="AA569" s="26"/>
      <c r="AB569" s="96"/>
      <c r="AC569" s="26"/>
    </row>
    <row r="570" spans="8:29" ht="12.75" x14ac:dyDescent="0.2">
      <c r="H570" s="26"/>
      <c r="I570" s="26"/>
      <c r="J570" s="26"/>
      <c r="Z570" s="96"/>
      <c r="AA570" s="26"/>
      <c r="AB570" s="96"/>
      <c r="AC570" s="26"/>
    </row>
    <row r="571" spans="8:29" ht="12.75" x14ac:dyDescent="0.2">
      <c r="H571" s="26"/>
      <c r="I571" s="26"/>
      <c r="J571" s="26"/>
      <c r="Z571" s="96"/>
      <c r="AA571" s="26"/>
      <c r="AB571" s="96"/>
      <c r="AC571" s="26"/>
    </row>
    <row r="572" spans="8:29" ht="12.75" x14ac:dyDescent="0.2">
      <c r="H572" s="26"/>
      <c r="I572" s="26"/>
      <c r="J572" s="26"/>
      <c r="Z572" s="96"/>
      <c r="AA572" s="26"/>
      <c r="AB572" s="96"/>
      <c r="AC572" s="26"/>
    </row>
    <row r="573" spans="8:29" ht="12.75" x14ac:dyDescent="0.2">
      <c r="H573" s="26"/>
      <c r="I573" s="26"/>
      <c r="J573" s="26"/>
      <c r="Z573" s="96"/>
      <c r="AA573" s="26"/>
      <c r="AB573" s="96"/>
      <c r="AC573" s="26"/>
    </row>
    <row r="574" spans="8:29" ht="12.75" x14ac:dyDescent="0.2">
      <c r="H574" s="26"/>
      <c r="I574" s="26"/>
      <c r="J574" s="26"/>
      <c r="Z574" s="96"/>
      <c r="AA574" s="26"/>
      <c r="AB574" s="96"/>
      <c r="AC574" s="26"/>
    </row>
    <row r="575" spans="8:29" ht="12.75" x14ac:dyDescent="0.2">
      <c r="H575" s="26"/>
      <c r="I575" s="26"/>
      <c r="J575" s="26"/>
      <c r="Z575" s="96"/>
      <c r="AA575" s="26"/>
      <c r="AB575" s="96"/>
      <c r="AC575" s="26"/>
    </row>
    <row r="576" spans="8:29" ht="12.75" x14ac:dyDescent="0.2">
      <c r="H576" s="26"/>
      <c r="I576" s="26"/>
      <c r="J576" s="26"/>
      <c r="Z576" s="96"/>
      <c r="AA576" s="26"/>
      <c r="AB576" s="96"/>
      <c r="AC576" s="26"/>
    </row>
    <row r="577" spans="8:29" ht="12.75" x14ac:dyDescent="0.2">
      <c r="H577" s="26"/>
      <c r="I577" s="26"/>
      <c r="J577" s="26"/>
      <c r="Z577" s="96"/>
      <c r="AA577" s="26"/>
      <c r="AB577" s="96"/>
      <c r="AC577" s="26"/>
    </row>
    <row r="578" spans="8:29" ht="12.75" x14ac:dyDescent="0.2">
      <c r="H578" s="26"/>
      <c r="I578" s="26"/>
      <c r="J578" s="26"/>
      <c r="Z578" s="96"/>
      <c r="AA578" s="26"/>
      <c r="AB578" s="96"/>
      <c r="AC578" s="26"/>
    </row>
    <row r="579" spans="8:29" ht="12.75" x14ac:dyDescent="0.2">
      <c r="H579" s="26"/>
      <c r="I579" s="26"/>
      <c r="J579" s="26"/>
      <c r="Z579" s="96"/>
      <c r="AA579" s="26"/>
      <c r="AB579" s="96"/>
      <c r="AC579" s="26"/>
    </row>
    <row r="580" spans="8:29" ht="12.75" x14ac:dyDescent="0.2">
      <c r="H580" s="26"/>
      <c r="I580" s="26"/>
      <c r="J580" s="26"/>
      <c r="Z580" s="96"/>
      <c r="AA580" s="26"/>
      <c r="AB580" s="96"/>
      <c r="AC580" s="26"/>
    </row>
    <row r="581" spans="8:29" ht="12.75" x14ac:dyDescent="0.2">
      <c r="H581" s="26"/>
      <c r="I581" s="26"/>
      <c r="J581" s="26"/>
      <c r="Z581" s="96"/>
      <c r="AA581" s="26"/>
      <c r="AB581" s="96"/>
      <c r="AC581" s="26"/>
    </row>
    <row r="582" spans="8:29" ht="12.75" x14ac:dyDescent="0.2">
      <c r="H582" s="26"/>
      <c r="I582" s="26"/>
      <c r="J582" s="26"/>
      <c r="Z582" s="96"/>
      <c r="AA582" s="26"/>
      <c r="AB582" s="96"/>
      <c r="AC582" s="26"/>
    </row>
    <row r="583" spans="8:29" ht="12.75" x14ac:dyDescent="0.2">
      <c r="H583" s="26"/>
      <c r="I583" s="26"/>
      <c r="J583" s="26"/>
      <c r="Z583" s="96"/>
      <c r="AA583" s="26"/>
      <c r="AB583" s="96"/>
      <c r="AC583" s="26"/>
    </row>
    <row r="584" spans="8:29" ht="12.75" x14ac:dyDescent="0.2">
      <c r="H584" s="26"/>
      <c r="I584" s="26"/>
      <c r="J584" s="26"/>
      <c r="Z584" s="96"/>
      <c r="AA584" s="26"/>
      <c r="AB584" s="96"/>
      <c r="AC584" s="26"/>
    </row>
    <row r="585" spans="8:29" ht="12.75" x14ac:dyDescent="0.2">
      <c r="H585" s="26"/>
      <c r="I585" s="26"/>
      <c r="J585" s="26"/>
      <c r="Z585" s="96"/>
      <c r="AA585" s="26"/>
      <c r="AB585" s="96"/>
      <c r="AC585" s="26"/>
    </row>
    <row r="586" spans="8:29" ht="12.75" x14ac:dyDescent="0.2">
      <c r="H586" s="26"/>
      <c r="I586" s="26"/>
      <c r="J586" s="26"/>
      <c r="Z586" s="96"/>
      <c r="AA586" s="26"/>
      <c r="AB586" s="96"/>
      <c r="AC586" s="26"/>
    </row>
    <row r="587" spans="8:29" ht="12.75" x14ac:dyDescent="0.2">
      <c r="H587" s="26"/>
      <c r="I587" s="26"/>
      <c r="J587" s="26"/>
      <c r="Z587" s="96"/>
      <c r="AA587" s="26"/>
      <c r="AB587" s="96"/>
      <c r="AC587" s="26"/>
    </row>
    <row r="588" spans="8:29" ht="12.75" x14ac:dyDescent="0.2">
      <c r="H588" s="26"/>
      <c r="I588" s="26"/>
      <c r="J588" s="26"/>
      <c r="Z588" s="96"/>
      <c r="AA588" s="26"/>
      <c r="AB588" s="96"/>
      <c r="AC588" s="26"/>
    </row>
    <row r="589" spans="8:29" ht="12.75" x14ac:dyDescent="0.2">
      <c r="H589" s="26"/>
      <c r="I589" s="26"/>
      <c r="J589" s="26"/>
      <c r="Z589" s="96"/>
      <c r="AA589" s="26"/>
      <c r="AB589" s="96"/>
      <c r="AC589" s="26"/>
    </row>
    <row r="590" spans="8:29" ht="12.75" x14ac:dyDescent="0.2">
      <c r="H590" s="26"/>
      <c r="I590" s="26"/>
      <c r="J590" s="26"/>
      <c r="Z590" s="96"/>
      <c r="AA590" s="26"/>
      <c r="AB590" s="96"/>
      <c r="AC590" s="26"/>
    </row>
    <row r="591" spans="8:29" ht="12.75" x14ac:dyDescent="0.2">
      <c r="H591" s="26"/>
      <c r="I591" s="26"/>
      <c r="J591" s="26"/>
      <c r="Z591" s="96"/>
      <c r="AA591" s="26"/>
      <c r="AB591" s="96"/>
      <c r="AC591" s="26"/>
    </row>
    <row r="592" spans="8:29" ht="12.75" x14ac:dyDescent="0.2">
      <c r="H592" s="26"/>
      <c r="I592" s="26"/>
      <c r="J592" s="26"/>
      <c r="Z592" s="96"/>
      <c r="AA592" s="26"/>
      <c r="AB592" s="96"/>
      <c r="AC592" s="26"/>
    </row>
    <row r="593" spans="8:29" ht="12.75" x14ac:dyDescent="0.2">
      <c r="H593" s="26"/>
      <c r="I593" s="26"/>
      <c r="J593" s="26"/>
      <c r="Z593" s="96"/>
      <c r="AA593" s="26"/>
      <c r="AB593" s="96"/>
      <c r="AC593" s="26"/>
    </row>
    <row r="594" spans="8:29" ht="12.75" x14ac:dyDescent="0.2">
      <c r="H594" s="26"/>
      <c r="I594" s="26"/>
      <c r="J594" s="26"/>
      <c r="Z594" s="96"/>
      <c r="AA594" s="26"/>
      <c r="AB594" s="96"/>
      <c r="AC594" s="26"/>
    </row>
    <row r="595" spans="8:29" ht="12.75" x14ac:dyDescent="0.2">
      <c r="H595" s="26"/>
      <c r="I595" s="26"/>
      <c r="J595" s="26"/>
      <c r="Z595" s="96"/>
      <c r="AA595" s="26"/>
      <c r="AB595" s="96"/>
      <c r="AC595" s="26"/>
    </row>
    <row r="596" spans="8:29" ht="12.75" x14ac:dyDescent="0.2">
      <c r="H596" s="26"/>
      <c r="I596" s="26"/>
      <c r="J596" s="26"/>
      <c r="Z596" s="96"/>
      <c r="AA596" s="26"/>
      <c r="AB596" s="96"/>
      <c r="AC596" s="26"/>
    </row>
    <row r="597" spans="8:29" ht="12.75" x14ac:dyDescent="0.2">
      <c r="H597" s="26"/>
      <c r="I597" s="26"/>
      <c r="J597" s="26"/>
      <c r="Z597" s="96"/>
      <c r="AA597" s="26"/>
      <c r="AB597" s="96"/>
      <c r="AC597" s="26"/>
    </row>
    <row r="598" spans="8:29" ht="12.75" x14ac:dyDescent="0.2">
      <c r="H598" s="26"/>
      <c r="I598" s="26"/>
      <c r="J598" s="26"/>
      <c r="Z598" s="96"/>
      <c r="AA598" s="26"/>
      <c r="AB598" s="96"/>
      <c r="AC598" s="26"/>
    </row>
    <row r="599" spans="8:29" ht="12.75" x14ac:dyDescent="0.2">
      <c r="H599" s="26"/>
      <c r="I599" s="26"/>
      <c r="J599" s="26"/>
      <c r="Z599" s="96"/>
      <c r="AA599" s="26"/>
      <c r="AB599" s="96"/>
      <c r="AC599" s="26"/>
    </row>
    <row r="600" spans="8:29" ht="12.75" x14ac:dyDescent="0.2">
      <c r="H600" s="26"/>
      <c r="I600" s="26"/>
      <c r="J600" s="26"/>
      <c r="Z600" s="96"/>
      <c r="AA600" s="26"/>
      <c r="AB600" s="96"/>
      <c r="AC600" s="26"/>
    </row>
    <row r="601" spans="8:29" ht="12.75" x14ac:dyDescent="0.2">
      <c r="H601" s="26"/>
      <c r="I601" s="26"/>
      <c r="J601" s="26"/>
      <c r="Z601" s="96"/>
      <c r="AA601" s="26"/>
      <c r="AB601" s="96"/>
      <c r="AC601" s="26"/>
    </row>
    <row r="602" spans="8:29" ht="12.75" x14ac:dyDescent="0.2">
      <c r="H602" s="26"/>
      <c r="I602" s="26"/>
      <c r="J602" s="26"/>
      <c r="Z602" s="96"/>
      <c r="AA602" s="26"/>
      <c r="AB602" s="96"/>
      <c r="AC602" s="26"/>
    </row>
    <row r="603" spans="8:29" ht="12.75" x14ac:dyDescent="0.2">
      <c r="H603" s="26"/>
      <c r="I603" s="26"/>
      <c r="J603" s="26"/>
      <c r="Z603" s="96"/>
      <c r="AA603" s="26"/>
      <c r="AB603" s="96"/>
      <c r="AC603" s="26"/>
    </row>
    <row r="604" spans="8:29" ht="12.75" x14ac:dyDescent="0.2">
      <c r="H604" s="26"/>
      <c r="I604" s="26"/>
      <c r="J604" s="26"/>
      <c r="Z604" s="96"/>
      <c r="AA604" s="26"/>
      <c r="AB604" s="96"/>
      <c r="AC604" s="26"/>
    </row>
    <row r="605" spans="8:29" ht="12.75" x14ac:dyDescent="0.2">
      <c r="H605" s="26"/>
      <c r="I605" s="26"/>
      <c r="J605" s="26"/>
      <c r="Z605" s="96"/>
      <c r="AA605" s="26"/>
      <c r="AB605" s="96"/>
      <c r="AC605" s="26"/>
    </row>
    <row r="606" spans="8:29" ht="12.75" x14ac:dyDescent="0.2">
      <c r="H606" s="26"/>
      <c r="I606" s="26"/>
      <c r="J606" s="26"/>
      <c r="Z606" s="96"/>
      <c r="AA606" s="26"/>
      <c r="AB606" s="96"/>
      <c r="AC606" s="26"/>
    </row>
    <row r="607" spans="8:29" ht="12.75" x14ac:dyDescent="0.2">
      <c r="H607" s="26"/>
      <c r="I607" s="26"/>
      <c r="J607" s="26"/>
      <c r="Z607" s="96"/>
      <c r="AA607" s="26"/>
      <c r="AB607" s="96"/>
      <c r="AC607" s="26"/>
    </row>
    <row r="608" spans="8:29" ht="12.75" x14ac:dyDescent="0.2">
      <c r="H608" s="26"/>
      <c r="I608" s="26"/>
      <c r="J608" s="26"/>
      <c r="Z608" s="96"/>
      <c r="AA608" s="26"/>
      <c r="AB608" s="96"/>
      <c r="AC608" s="26"/>
    </row>
    <row r="609" spans="8:29" ht="12.75" x14ac:dyDescent="0.2">
      <c r="H609" s="26"/>
      <c r="I609" s="26"/>
      <c r="J609" s="26"/>
      <c r="Z609" s="96"/>
      <c r="AA609" s="26"/>
      <c r="AB609" s="96"/>
      <c r="AC609" s="26"/>
    </row>
    <row r="610" spans="8:29" ht="12.75" x14ac:dyDescent="0.2">
      <c r="H610" s="26"/>
      <c r="I610" s="26"/>
      <c r="J610" s="26"/>
      <c r="Z610" s="96"/>
      <c r="AA610" s="26"/>
      <c r="AB610" s="96"/>
      <c r="AC610" s="26"/>
    </row>
    <row r="611" spans="8:29" ht="12.75" x14ac:dyDescent="0.2">
      <c r="H611" s="26"/>
      <c r="I611" s="26"/>
      <c r="J611" s="26"/>
      <c r="Z611" s="96"/>
      <c r="AA611" s="26"/>
      <c r="AB611" s="96"/>
      <c r="AC611" s="26"/>
    </row>
    <row r="612" spans="8:29" ht="12.75" x14ac:dyDescent="0.2">
      <c r="H612" s="26"/>
      <c r="I612" s="26"/>
      <c r="J612" s="26"/>
      <c r="Z612" s="96"/>
      <c r="AA612" s="26"/>
      <c r="AB612" s="96"/>
      <c r="AC612" s="26"/>
    </row>
    <row r="613" spans="8:29" ht="12.75" x14ac:dyDescent="0.2">
      <c r="H613" s="26"/>
      <c r="I613" s="26"/>
      <c r="J613" s="26"/>
      <c r="Z613" s="96"/>
      <c r="AA613" s="26"/>
      <c r="AB613" s="96"/>
      <c r="AC613" s="26"/>
    </row>
    <row r="614" spans="8:29" ht="12.75" x14ac:dyDescent="0.2">
      <c r="H614" s="26"/>
      <c r="I614" s="26"/>
      <c r="J614" s="26"/>
      <c r="Z614" s="96"/>
      <c r="AA614" s="26"/>
      <c r="AB614" s="96"/>
      <c r="AC614" s="26"/>
    </row>
    <row r="615" spans="8:29" ht="12.75" x14ac:dyDescent="0.2">
      <c r="H615" s="26"/>
      <c r="I615" s="26"/>
      <c r="J615" s="26"/>
      <c r="Z615" s="96"/>
      <c r="AA615" s="26"/>
      <c r="AB615" s="96"/>
      <c r="AC615" s="26"/>
    </row>
    <row r="616" spans="8:29" ht="12.75" x14ac:dyDescent="0.2">
      <c r="H616" s="26"/>
      <c r="I616" s="26"/>
      <c r="J616" s="26"/>
      <c r="Z616" s="96"/>
      <c r="AA616" s="26"/>
      <c r="AB616" s="96"/>
      <c r="AC616" s="26"/>
    </row>
    <row r="617" spans="8:29" ht="12.75" x14ac:dyDescent="0.2">
      <c r="H617" s="26"/>
      <c r="I617" s="26"/>
      <c r="J617" s="26"/>
      <c r="Z617" s="96"/>
      <c r="AA617" s="26"/>
      <c r="AB617" s="96"/>
      <c r="AC617" s="26"/>
    </row>
    <row r="618" spans="8:29" ht="12.75" x14ac:dyDescent="0.2">
      <c r="H618" s="26"/>
      <c r="I618" s="26"/>
      <c r="J618" s="26"/>
      <c r="Z618" s="96"/>
      <c r="AA618" s="26"/>
      <c r="AB618" s="96"/>
      <c r="AC618" s="26"/>
    </row>
    <row r="619" spans="8:29" ht="12.75" x14ac:dyDescent="0.2">
      <c r="H619" s="26"/>
      <c r="I619" s="26"/>
      <c r="J619" s="26"/>
      <c r="Z619" s="96"/>
      <c r="AA619" s="26"/>
      <c r="AB619" s="96"/>
      <c r="AC619" s="26"/>
    </row>
    <row r="620" spans="8:29" ht="12.75" x14ac:dyDescent="0.2">
      <c r="H620" s="26"/>
      <c r="I620" s="26"/>
      <c r="J620" s="26"/>
      <c r="Z620" s="96"/>
      <c r="AA620" s="26"/>
      <c r="AB620" s="96"/>
      <c r="AC620" s="26"/>
    </row>
    <row r="621" spans="8:29" ht="12.75" x14ac:dyDescent="0.2">
      <c r="H621" s="26"/>
      <c r="I621" s="26"/>
      <c r="J621" s="26"/>
      <c r="Z621" s="96"/>
      <c r="AA621" s="26"/>
      <c r="AB621" s="96"/>
      <c r="AC621" s="26"/>
    </row>
    <row r="622" spans="8:29" ht="12.75" x14ac:dyDescent="0.2">
      <c r="H622" s="26"/>
      <c r="I622" s="26"/>
      <c r="J622" s="26"/>
      <c r="Z622" s="96"/>
      <c r="AA622" s="26"/>
      <c r="AB622" s="96"/>
      <c r="AC622" s="26"/>
    </row>
    <row r="623" spans="8:29" ht="12.75" x14ac:dyDescent="0.2">
      <c r="H623" s="26"/>
      <c r="I623" s="26"/>
      <c r="J623" s="26"/>
      <c r="Z623" s="96"/>
      <c r="AA623" s="26"/>
      <c r="AB623" s="96"/>
      <c r="AC623" s="26"/>
    </row>
    <row r="624" spans="8:29" ht="12.75" x14ac:dyDescent="0.2">
      <c r="H624" s="26"/>
      <c r="I624" s="26"/>
      <c r="J624" s="26"/>
      <c r="Z624" s="96"/>
      <c r="AA624" s="26"/>
      <c r="AB624" s="96"/>
      <c r="AC624" s="26"/>
    </row>
    <row r="625" spans="8:29" ht="12.75" x14ac:dyDescent="0.2">
      <c r="H625" s="26"/>
      <c r="I625" s="26"/>
      <c r="J625" s="26"/>
      <c r="Z625" s="96"/>
      <c r="AA625" s="26"/>
      <c r="AB625" s="96"/>
      <c r="AC625" s="26"/>
    </row>
    <row r="626" spans="8:29" ht="12.75" x14ac:dyDescent="0.2">
      <c r="H626" s="26"/>
      <c r="I626" s="26"/>
      <c r="J626" s="26"/>
      <c r="Z626" s="96"/>
      <c r="AA626" s="26"/>
      <c r="AB626" s="96"/>
      <c r="AC626" s="26"/>
    </row>
    <row r="627" spans="8:29" ht="12.75" x14ac:dyDescent="0.2">
      <c r="H627" s="26"/>
      <c r="I627" s="26"/>
      <c r="J627" s="26"/>
      <c r="Z627" s="96"/>
      <c r="AA627" s="26"/>
      <c r="AB627" s="96"/>
      <c r="AC627" s="26"/>
    </row>
    <row r="628" spans="8:29" ht="12.75" x14ac:dyDescent="0.2">
      <c r="H628" s="26"/>
      <c r="I628" s="26"/>
      <c r="J628" s="26"/>
      <c r="Z628" s="96"/>
      <c r="AA628" s="26"/>
      <c r="AB628" s="96"/>
      <c r="AC628" s="26"/>
    </row>
    <row r="629" spans="8:29" ht="12.75" x14ac:dyDescent="0.2">
      <c r="H629" s="26"/>
      <c r="I629" s="26"/>
      <c r="J629" s="26"/>
      <c r="Z629" s="96"/>
      <c r="AA629" s="26"/>
      <c r="AB629" s="96"/>
      <c r="AC629" s="26"/>
    </row>
    <row r="630" spans="8:29" ht="12.75" x14ac:dyDescent="0.2">
      <c r="H630" s="26"/>
      <c r="I630" s="26"/>
      <c r="J630" s="26"/>
      <c r="Z630" s="96"/>
      <c r="AA630" s="26"/>
      <c r="AB630" s="96"/>
      <c r="AC630" s="26"/>
    </row>
    <row r="631" spans="8:29" ht="12.75" x14ac:dyDescent="0.2">
      <c r="H631" s="26"/>
      <c r="I631" s="26"/>
      <c r="J631" s="26"/>
      <c r="Z631" s="96"/>
      <c r="AA631" s="26"/>
      <c r="AB631" s="96"/>
      <c r="AC631" s="26"/>
    </row>
    <row r="632" spans="8:29" ht="12.75" x14ac:dyDescent="0.2">
      <c r="H632" s="26"/>
      <c r="I632" s="26"/>
      <c r="J632" s="26"/>
      <c r="Z632" s="96"/>
      <c r="AA632" s="26"/>
      <c r="AB632" s="96"/>
      <c r="AC632" s="26"/>
    </row>
    <row r="633" spans="8:29" ht="12.75" x14ac:dyDescent="0.2">
      <c r="H633" s="26"/>
      <c r="I633" s="26"/>
      <c r="J633" s="26"/>
      <c r="Z633" s="96"/>
      <c r="AA633" s="26"/>
      <c r="AB633" s="96"/>
      <c r="AC633" s="26"/>
    </row>
    <row r="634" spans="8:29" ht="12.75" x14ac:dyDescent="0.2">
      <c r="H634" s="26"/>
      <c r="I634" s="26"/>
      <c r="J634" s="26"/>
      <c r="Z634" s="96"/>
      <c r="AA634" s="26"/>
      <c r="AB634" s="96"/>
      <c r="AC634" s="26"/>
    </row>
    <row r="635" spans="8:29" ht="12.75" x14ac:dyDescent="0.2">
      <c r="H635" s="26"/>
      <c r="I635" s="26"/>
      <c r="J635" s="26"/>
      <c r="Z635" s="96"/>
      <c r="AA635" s="26"/>
      <c r="AB635" s="96"/>
      <c r="AC635" s="26"/>
    </row>
    <row r="636" spans="8:29" ht="12.75" x14ac:dyDescent="0.2">
      <c r="H636" s="26"/>
      <c r="I636" s="26"/>
      <c r="J636" s="26"/>
      <c r="Z636" s="96"/>
      <c r="AA636" s="26"/>
      <c r="AB636" s="96"/>
      <c r="AC636" s="26"/>
    </row>
    <row r="637" spans="8:29" ht="12.75" x14ac:dyDescent="0.2">
      <c r="H637" s="26"/>
      <c r="I637" s="26"/>
      <c r="J637" s="26"/>
      <c r="Z637" s="96"/>
      <c r="AA637" s="26"/>
      <c r="AB637" s="96"/>
      <c r="AC637" s="26"/>
    </row>
    <row r="638" spans="8:29" ht="12.75" x14ac:dyDescent="0.2">
      <c r="H638" s="26"/>
      <c r="I638" s="26"/>
      <c r="J638" s="26"/>
      <c r="Z638" s="96"/>
      <c r="AA638" s="26"/>
      <c r="AB638" s="96"/>
      <c r="AC638" s="26"/>
    </row>
    <row r="639" spans="8:29" ht="12.75" x14ac:dyDescent="0.2">
      <c r="H639" s="26"/>
      <c r="I639" s="26"/>
      <c r="J639" s="26"/>
      <c r="Z639" s="96"/>
      <c r="AA639" s="26"/>
      <c r="AB639" s="96"/>
      <c r="AC639" s="26"/>
    </row>
    <row r="640" spans="8:29" ht="12.75" x14ac:dyDescent="0.2">
      <c r="H640" s="26"/>
      <c r="I640" s="26"/>
      <c r="J640" s="26"/>
      <c r="Z640" s="96"/>
      <c r="AA640" s="26"/>
      <c r="AB640" s="96"/>
      <c r="AC640" s="26"/>
    </row>
    <row r="641" spans="8:29" ht="12.75" x14ac:dyDescent="0.2">
      <c r="H641" s="26"/>
      <c r="I641" s="26"/>
      <c r="J641" s="26"/>
      <c r="Z641" s="96"/>
      <c r="AA641" s="26"/>
      <c r="AB641" s="96"/>
      <c r="AC641" s="26"/>
    </row>
    <row r="642" spans="8:29" ht="12.75" x14ac:dyDescent="0.2">
      <c r="H642" s="26"/>
      <c r="I642" s="26"/>
      <c r="J642" s="26"/>
      <c r="Z642" s="96"/>
      <c r="AA642" s="26"/>
      <c r="AB642" s="96"/>
      <c r="AC642" s="26"/>
    </row>
    <row r="643" spans="8:29" ht="12.75" x14ac:dyDescent="0.2">
      <c r="H643" s="26"/>
      <c r="I643" s="26"/>
      <c r="J643" s="26"/>
      <c r="Z643" s="96"/>
      <c r="AA643" s="26"/>
      <c r="AB643" s="96"/>
      <c r="AC643" s="26"/>
    </row>
    <row r="644" spans="8:29" ht="12.75" x14ac:dyDescent="0.2">
      <c r="H644" s="26"/>
      <c r="I644" s="26"/>
      <c r="J644" s="26"/>
      <c r="Z644" s="96"/>
      <c r="AA644" s="26"/>
      <c r="AB644" s="96"/>
      <c r="AC644" s="26"/>
    </row>
    <row r="645" spans="8:29" ht="12.75" x14ac:dyDescent="0.2">
      <c r="H645" s="26"/>
      <c r="I645" s="26"/>
      <c r="J645" s="26"/>
      <c r="Z645" s="96"/>
      <c r="AA645" s="26"/>
      <c r="AB645" s="96"/>
      <c r="AC645" s="26"/>
    </row>
    <row r="646" spans="8:29" ht="12.75" x14ac:dyDescent="0.2">
      <c r="H646" s="26"/>
      <c r="I646" s="26"/>
      <c r="J646" s="26"/>
      <c r="Z646" s="96"/>
      <c r="AA646" s="26"/>
      <c r="AB646" s="96"/>
      <c r="AC646" s="26"/>
    </row>
    <row r="647" spans="8:29" ht="12.75" x14ac:dyDescent="0.2">
      <c r="H647" s="26"/>
      <c r="I647" s="26"/>
      <c r="J647" s="26"/>
      <c r="Z647" s="96"/>
      <c r="AA647" s="26"/>
      <c r="AB647" s="96"/>
      <c r="AC647" s="26"/>
    </row>
    <row r="648" spans="8:29" ht="12.75" x14ac:dyDescent="0.2">
      <c r="H648" s="26"/>
      <c r="I648" s="26"/>
      <c r="J648" s="26"/>
      <c r="Z648" s="96"/>
      <c r="AA648" s="26"/>
      <c r="AB648" s="96"/>
      <c r="AC648" s="26"/>
    </row>
    <row r="649" spans="8:29" ht="12.75" x14ac:dyDescent="0.2">
      <c r="H649" s="26"/>
      <c r="I649" s="26"/>
      <c r="J649" s="26"/>
      <c r="Z649" s="96"/>
      <c r="AA649" s="26"/>
      <c r="AB649" s="96"/>
      <c r="AC649" s="26"/>
    </row>
    <row r="650" spans="8:29" ht="12.75" x14ac:dyDescent="0.2">
      <c r="H650" s="26"/>
      <c r="I650" s="26"/>
      <c r="J650" s="26"/>
      <c r="Z650" s="96"/>
      <c r="AA650" s="26"/>
      <c r="AB650" s="96"/>
      <c r="AC650" s="26"/>
    </row>
    <row r="651" spans="8:29" ht="12.75" x14ac:dyDescent="0.2">
      <c r="H651" s="26"/>
      <c r="I651" s="26"/>
      <c r="J651" s="26"/>
      <c r="Z651" s="96"/>
      <c r="AA651" s="26"/>
      <c r="AB651" s="96"/>
      <c r="AC651" s="26"/>
    </row>
    <row r="652" spans="8:29" ht="12.75" x14ac:dyDescent="0.2">
      <c r="H652" s="26"/>
      <c r="I652" s="26"/>
      <c r="J652" s="26"/>
      <c r="Z652" s="96"/>
      <c r="AA652" s="26"/>
      <c r="AB652" s="96"/>
      <c r="AC652" s="26"/>
    </row>
    <row r="653" spans="8:29" ht="12.75" x14ac:dyDescent="0.2">
      <c r="H653" s="26"/>
      <c r="I653" s="26"/>
      <c r="J653" s="26"/>
      <c r="Z653" s="96"/>
      <c r="AA653" s="26"/>
      <c r="AB653" s="96"/>
      <c r="AC653" s="26"/>
    </row>
    <row r="654" spans="8:29" ht="12.75" x14ac:dyDescent="0.2">
      <c r="H654" s="26"/>
      <c r="I654" s="26"/>
      <c r="J654" s="26"/>
      <c r="Z654" s="96"/>
      <c r="AA654" s="26"/>
      <c r="AB654" s="96"/>
      <c r="AC654" s="26"/>
    </row>
    <row r="655" spans="8:29" ht="12.75" x14ac:dyDescent="0.2">
      <c r="H655" s="26"/>
      <c r="I655" s="26"/>
      <c r="J655" s="26"/>
      <c r="Z655" s="96"/>
      <c r="AA655" s="26"/>
      <c r="AB655" s="96"/>
      <c r="AC655" s="26"/>
    </row>
    <row r="656" spans="8:29" ht="12.75" x14ac:dyDescent="0.2">
      <c r="H656" s="26"/>
      <c r="I656" s="26"/>
      <c r="J656" s="26"/>
      <c r="Z656" s="96"/>
      <c r="AA656" s="26"/>
      <c r="AB656" s="96"/>
      <c r="AC656" s="26"/>
    </row>
    <row r="657" spans="8:29" ht="12.75" x14ac:dyDescent="0.2">
      <c r="H657" s="26"/>
      <c r="I657" s="26"/>
      <c r="J657" s="26"/>
      <c r="Z657" s="96"/>
      <c r="AA657" s="26"/>
      <c r="AB657" s="96"/>
      <c r="AC657" s="26"/>
    </row>
    <row r="658" spans="8:29" ht="12.75" x14ac:dyDescent="0.2">
      <c r="H658" s="26"/>
      <c r="I658" s="26"/>
      <c r="J658" s="26"/>
      <c r="Z658" s="96"/>
      <c r="AA658" s="26"/>
      <c r="AB658" s="96"/>
      <c r="AC658" s="26"/>
    </row>
    <row r="659" spans="8:29" ht="12.75" x14ac:dyDescent="0.2">
      <c r="H659" s="26"/>
      <c r="I659" s="26"/>
      <c r="J659" s="26"/>
      <c r="Z659" s="96"/>
      <c r="AA659" s="26"/>
      <c r="AB659" s="96"/>
      <c r="AC659" s="26"/>
    </row>
    <row r="660" spans="8:29" ht="12.75" x14ac:dyDescent="0.2">
      <c r="H660" s="26"/>
      <c r="I660" s="26"/>
      <c r="J660" s="26"/>
      <c r="Z660" s="96"/>
      <c r="AA660" s="26"/>
      <c r="AB660" s="96"/>
      <c r="AC660" s="26"/>
    </row>
    <row r="661" spans="8:29" ht="12.75" x14ac:dyDescent="0.2">
      <c r="H661" s="26"/>
      <c r="I661" s="26"/>
      <c r="J661" s="26"/>
      <c r="Z661" s="96"/>
      <c r="AA661" s="26"/>
      <c r="AB661" s="96"/>
      <c r="AC661" s="26"/>
    </row>
    <row r="662" spans="8:29" ht="12.75" x14ac:dyDescent="0.2">
      <c r="H662" s="26"/>
      <c r="I662" s="26"/>
      <c r="J662" s="26"/>
      <c r="Z662" s="96"/>
      <c r="AA662" s="26"/>
      <c r="AB662" s="96"/>
      <c r="AC662" s="26"/>
    </row>
    <row r="663" spans="8:29" ht="12.75" x14ac:dyDescent="0.2">
      <c r="H663" s="26"/>
      <c r="I663" s="26"/>
      <c r="J663" s="26"/>
      <c r="Z663" s="96"/>
      <c r="AA663" s="26"/>
      <c r="AB663" s="96"/>
      <c r="AC663" s="26"/>
    </row>
    <row r="664" spans="8:29" ht="12.75" x14ac:dyDescent="0.2">
      <c r="H664" s="26"/>
      <c r="I664" s="26"/>
      <c r="J664" s="26"/>
      <c r="Z664" s="96"/>
      <c r="AA664" s="26"/>
      <c r="AB664" s="96"/>
      <c r="AC664" s="26"/>
    </row>
    <row r="665" spans="8:29" ht="12.75" x14ac:dyDescent="0.2">
      <c r="H665" s="26"/>
      <c r="I665" s="26"/>
      <c r="J665" s="26"/>
      <c r="Z665" s="96"/>
      <c r="AA665" s="26"/>
      <c r="AB665" s="96"/>
      <c r="AC665" s="26"/>
    </row>
    <row r="666" spans="8:29" ht="12.75" x14ac:dyDescent="0.2">
      <c r="H666" s="26"/>
      <c r="I666" s="26"/>
      <c r="J666" s="26"/>
      <c r="Z666" s="96"/>
      <c r="AA666" s="26"/>
      <c r="AB666" s="96"/>
      <c r="AC666" s="26"/>
    </row>
    <row r="667" spans="8:29" ht="12.75" x14ac:dyDescent="0.2">
      <c r="H667" s="26"/>
      <c r="I667" s="26"/>
      <c r="J667" s="26"/>
      <c r="Z667" s="96"/>
      <c r="AA667" s="26"/>
      <c r="AB667" s="96"/>
      <c r="AC667" s="26"/>
    </row>
    <row r="668" spans="8:29" ht="12.75" x14ac:dyDescent="0.2">
      <c r="H668" s="26"/>
      <c r="I668" s="26"/>
      <c r="J668" s="26"/>
      <c r="Z668" s="96"/>
      <c r="AA668" s="26"/>
      <c r="AB668" s="96"/>
      <c r="AC668" s="26"/>
    </row>
    <row r="669" spans="8:29" ht="12.75" x14ac:dyDescent="0.2">
      <c r="H669" s="26"/>
      <c r="I669" s="26"/>
      <c r="J669" s="26"/>
      <c r="Z669" s="96"/>
      <c r="AA669" s="26"/>
      <c r="AB669" s="96"/>
      <c r="AC669" s="26"/>
    </row>
    <row r="670" spans="8:29" ht="12.75" x14ac:dyDescent="0.2">
      <c r="H670" s="26"/>
      <c r="I670" s="26"/>
      <c r="J670" s="26"/>
      <c r="Z670" s="96"/>
      <c r="AA670" s="26"/>
      <c r="AB670" s="96"/>
      <c r="AC670" s="26"/>
    </row>
    <row r="671" spans="8:29" ht="12.75" x14ac:dyDescent="0.2">
      <c r="H671" s="26"/>
      <c r="I671" s="26"/>
      <c r="J671" s="26"/>
      <c r="Z671" s="96"/>
      <c r="AA671" s="26"/>
      <c r="AB671" s="96"/>
      <c r="AC671" s="26"/>
    </row>
    <row r="672" spans="8:29" ht="12.75" x14ac:dyDescent="0.2">
      <c r="H672" s="26"/>
      <c r="I672" s="26"/>
      <c r="J672" s="26"/>
      <c r="Z672" s="96"/>
      <c r="AA672" s="26"/>
      <c r="AB672" s="96"/>
      <c r="AC672" s="26"/>
    </row>
    <row r="673" spans="8:29" ht="12.75" x14ac:dyDescent="0.2">
      <c r="H673" s="26"/>
      <c r="I673" s="26"/>
      <c r="J673" s="26"/>
      <c r="Z673" s="96"/>
      <c r="AA673" s="26"/>
      <c r="AB673" s="96"/>
      <c r="AC673" s="26"/>
    </row>
    <row r="674" spans="8:29" ht="12.75" x14ac:dyDescent="0.2">
      <c r="H674" s="26"/>
      <c r="I674" s="26"/>
      <c r="J674" s="26"/>
      <c r="Z674" s="96"/>
      <c r="AA674" s="26"/>
      <c r="AB674" s="96"/>
      <c r="AC674" s="26"/>
    </row>
    <row r="675" spans="8:29" ht="12.75" x14ac:dyDescent="0.2">
      <c r="H675" s="26"/>
      <c r="I675" s="26"/>
      <c r="J675" s="26"/>
      <c r="Z675" s="96"/>
      <c r="AA675" s="26"/>
      <c r="AB675" s="96"/>
      <c r="AC675" s="26"/>
    </row>
    <row r="676" spans="8:29" ht="12.75" x14ac:dyDescent="0.2">
      <c r="H676" s="26"/>
      <c r="I676" s="26"/>
      <c r="J676" s="26"/>
      <c r="Z676" s="96"/>
      <c r="AA676" s="26"/>
      <c r="AB676" s="96"/>
      <c r="AC676" s="26"/>
    </row>
    <row r="677" spans="8:29" ht="12.75" x14ac:dyDescent="0.2">
      <c r="H677" s="26"/>
      <c r="I677" s="26"/>
      <c r="J677" s="26"/>
      <c r="Z677" s="96"/>
      <c r="AA677" s="26"/>
      <c r="AB677" s="96"/>
      <c r="AC677" s="26"/>
    </row>
    <row r="678" spans="8:29" ht="12.75" x14ac:dyDescent="0.2">
      <c r="H678" s="26"/>
      <c r="I678" s="26"/>
      <c r="J678" s="26"/>
      <c r="Z678" s="96"/>
      <c r="AA678" s="26"/>
      <c r="AB678" s="96"/>
      <c r="AC678" s="26"/>
    </row>
    <row r="679" spans="8:29" ht="12.75" x14ac:dyDescent="0.2">
      <c r="H679" s="26"/>
      <c r="I679" s="26"/>
      <c r="J679" s="26"/>
      <c r="Z679" s="96"/>
      <c r="AA679" s="26"/>
      <c r="AB679" s="96"/>
      <c r="AC679" s="26"/>
    </row>
    <row r="680" spans="8:29" ht="12.75" x14ac:dyDescent="0.2">
      <c r="H680" s="26"/>
      <c r="I680" s="26"/>
      <c r="J680" s="26"/>
      <c r="Z680" s="96"/>
      <c r="AA680" s="26"/>
      <c r="AB680" s="96"/>
      <c r="AC680" s="26"/>
    </row>
    <row r="681" spans="8:29" ht="12.75" x14ac:dyDescent="0.2">
      <c r="H681" s="26"/>
      <c r="I681" s="26"/>
      <c r="J681" s="26"/>
      <c r="Z681" s="96"/>
      <c r="AA681" s="26"/>
      <c r="AB681" s="96"/>
      <c r="AC681" s="26"/>
    </row>
    <row r="682" spans="8:29" ht="12.75" x14ac:dyDescent="0.2">
      <c r="H682" s="26"/>
      <c r="I682" s="26"/>
      <c r="J682" s="26"/>
      <c r="Z682" s="96"/>
      <c r="AA682" s="26"/>
      <c r="AB682" s="96"/>
      <c r="AC682" s="26"/>
    </row>
    <row r="683" spans="8:29" ht="12.75" x14ac:dyDescent="0.2">
      <c r="H683" s="26"/>
      <c r="I683" s="26"/>
      <c r="J683" s="26"/>
      <c r="Z683" s="96"/>
      <c r="AA683" s="26"/>
      <c r="AB683" s="96"/>
      <c r="AC683" s="26"/>
    </row>
    <row r="684" spans="8:29" ht="12.75" x14ac:dyDescent="0.2">
      <c r="H684" s="26"/>
      <c r="I684" s="26"/>
      <c r="J684" s="26"/>
      <c r="Z684" s="96"/>
      <c r="AA684" s="26"/>
      <c r="AB684" s="96"/>
      <c r="AC684" s="26"/>
    </row>
    <row r="685" spans="8:29" ht="12.75" x14ac:dyDescent="0.2">
      <c r="H685" s="26"/>
      <c r="I685" s="26"/>
      <c r="J685" s="26"/>
      <c r="Z685" s="96"/>
      <c r="AA685" s="26"/>
      <c r="AB685" s="96"/>
      <c r="AC685" s="26"/>
    </row>
    <row r="686" spans="8:29" ht="12.75" x14ac:dyDescent="0.2">
      <c r="H686" s="26"/>
      <c r="I686" s="26"/>
      <c r="J686" s="26"/>
      <c r="Z686" s="96"/>
      <c r="AA686" s="26"/>
      <c r="AB686" s="96"/>
      <c r="AC686" s="26"/>
    </row>
    <row r="687" spans="8:29" ht="12.75" x14ac:dyDescent="0.2">
      <c r="H687" s="26"/>
      <c r="I687" s="26"/>
      <c r="J687" s="26"/>
      <c r="Z687" s="96"/>
      <c r="AA687" s="26"/>
      <c r="AB687" s="96"/>
      <c r="AC687" s="26"/>
    </row>
    <row r="688" spans="8:29" ht="12.75" x14ac:dyDescent="0.2">
      <c r="H688" s="26"/>
      <c r="I688" s="26"/>
      <c r="J688" s="26"/>
      <c r="Z688" s="96"/>
      <c r="AA688" s="26"/>
      <c r="AB688" s="96"/>
      <c r="AC688" s="26"/>
    </row>
    <row r="689" spans="8:29" ht="12.75" x14ac:dyDescent="0.2">
      <c r="H689" s="26"/>
      <c r="I689" s="26"/>
      <c r="J689" s="26"/>
      <c r="Z689" s="96"/>
      <c r="AA689" s="26"/>
      <c r="AB689" s="96"/>
      <c r="AC689" s="26"/>
    </row>
    <row r="690" spans="8:29" ht="12.75" x14ac:dyDescent="0.2">
      <c r="H690" s="26"/>
      <c r="I690" s="26"/>
      <c r="J690" s="26"/>
      <c r="Z690" s="96"/>
      <c r="AA690" s="26"/>
      <c r="AB690" s="96"/>
      <c r="AC690" s="26"/>
    </row>
    <row r="691" spans="8:29" ht="12.75" x14ac:dyDescent="0.2">
      <c r="H691" s="26"/>
      <c r="I691" s="26"/>
      <c r="J691" s="26"/>
      <c r="Z691" s="96"/>
      <c r="AA691" s="26"/>
      <c r="AB691" s="96"/>
      <c r="AC691" s="26"/>
    </row>
    <row r="692" spans="8:29" ht="12.75" x14ac:dyDescent="0.2">
      <c r="H692" s="26"/>
      <c r="I692" s="26"/>
      <c r="J692" s="26"/>
      <c r="Z692" s="96"/>
      <c r="AA692" s="26"/>
      <c r="AB692" s="96"/>
      <c r="AC692" s="26"/>
    </row>
    <row r="693" spans="8:29" ht="12.75" x14ac:dyDescent="0.2">
      <c r="H693" s="26"/>
      <c r="I693" s="26"/>
      <c r="J693" s="26"/>
      <c r="Z693" s="96"/>
      <c r="AA693" s="26"/>
      <c r="AB693" s="96"/>
      <c r="AC693" s="26"/>
    </row>
    <row r="694" spans="8:29" ht="12.75" x14ac:dyDescent="0.2">
      <c r="H694" s="26"/>
      <c r="I694" s="26"/>
      <c r="J694" s="26"/>
      <c r="Z694" s="96"/>
      <c r="AA694" s="26"/>
      <c r="AB694" s="96"/>
      <c r="AC694" s="26"/>
    </row>
    <row r="695" spans="8:29" ht="12.75" x14ac:dyDescent="0.2">
      <c r="H695" s="26"/>
      <c r="I695" s="26"/>
      <c r="J695" s="26"/>
      <c r="Z695" s="96"/>
      <c r="AA695" s="26"/>
      <c r="AB695" s="96"/>
      <c r="AC695" s="26"/>
    </row>
    <row r="696" spans="8:29" ht="12.75" x14ac:dyDescent="0.2">
      <c r="H696" s="26"/>
      <c r="I696" s="26"/>
      <c r="J696" s="26"/>
      <c r="Z696" s="96"/>
      <c r="AA696" s="26"/>
      <c r="AB696" s="96"/>
      <c r="AC696" s="26"/>
    </row>
    <row r="697" spans="8:29" ht="12.75" x14ac:dyDescent="0.2">
      <c r="H697" s="26"/>
      <c r="I697" s="26"/>
      <c r="J697" s="26"/>
      <c r="Z697" s="96"/>
      <c r="AA697" s="26"/>
      <c r="AB697" s="96"/>
      <c r="AC697" s="26"/>
    </row>
    <row r="698" spans="8:29" ht="12.75" x14ac:dyDescent="0.2">
      <c r="H698" s="26"/>
      <c r="I698" s="26"/>
      <c r="J698" s="26"/>
      <c r="Z698" s="96"/>
      <c r="AA698" s="26"/>
      <c r="AB698" s="96"/>
      <c r="AC698" s="26"/>
    </row>
    <row r="699" spans="8:29" ht="12.75" x14ac:dyDescent="0.2">
      <c r="H699" s="26"/>
      <c r="I699" s="26"/>
      <c r="J699" s="26"/>
      <c r="Z699" s="96"/>
      <c r="AA699" s="26"/>
      <c r="AB699" s="96"/>
      <c r="AC699" s="26"/>
    </row>
    <row r="700" spans="8:29" ht="12.75" x14ac:dyDescent="0.2">
      <c r="H700" s="26"/>
      <c r="I700" s="26"/>
      <c r="J700" s="26"/>
      <c r="Z700" s="96"/>
      <c r="AA700" s="26"/>
      <c r="AB700" s="96"/>
      <c r="AC700" s="26"/>
    </row>
    <row r="701" spans="8:29" ht="12.75" x14ac:dyDescent="0.2">
      <c r="H701" s="26"/>
      <c r="I701" s="26"/>
      <c r="J701" s="26"/>
      <c r="Z701" s="96"/>
      <c r="AA701" s="26"/>
      <c r="AB701" s="96"/>
      <c r="AC701" s="26"/>
    </row>
    <row r="702" spans="8:29" ht="12.75" x14ac:dyDescent="0.2">
      <c r="H702" s="26"/>
      <c r="I702" s="26"/>
      <c r="J702" s="26"/>
      <c r="Z702" s="96"/>
      <c r="AA702" s="26"/>
      <c r="AB702" s="96"/>
      <c r="AC702" s="26"/>
    </row>
    <row r="703" spans="8:29" ht="12.75" x14ac:dyDescent="0.2">
      <c r="H703" s="26"/>
      <c r="I703" s="26"/>
      <c r="J703" s="26"/>
      <c r="Z703" s="96"/>
      <c r="AA703" s="26"/>
      <c r="AB703" s="96"/>
      <c r="AC703" s="26"/>
    </row>
    <row r="704" spans="8:29" ht="12.75" x14ac:dyDescent="0.2">
      <c r="H704" s="26"/>
      <c r="I704" s="26"/>
      <c r="J704" s="26"/>
      <c r="Z704" s="96"/>
      <c r="AA704" s="26"/>
      <c r="AB704" s="96"/>
      <c r="AC704" s="26"/>
    </row>
    <row r="705" spans="8:29" ht="12.75" x14ac:dyDescent="0.2">
      <c r="H705" s="26"/>
      <c r="I705" s="26"/>
      <c r="J705" s="26"/>
      <c r="Z705" s="96"/>
      <c r="AA705" s="26"/>
      <c r="AB705" s="96"/>
      <c r="AC705" s="26"/>
    </row>
    <row r="706" spans="8:29" ht="12.75" x14ac:dyDescent="0.2">
      <c r="H706" s="26"/>
      <c r="I706" s="26"/>
      <c r="J706" s="26"/>
      <c r="Z706" s="96"/>
      <c r="AA706" s="26"/>
      <c r="AB706" s="96"/>
      <c r="AC706" s="26"/>
    </row>
    <row r="707" spans="8:29" ht="12.75" x14ac:dyDescent="0.2">
      <c r="H707" s="26"/>
      <c r="I707" s="26"/>
      <c r="J707" s="26"/>
      <c r="Z707" s="96"/>
      <c r="AA707" s="26"/>
      <c r="AB707" s="96"/>
      <c r="AC707" s="26"/>
    </row>
    <row r="708" spans="8:29" ht="12.75" x14ac:dyDescent="0.2">
      <c r="H708" s="26"/>
      <c r="I708" s="26"/>
      <c r="J708" s="26"/>
      <c r="Z708" s="96"/>
      <c r="AA708" s="26"/>
      <c r="AB708" s="96"/>
      <c r="AC708" s="26"/>
    </row>
    <row r="709" spans="8:29" ht="12.75" x14ac:dyDescent="0.2">
      <c r="H709" s="26"/>
      <c r="I709" s="26"/>
      <c r="J709" s="26"/>
      <c r="Z709" s="96"/>
      <c r="AA709" s="26"/>
      <c r="AB709" s="96"/>
      <c r="AC709" s="26"/>
    </row>
    <row r="710" spans="8:29" ht="12.75" x14ac:dyDescent="0.2">
      <c r="H710" s="26"/>
      <c r="I710" s="26"/>
      <c r="J710" s="26"/>
      <c r="Z710" s="96"/>
      <c r="AA710" s="26"/>
      <c r="AB710" s="96"/>
      <c r="AC710" s="26"/>
    </row>
    <row r="711" spans="8:29" ht="12.75" x14ac:dyDescent="0.2">
      <c r="H711" s="26"/>
      <c r="I711" s="26"/>
      <c r="J711" s="26"/>
      <c r="Z711" s="96"/>
      <c r="AA711" s="26"/>
      <c r="AB711" s="96"/>
      <c r="AC711" s="26"/>
    </row>
    <row r="712" spans="8:29" ht="12.75" x14ac:dyDescent="0.2">
      <c r="H712" s="26"/>
      <c r="I712" s="26"/>
      <c r="J712" s="26"/>
      <c r="Z712" s="96"/>
      <c r="AA712" s="26"/>
      <c r="AB712" s="96"/>
      <c r="AC712" s="26"/>
    </row>
    <row r="713" spans="8:29" ht="12.75" x14ac:dyDescent="0.2">
      <c r="H713" s="26"/>
      <c r="I713" s="26"/>
      <c r="J713" s="26"/>
      <c r="Z713" s="96"/>
      <c r="AA713" s="26"/>
      <c r="AB713" s="96"/>
      <c r="AC713" s="26"/>
    </row>
    <row r="714" spans="8:29" ht="12.75" x14ac:dyDescent="0.2">
      <c r="H714" s="26"/>
      <c r="I714" s="26"/>
      <c r="J714" s="26"/>
      <c r="Z714" s="96"/>
      <c r="AA714" s="26"/>
      <c r="AB714" s="96"/>
      <c r="AC714" s="26"/>
    </row>
    <row r="715" spans="8:29" ht="12.75" x14ac:dyDescent="0.2">
      <c r="H715" s="26"/>
      <c r="I715" s="26"/>
      <c r="J715" s="26"/>
      <c r="Z715" s="96"/>
      <c r="AA715" s="26"/>
      <c r="AB715" s="96"/>
      <c r="AC715" s="26"/>
    </row>
    <row r="716" spans="8:29" ht="12.75" x14ac:dyDescent="0.2">
      <c r="H716" s="26"/>
      <c r="I716" s="26"/>
      <c r="J716" s="26"/>
      <c r="Z716" s="96"/>
      <c r="AA716" s="26"/>
      <c r="AB716" s="96"/>
      <c r="AC716" s="26"/>
    </row>
    <row r="717" spans="8:29" ht="12.75" x14ac:dyDescent="0.2">
      <c r="H717" s="26"/>
      <c r="I717" s="26"/>
      <c r="J717" s="26"/>
      <c r="Z717" s="96"/>
      <c r="AA717" s="26"/>
      <c r="AB717" s="96"/>
      <c r="AC717" s="26"/>
    </row>
    <row r="718" spans="8:29" ht="12.75" x14ac:dyDescent="0.2">
      <c r="H718" s="26"/>
      <c r="I718" s="26"/>
      <c r="J718" s="26"/>
      <c r="Z718" s="96"/>
      <c r="AA718" s="26"/>
      <c r="AB718" s="96"/>
      <c r="AC718" s="26"/>
    </row>
    <row r="719" spans="8:29" ht="12.75" x14ac:dyDescent="0.2">
      <c r="H719" s="26"/>
      <c r="I719" s="26"/>
      <c r="J719" s="26"/>
      <c r="Z719" s="96"/>
      <c r="AA719" s="26"/>
      <c r="AB719" s="96"/>
      <c r="AC719" s="26"/>
    </row>
    <row r="720" spans="8:29" ht="12.75" x14ac:dyDescent="0.2">
      <c r="H720" s="26"/>
      <c r="I720" s="26"/>
      <c r="J720" s="26"/>
      <c r="Z720" s="96"/>
      <c r="AA720" s="26"/>
      <c r="AB720" s="96"/>
      <c r="AC720" s="26"/>
    </row>
    <row r="721" spans="8:29" ht="12.75" x14ac:dyDescent="0.2">
      <c r="H721" s="26"/>
      <c r="I721" s="26"/>
      <c r="J721" s="26"/>
      <c r="Z721" s="96"/>
      <c r="AA721" s="26"/>
      <c r="AB721" s="96"/>
      <c r="AC721" s="26"/>
    </row>
    <row r="722" spans="8:29" ht="12.75" x14ac:dyDescent="0.2">
      <c r="H722" s="26"/>
      <c r="I722" s="26"/>
      <c r="J722" s="26"/>
      <c r="Z722" s="96"/>
      <c r="AA722" s="26"/>
      <c r="AB722" s="96"/>
      <c r="AC722" s="26"/>
    </row>
    <row r="723" spans="8:29" ht="12.75" x14ac:dyDescent="0.2">
      <c r="H723" s="26"/>
      <c r="I723" s="26"/>
      <c r="J723" s="26"/>
      <c r="Z723" s="96"/>
      <c r="AA723" s="26"/>
      <c r="AB723" s="96"/>
      <c r="AC723" s="26"/>
    </row>
    <row r="724" spans="8:29" ht="12.75" x14ac:dyDescent="0.2">
      <c r="H724" s="26"/>
      <c r="I724" s="26"/>
      <c r="J724" s="26"/>
      <c r="Z724" s="96"/>
      <c r="AA724" s="26"/>
      <c r="AB724" s="96"/>
      <c r="AC724" s="26"/>
    </row>
    <row r="725" spans="8:29" ht="12.75" x14ac:dyDescent="0.2">
      <c r="H725" s="26"/>
      <c r="I725" s="26"/>
      <c r="J725" s="26"/>
      <c r="Z725" s="96"/>
      <c r="AA725" s="26"/>
      <c r="AB725" s="96"/>
      <c r="AC725" s="26"/>
    </row>
    <row r="726" spans="8:29" ht="12.75" x14ac:dyDescent="0.2">
      <c r="H726" s="26"/>
      <c r="I726" s="26"/>
      <c r="J726" s="26"/>
      <c r="Z726" s="96"/>
      <c r="AA726" s="26"/>
      <c r="AB726" s="96"/>
      <c r="AC726" s="26"/>
    </row>
    <row r="727" spans="8:29" ht="12.75" x14ac:dyDescent="0.2">
      <c r="H727" s="26"/>
      <c r="I727" s="26"/>
      <c r="J727" s="26"/>
      <c r="Z727" s="96"/>
      <c r="AA727" s="26"/>
      <c r="AB727" s="96"/>
      <c r="AC727" s="26"/>
    </row>
    <row r="728" spans="8:29" ht="12.75" x14ac:dyDescent="0.2">
      <c r="H728" s="26"/>
      <c r="I728" s="26"/>
      <c r="J728" s="26"/>
      <c r="Z728" s="96"/>
      <c r="AA728" s="26"/>
      <c r="AB728" s="96"/>
      <c r="AC728" s="26"/>
    </row>
    <row r="729" spans="8:29" ht="12.75" x14ac:dyDescent="0.2">
      <c r="H729" s="26"/>
      <c r="I729" s="26"/>
      <c r="J729" s="26"/>
      <c r="Z729" s="96"/>
      <c r="AA729" s="26"/>
      <c r="AB729" s="96"/>
      <c r="AC729" s="26"/>
    </row>
    <row r="730" spans="8:29" ht="12.75" x14ac:dyDescent="0.2">
      <c r="H730" s="26"/>
      <c r="I730" s="26"/>
      <c r="J730" s="26"/>
      <c r="Z730" s="96"/>
      <c r="AA730" s="26"/>
      <c r="AB730" s="96"/>
      <c r="AC730" s="26"/>
    </row>
    <row r="731" spans="8:29" ht="12.75" x14ac:dyDescent="0.2">
      <c r="H731" s="26"/>
      <c r="I731" s="26"/>
      <c r="J731" s="26"/>
      <c r="Z731" s="96"/>
      <c r="AA731" s="26"/>
      <c r="AB731" s="96"/>
      <c r="AC731" s="26"/>
    </row>
    <row r="732" spans="8:29" ht="12.75" x14ac:dyDescent="0.2">
      <c r="H732" s="26"/>
      <c r="I732" s="26"/>
      <c r="J732" s="26"/>
      <c r="Z732" s="96"/>
      <c r="AA732" s="26"/>
      <c r="AB732" s="96"/>
      <c r="AC732" s="26"/>
    </row>
    <row r="733" spans="8:29" ht="12.75" x14ac:dyDescent="0.2">
      <c r="H733" s="26"/>
      <c r="I733" s="26"/>
      <c r="J733" s="26"/>
      <c r="Z733" s="96"/>
      <c r="AA733" s="26"/>
      <c r="AB733" s="96"/>
      <c r="AC733" s="26"/>
    </row>
    <row r="734" spans="8:29" ht="12.75" x14ac:dyDescent="0.2">
      <c r="H734" s="26"/>
      <c r="I734" s="26"/>
      <c r="J734" s="26"/>
      <c r="Z734" s="96"/>
      <c r="AA734" s="26"/>
      <c r="AB734" s="96"/>
      <c r="AC734" s="26"/>
    </row>
    <row r="735" spans="8:29" ht="12.75" x14ac:dyDescent="0.2">
      <c r="H735" s="26"/>
      <c r="I735" s="26"/>
      <c r="J735" s="26"/>
      <c r="Z735" s="96"/>
      <c r="AA735" s="26"/>
      <c r="AB735" s="96"/>
      <c r="AC735" s="26"/>
    </row>
    <row r="736" spans="8:29" ht="12.75" x14ac:dyDescent="0.2">
      <c r="H736" s="26"/>
      <c r="I736" s="26"/>
      <c r="J736" s="26"/>
      <c r="Z736" s="96"/>
      <c r="AA736" s="26"/>
      <c r="AB736" s="96"/>
      <c r="AC736" s="26"/>
    </row>
    <row r="737" spans="8:29" ht="12.75" x14ac:dyDescent="0.2">
      <c r="H737" s="26"/>
      <c r="I737" s="26"/>
      <c r="J737" s="26"/>
      <c r="Z737" s="96"/>
      <c r="AA737" s="26"/>
      <c r="AB737" s="96"/>
      <c r="AC737" s="26"/>
    </row>
    <row r="738" spans="8:29" ht="12.75" x14ac:dyDescent="0.2">
      <c r="H738" s="26"/>
      <c r="I738" s="26"/>
      <c r="J738" s="26"/>
      <c r="Z738" s="96"/>
      <c r="AA738" s="26"/>
      <c r="AB738" s="96"/>
      <c r="AC738" s="26"/>
    </row>
    <row r="739" spans="8:29" ht="12.75" x14ac:dyDescent="0.2">
      <c r="H739" s="26"/>
      <c r="I739" s="26"/>
      <c r="J739" s="26"/>
      <c r="Z739" s="96"/>
      <c r="AA739" s="26"/>
      <c r="AB739" s="96"/>
      <c r="AC739" s="26"/>
    </row>
    <row r="740" spans="8:29" ht="12.75" x14ac:dyDescent="0.2">
      <c r="H740" s="26"/>
      <c r="I740" s="26"/>
      <c r="J740" s="26"/>
      <c r="Z740" s="96"/>
      <c r="AA740" s="26"/>
      <c r="AB740" s="96"/>
      <c r="AC740" s="26"/>
    </row>
    <row r="741" spans="8:29" ht="12.75" x14ac:dyDescent="0.2">
      <c r="H741" s="26"/>
      <c r="I741" s="26"/>
      <c r="J741" s="26"/>
      <c r="Z741" s="96"/>
      <c r="AA741" s="26"/>
      <c r="AB741" s="96"/>
      <c r="AC741" s="26"/>
    </row>
    <row r="742" spans="8:29" ht="12.75" x14ac:dyDescent="0.2">
      <c r="H742" s="26"/>
      <c r="I742" s="26"/>
      <c r="J742" s="26"/>
      <c r="Z742" s="96"/>
      <c r="AA742" s="26"/>
      <c r="AB742" s="96"/>
      <c r="AC742" s="26"/>
    </row>
    <row r="743" spans="8:29" ht="12.75" x14ac:dyDescent="0.2">
      <c r="H743" s="26"/>
      <c r="I743" s="26"/>
      <c r="J743" s="26"/>
      <c r="Z743" s="96"/>
      <c r="AA743" s="26"/>
      <c r="AB743" s="96"/>
      <c r="AC743" s="26"/>
    </row>
    <row r="744" spans="8:29" ht="12.75" x14ac:dyDescent="0.2">
      <c r="H744" s="26"/>
      <c r="I744" s="26"/>
      <c r="J744" s="26"/>
      <c r="Z744" s="96"/>
      <c r="AA744" s="26"/>
      <c r="AB744" s="96"/>
      <c r="AC744" s="26"/>
    </row>
    <row r="745" spans="8:29" ht="12.75" x14ac:dyDescent="0.2">
      <c r="H745" s="26"/>
      <c r="I745" s="26"/>
      <c r="J745" s="26"/>
      <c r="Z745" s="96"/>
      <c r="AA745" s="26"/>
      <c r="AB745" s="96"/>
      <c r="AC745" s="26"/>
    </row>
    <row r="746" spans="8:29" ht="12.75" x14ac:dyDescent="0.2">
      <c r="H746" s="26"/>
      <c r="I746" s="26"/>
      <c r="J746" s="26"/>
      <c r="Z746" s="96"/>
      <c r="AA746" s="26"/>
      <c r="AB746" s="96"/>
      <c r="AC746" s="26"/>
    </row>
    <row r="747" spans="8:29" ht="12.75" x14ac:dyDescent="0.2">
      <c r="H747" s="26"/>
      <c r="I747" s="26"/>
      <c r="J747" s="26"/>
      <c r="Z747" s="96"/>
      <c r="AA747" s="26"/>
      <c r="AB747" s="96"/>
      <c r="AC747" s="26"/>
    </row>
    <row r="748" spans="8:29" ht="12.75" x14ac:dyDescent="0.2">
      <c r="H748" s="26"/>
      <c r="I748" s="26"/>
      <c r="J748" s="26"/>
      <c r="Z748" s="96"/>
      <c r="AA748" s="26"/>
      <c r="AB748" s="96"/>
      <c r="AC748" s="26"/>
    </row>
    <row r="749" spans="8:29" ht="12.75" x14ac:dyDescent="0.2">
      <c r="H749" s="26"/>
      <c r="I749" s="26"/>
      <c r="J749" s="26"/>
      <c r="Z749" s="96"/>
      <c r="AA749" s="26"/>
      <c r="AB749" s="96"/>
      <c r="AC749" s="26"/>
    </row>
    <row r="750" spans="8:29" ht="12.75" x14ac:dyDescent="0.2">
      <c r="H750" s="26"/>
      <c r="I750" s="26"/>
      <c r="J750" s="26"/>
      <c r="Z750" s="96"/>
      <c r="AA750" s="26"/>
      <c r="AB750" s="96"/>
      <c r="AC750" s="26"/>
    </row>
    <row r="751" spans="8:29" ht="12.75" x14ac:dyDescent="0.2">
      <c r="H751" s="26"/>
      <c r="I751" s="26"/>
      <c r="J751" s="26"/>
      <c r="Z751" s="96"/>
      <c r="AA751" s="26"/>
      <c r="AB751" s="96"/>
      <c r="AC751" s="26"/>
    </row>
    <row r="752" spans="8:29" ht="12.75" x14ac:dyDescent="0.2">
      <c r="H752" s="26"/>
      <c r="I752" s="26"/>
      <c r="J752" s="26"/>
      <c r="Z752" s="96"/>
      <c r="AA752" s="26"/>
      <c r="AB752" s="96"/>
      <c r="AC752" s="26"/>
    </row>
    <row r="753" spans="8:29" ht="12.75" x14ac:dyDescent="0.2">
      <c r="H753" s="26"/>
      <c r="I753" s="26"/>
      <c r="J753" s="26"/>
      <c r="Z753" s="96"/>
      <c r="AA753" s="26"/>
      <c r="AB753" s="96"/>
      <c r="AC753" s="26"/>
    </row>
    <row r="754" spans="8:29" ht="12.75" x14ac:dyDescent="0.2">
      <c r="H754" s="26"/>
      <c r="I754" s="26"/>
      <c r="J754" s="26"/>
      <c r="Z754" s="96"/>
      <c r="AA754" s="26"/>
      <c r="AB754" s="96"/>
      <c r="AC754" s="26"/>
    </row>
    <row r="755" spans="8:29" ht="12.75" x14ac:dyDescent="0.2">
      <c r="H755" s="26"/>
      <c r="I755" s="26"/>
      <c r="J755" s="26"/>
      <c r="Z755" s="96"/>
      <c r="AA755" s="26"/>
      <c r="AB755" s="96"/>
      <c r="AC755" s="26"/>
    </row>
    <row r="756" spans="8:29" ht="12.75" x14ac:dyDescent="0.2">
      <c r="H756" s="26"/>
      <c r="I756" s="26"/>
      <c r="J756" s="26"/>
      <c r="Z756" s="96"/>
      <c r="AA756" s="26"/>
      <c r="AB756" s="96"/>
      <c r="AC756" s="26"/>
    </row>
    <row r="757" spans="8:29" ht="12.75" x14ac:dyDescent="0.2">
      <c r="H757" s="26"/>
      <c r="I757" s="26"/>
      <c r="J757" s="26"/>
      <c r="Z757" s="96"/>
      <c r="AA757" s="26"/>
      <c r="AB757" s="96"/>
      <c r="AC757" s="26"/>
    </row>
    <row r="758" spans="8:29" ht="12.75" x14ac:dyDescent="0.2">
      <c r="H758" s="26"/>
      <c r="I758" s="26"/>
      <c r="J758" s="26"/>
      <c r="Z758" s="96"/>
      <c r="AA758" s="26"/>
      <c r="AB758" s="96"/>
      <c r="AC758" s="26"/>
    </row>
    <row r="759" spans="8:29" ht="12.75" x14ac:dyDescent="0.2">
      <c r="H759" s="26"/>
      <c r="I759" s="26"/>
      <c r="J759" s="26"/>
      <c r="Z759" s="96"/>
      <c r="AA759" s="26"/>
      <c r="AB759" s="96"/>
      <c r="AC759" s="26"/>
    </row>
    <row r="760" spans="8:29" ht="12.75" x14ac:dyDescent="0.2">
      <c r="H760" s="26"/>
      <c r="I760" s="26"/>
      <c r="J760" s="26"/>
      <c r="Z760" s="96"/>
      <c r="AA760" s="26"/>
      <c r="AB760" s="96"/>
      <c r="AC760" s="26"/>
    </row>
    <row r="761" spans="8:29" ht="12.75" x14ac:dyDescent="0.2">
      <c r="H761" s="26"/>
      <c r="I761" s="26"/>
      <c r="J761" s="26"/>
      <c r="Z761" s="96"/>
      <c r="AA761" s="26"/>
      <c r="AB761" s="96"/>
      <c r="AC761" s="26"/>
    </row>
    <row r="762" spans="8:29" ht="12.75" x14ac:dyDescent="0.2">
      <c r="H762" s="26"/>
      <c r="I762" s="26"/>
      <c r="J762" s="26"/>
      <c r="Z762" s="96"/>
      <c r="AA762" s="26"/>
      <c r="AB762" s="96"/>
      <c r="AC762" s="26"/>
    </row>
    <row r="763" spans="8:29" ht="12.75" x14ac:dyDescent="0.2">
      <c r="H763" s="26"/>
      <c r="I763" s="26"/>
      <c r="J763" s="26"/>
      <c r="Z763" s="96"/>
      <c r="AA763" s="26"/>
      <c r="AB763" s="96"/>
      <c r="AC763" s="26"/>
    </row>
    <row r="764" spans="8:29" ht="12.75" x14ac:dyDescent="0.2">
      <c r="H764" s="26"/>
      <c r="I764" s="26"/>
      <c r="J764" s="26"/>
      <c r="Z764" s="96"/>
      <c r="AA764" s="26"/>
      <c r="AB764" s="96"/>
      <c r="AC764" s="26"/>
    </row>
    <row r="765" spans="8:29" ht="12.75" x14ac:dyDescent="0.2">
      <c r="H765" s="26"/>
      <c r="I765" s="26"/>
      <c r="J765" s="26"/>
      <c r="Z765" s="96"/>
      <c r="AA765" s="26"/>
      <c r="AB765" s="96"/>
      <c r="AC765" s="26"/>
    </row>
    <row r="766" spans="8:29" ht="12.75" x14ac:dyDescent="0.2">
      <c r="H766" s="26"/>
      <c r="I766" s="26"/>
      <c r="J766" s="26"/>
      <c r="Z766" s="96"/>
      <c r="AA766" s="26"/>
      <c r="AB766" s="96"/>
      <c r="AC766" s="26"/>
    </row>
    <row r="767" spans="8:29" ht="12.75" x14ac:dyDescent="0.2">
      <c r="H767" s="26"/>
      <c r="I767" s="26"/>
      <c r="J767" s="26"/>
      <c r="Z767" s="96"/>
      <c r="AA767" s="26"/>
      <c r="AB767" s="96"/>
      <c r="AC767" s="26"/>
    </row>
    <row r="768" spans="8:29" ht="12.75" x14ac:dyDescent="0.2">
      <c r="H768" s="26"/>
      <c r="I768" s="26"/>
      <c r="J768" s="26"/>
      <c r="Z768" s="96"/>
      <c r="AA768" s="26"/>
      <c r="AB768" s="96"/>
      <c r="AC768" s="26"/>
    </row>
    <row r="769" spans="8:29" ht="12.75" x14ac:dyDescent="0.2">
      <c r="H769" s="26"/>
      <c r="I769" s="26"/>
      <c r="J769" s="26"/>
      <c r="Z769" s="96"/>
      <c r="AA769" s="26"/>
      <c r="AB769" s="96"/>
      <c r="AC769" s="26"/>
    </row>
    <row r="770" spans="8:29" ht="12.75" x14ac:dyDescent="0.2">
      <c r="H770" s="26"/>
      <c r="I770" s="26"/>
      <c r="J770" s="26"/>
      <c r="Z770" s="96"/>
      <c r="AA770" s="26"/>
      <c r="AB770" s="96"/>
      <c r="AC770" s="26"/>
    </row>
    <row r="771" spans="8:29" ht="12.75" x14ac:dyDescent="0.2">
      <c r="H771" s="26"/>
      <c r="I771" s="26"/>
      <c r="J771" s="26"/>
      <c r="Z771" s="96"/>
      <c r="AA771" s="26"/>
      <c r="AB771" s="96"/>
      <c r="AC771" s="26"/>
    </row>
    <row r="772" spans="8:29" ht="12.75" x14ac:dyDescent="0.2">
      <c r="H772" s="26"/>
      <c r="I772" s="26"/>
      <c r="J772" s="26"/>
      <c r="Z772" s="96"/>
      <c r="AA772" s="26"/>
      <c r="AB772" s="96"/>
      <c r="AC772" s="26"/>
    </row>
    <row r="773" spans="8:29" ht="12.75" x14ac:dyDescent="0.2">
      <c r="H773" s="26"/>
      <c r="I773" s="26"/>
      <c r="J773" s="26"/>
      <c r="Z773" s="96"/>
      <c r="AA773" s="26"/>
      <c r="AB773" s="96"/>
      <c r="AC773" s="26"/>
    </row>
    <row r="774" spans="8:29" ht="12.75" x14ac:dyDescent="0.2">
      <c r="H774" s="26"/>
      <c r="I774" s="26"/>
      <c r="J774" s="26"/>
      <c r="Z774" s="96"/>
      <c r="AA774" s="26"/>
      <c r="AB774" s="96"/>
      <c r="AC774" s="26"/>
    </row>
    <row r="775" spans="8:29" ht="12.75" x14ac:dyDescent="0.2">
      <c r="H775" s="26"/>
      <c r="I775" s="26"/>
      <c r="J775" s="26"/>
      <c r="Z775" s="96"/>
      <c r="AA775" s="26"/>
      <c r="AB775" s="96"/>
      <c r="AC775" s="26"/>
    </row>
    <row r="776" spans="8:29" ht="12.75" x14ac:dyDescent="0.2">
      <c r="H776" s="26"/>
      <c r="I776" s="26"/>
      <c r="J776" s="26"/>
      <c r="Z776" s="96"/>
      <c r="AA776" s="26"/>
      <c r="AB776" s="96"/>
      <c r="AC776" s="26"/>
    </row>
    <row r="777" spans="8:29" ht="12.75" x14ac:dyDescent="0.2">
      <c r="H777" s="26"/>
      <c r="I777" s="26"/>
      <c r="J777" s="26"/>
      <c r="Z777" s="96"/>
      <c r="AA777" s="26"/>
      <c r="AB777" s="96"/>
      <c r="AC777" s="26"/>
    </row>
    <row r="778" spans="8:29" ht="12.75" x14ac:dyDescent="0.2">
      <c r="H778" s="26"/>
      <c r="I778" s="26"/>
      <c r="J778" s="26"/>
      <c r="Z778" s="96"/>
      <c r="AA778" s="26"/>
      <c r="AB778" s="96"/>
      <c r="AC778" s="26"/>
    </row>
    <row r="779" spans="8:29" ht="12.75" x14ac:dyDescent="0.2">
      <c r="H779" s="26"/>
      <c r="I779" s="26"/>
      <c r="J779" s="26"/>
      <c r="Z779" s="96"/>
      <c r="AA779" s="26"/>
      <c r="AB779" s="96"/>
      <c r="AC779" s="26"/>
    </row>
    <row r="780" spans="8:29" ht="12.75" x14ac:dyDescent="0.2">
      <c r="H780" s="26"/>
      <c r="I780" s="26"/>
      <c r="J780" s="26"/>
      <c r="Z780" s="96"/>
      <c r="AA780" s="26"/>
      <c r="AB780" s="96"/>
      <c r="AC780" s="26"/>
    </row>
    <row r="781" spans="8:29" ht="12.75" x14ac:dyDescent="0.2">
      <c r="H781" s="26"/>
      <c r="I781" s="26"/>
      <c r="J781" s="26"/>
      <c r="Z781" s="96"/>
      <c r="AA781" s="26"/>
      <c r="AB781" s="96"/>
      <c r="AC781" s="26"/>
    </row>
    <row r="782" spans="8:29" ht="12.75" x14ac:dyDescent="0.2">
      <c r="H782" s="26"/>
      <c r="I782" s="26"/>
      <c r="J782" s="26"/>
      <c r="Z782" s="96"/>
      <c r="AA782" s="26"/>
      <c r="AB782" s="96"/>
      <c r="AC782" s="26"/>
    </row>
    <row r="783" spans="8:29" ht="12.75" x14ac:dyDescent="0.2">
      <c r="H783" s="26"/>
      <c r="I783" s="26"/>
      <c r="J783" s="26"/>
      <c r="Z783" s="96"/>
      <c r="AA783" s="26"/>
      <c r="AB783" s="96"/>
      <c r="AC783" s="26"/>
    </row>
    <row r="784" spans="8:29" ht="12.75" x14ac:dyDescent="0.2">
      <c r="H784" s="26"/>
      <c r="I784" s="26"/>
      <c r="J784" s="26"/>
      <c r="Z784" s="96"/>
      <c r="AA784" s="26"/>
      <c r="AB784" s="96"/>
      <c r="AC784" s="26"/>
    </row>
    <row r="785" spans="8:29" ht="12.75" x14ac:dyDescent="0.2">
      <c r="H785" s="26"/>
      <c r="I785" s="26"/>
      <c r="J785" s="26"/>
      <c r="Z785" s="96"/>
      <c r="AA785" s="26"/>
      <c r="AB785" s="96"/>
      <c r="AC785" s="26"/>
    </row>
    <row r="786" spans="8:29" ht="12.75" x14ac:dyDescent="0.2">
      <c r="H786" s="26"/>
      <c r="I786" s="26"/>
      <c r="J786" s="26"/>
      <c r="Z786" s="96"/>
      <c r="AA786" s="26"/>
      <c r="AB786" s="96"/>
      <c r="AC786" s="26"/>
    </row>
    <row r="787" spans="8:29" ht="12.75" x14ac:dyDescent="0.2">
      <c r="H787" s="26"/>
      <c r="I787" s="26"/>
      <c r="J787" s="26"/>
      <c r="Z787" s="96"/>
      <c r="AA787" s="26"/>
      <c r="AB787" s="96"/>
      <c r="AC787" s="26"/>
    </row>
    <row r="788" spans="8:29" ht="12.75" x14ac:dyDescent="0.2">
      <c r="H788" s="26"/>
      <c r="I788" s="26"/>
      <c r="J788" s="26"/>
      <c r="Z788" s="96"/>
      <c r="AA788" s="26"/>
      <c r="AB788" s="96"/>
      <c r="AC788" s="26"/>
    </row>
    <row r="789" spans="8:29" ht="12.75" x14ac:dyDescent="0.2">
      <c r="H789" s="26"/>
      <c r="I789" s="26"/>
      <c r="J789" s="26"/>
      <c r="Z789" s="96"/>
      <c r="AA789" s="26"/>
      <c r="AB789" s="96"/>
      <c r="AC789" s="26"/>
    </row>
    <row r="790" spans="8:29" ht="12.75" x14ac:dyDescent="0.2">
      <c r="H790" s="26"/>
      <c r="I790" s="26"/>
      <c r="J790" s="26"/>
      <c r="Z790" s="96"/>
      <c r="AA790" s="26"/>
      <c r="AB790" s="96"/>
      <c r="AC790" s="26"/>
    </row>
    <row r="791" spans="8:29" ht="12.75" x14ac:dyDescent="0.2">
      <c r="H791" s="26"/>
      <c r="I791" s="26"/>
      <c r="J791" s="26"/>
      <c r="Z791" s="96"/>
      <c r="AA791" s="26"/>
      <c r="AB791" s="96"/>
      <c r="AC791" s="26"/>
    </row>
    <row r="792" spans="8:29" ht="12.75" x14ac:dyDescent="0.2">
      <c r="H792" s="26"/>
      <c r="I792" s="26"/>
      <c r="J792" s="26"/>
      <c r="Z792" s="96"/>
      <c r="AA792" s="26"/>
      <c r="AB792" s="96"/>
      <c r="AC792" s="26"/>
    </row>
    <row r="793" spans="8:29" ht="12.75" x14ac:dyDescent="0.2">
      <c r="H793" s="26"/>
      <c r="I793" s="26"/>
      <c r="J793" s="26"/>
      <c r="Z793" s="96"/>
      <c r="AA793" s="26"/>
      <c r="AB793" s="96"/>
      <c r="AC793" s="26"/>
    </row>
    <row r="794" spans="8:29" ht="12.75" x14ac:dyDescent="0.2">
      <c r="H794" s="26"/>
      <c r="I794" s="26"/>
      <c r="J794" s="26"/>
      <c r="Z794" s="96"/>
      <c r="AA794" s="26"/>
      <c r="AB794" s="96"/>
      <c r="AC794" s="26"/>
    </row>
    <row r="795" spans="8:29" ht="12.75" x14ac:dyDescent="0.2">
      <c r="H795" s="26"/>
      <c r="I795" s="26"/>
      <c r="J795" s="26"/>
      <c r="Z795" s="96"/>
      <c r="AA795" s="26"/>
      <c r="AB795" s="96"/>
      <c r="AC795" s="26"/>
    </row>
    <row r="796" spans="8:29" ht="12.75" x14ac:dyDescent="0.2">
      <c r="H796" s="26"/>
      <c r="I796" s="26"/>
      <c r="J796" s="26"/>
      <c r="Z796" s="96"/>
      <c r="AA796" s="26"/>
      <c r="AB796" s="96"/>
      <c r="AC796" s="26"/>
    </row>
    <row r="797" spans="8:29" ht="12.75" x14ac:dyDescent="0.2">
      <c r="H797" s="26"/>
      <c r="I797" s="26"/>
      <c r="J797" s="26"/>
      <c r="Z797" s="96"/>
      <c r="AA797" s="26"/>
      <c r="AB797" s="96"/>
      <c r="AC797" s="26"/>
    </row>
    <row r="798" spans="8:29" ht="12.75" x14ac:dyDescent="0.2">
      <c r="H798" s="26"/>
      <c r="I798" s="26"/>
      <c r="J798" s="26"/>
      <c r="Z798" s="96"/>
      <c r="AA798" s="26"/>
      <c r="AB798" s="96"/>
      <c r="AC798" s="26"/>
    </row>
    <row r="799" spans="8:29" ht="12.75" x14ac:dyDescent="0.2">
      <c r="H799" s="26"/>
      <c r="I799" s="26"/>
      <c r="J799" s="26"/>
      <c r="Z799" s="96"/>
      <c r="AA799" s="26"/>
      <c r="AB799" s="96"/>
      <c r="AC799" s="26"/>
    </row>
    <row r="800" spans="8:29" ht="12.75" x14ac:dyDescent="0.2">
      <c r="H800" s="26"/>
      <c r="I800" s="26"/>
      <c r="J800" s="26"/>
      <c r="Z800" s="96"/>
      <c r="AA800" s="26"/>
      <c r="AB800" s="96"/>
      <c r="AC800" s="26"/>
    </row>
    <row r="801" spans="8:29" ht="12.75" x14ac:dyDescent="0.2">
      <c r="H801" s="26"/>
      <c r="I801" s="26"/>
      <c r="J801" s="26"/>
      <c r="Z801" s="96"/>
      <c r="AA801" s="26"/>
      <c r="AB801" s="96"/>
      <c r="AC801" s="26"/>
    </row>
    <row r="802" spans="8:29" ht="12.75" x14ac:dyDescent="0.2">
      <c r="H802" s="26"/>
      <c r="I802" s="26"/>
      <c r="J802" s="26"/>
      <c r="Z802" s="96"/>
      <c r="AA802" s="26"/>
      <c r="AB802" s="96"/>
      <c r="AC802" s="26"/>
    </row>
    <row r="803" spans="8:29" ht="12.75" x14ac:dyDescent="0.2">
      <c r="H803" s="26"/>
      <c r="I803" s="26"/>
      <c r="J803" s="26"/>
      <c r="Z803" s="96"/>
      <c r="AA803" s="26"/>
      <c r="AB803" s="96"/>
      <c r="AC803" s="26"/>
    </row>
    <row r="804" spans="8:29" ht="12.75" x14ac:dyDescent="0.2">
      <c r="H804" s="26"/>
      <c r="I804" s="26"/>
      <c r="J804" s="26"/>
      <c r="Z804" s="96"/>
      <c r="AA804" s="26"/>
      <c r="AB804" s="96"/>
      <c r="AC804" s="26"/>
    </row>
    <row r="805" spans="8:29" ht="12.75" x14ac:dyDescent="0.2">
      <c r="H805" s="26"/>
      <c r="I805" s="26"/>
      <c r="J805" s="26"/>
      <c r="Z805" s="96"/>
      <c r="AA805" s="26"/>
      <c r="AB805" s="96"/>
      <c r="AC805" s="26"/>
    </row>
    <row r="806" spans="8:29" ht="12.75" x14ac:dyDescent="0.2">
      <c r="H806" s="26"/>
      <c r="I806" s="26"/>
      <c r="J806" s="26"/>
      <c r="Z806" s="96"/>
      <c r="AA806" s="26"/>
      <c r="AB806" s="96"/>
      <c r="AC806" s="26"/>
    </row>
    <row r="807" spans="8:29" ht="12.75" x14ac:dyDescent="0.2">
      <c r="H807" s="26"/>
      <c r="I807" s="26"/>
      <c r="J807" s="26"/>
      <c r="Z807" s="96"/>
      <c r="AA807" s="26"/>
      <c r="AB807" s="96"/>
      <c r="AC807" s="26"/>
    </row>
    <row r="808" spans="8:29" ht="12.75" x14ac:dyDescent="0.2">
      <c r="H808" s="26"/>
      <c r="I808" s="26"/>
      <c r="J808" s="26"/>
      <c r="Z808" s="96"/>
      <c r="AA808" s="26"/>
      <c r="AB808" s="96"/>
      <c r="AC808" s="26"/>
    </row>
    <row r="809" spans="8:29" ht="12.75" x14ac:dyDescent="0.2">
      <c r="H809" s="26"/>
      <c r="I809" s="26"/>
      <c r="J809" s="26"/>
      <c r="Z809" s="96"/>
      <c r="AA809" s="26"/>
      <c r="AB809" s="96"/>
      <c r="AC809" s="26"/>
    </row>
    <row r="810" spans="8:29" ht="12.75" x14ac:dyDescent="0.2">
      <c r="H810" s="26"/>
      <c r="I810" s="26"/>
      <c r="J810" s="26"/>
      <c r="Z810" s="96"/>
      <c r="AA810" s="26"/>
      <c r="AB810" s="96"/>
      <c r="AC810" s="26"/>
    </row>
    <row r="811" spans="8:29" ht="12.75" x14ac:dyDescent="0.2">
      <c r="H811" s="26"/>
      <c r="I811" s="26"/>
      <c r="J811" s="26"/>
      <c r="Z811" s="96"/>
      <c r="AA811" s="26"/>
      <c r="AB811" s="96"/>
      <c r="AC811" s="26"/>
    </row>
    <row r="812" spans="8:29" ht="12.75" x14ac:dyDescent="0.2">
      <c r="H812" s="26"/>
      <c r="I812" s="26"/>
      <c r="J812" s="26"/>
      <c r="Z812" s="96"/>
      <c r="AA812" s="26"/>
      <c r="AB812" s="96"/>
      <c r="AC812" s="26"/>
    </row>
    <row r="813" spans="8:29" ht="12.75" x14ac:dyDescent="0.2">
      <c r="H813" s="26"/>
      <c r="I813" s="26"/>
      <c r="J813" s="26"/>
      <c r="Z813" s="96"/>
      <c r="AA813" s="26"/>
      <c r="AB813" s="96"/>
      <c r="AC813" s="26"/>
    </row>
    <row r="814" spans="8:29" ht="12.75" x14ac:dyDescent="0.2">
      <c r="H814" s="26"/>
      <c r="I814" s="26"/>
      <c r="J814" s="26"/>
      <c r="Z814" s="96"/>
      <c r="AA814" s="26"/>
      <c r="AB814" s="96"/>
      <c r="AC814" s="26"/>
    </row>
    <row r="815" spans="8:29" ht="12.75" x14ac:dyDescent="0.2">
      <c r="H815" s="26"/>
      <c r="I815" s="26"/>
      <c r="J815" s="26"/>
      <c r="Z815" s="96"/>
      <c r="AA815" s="26"/>
      <c r="AB815" s="96"/>
      <c r="AC815" s="26"/>
    </row>
    <row r="816" spans="8:29" ht="12.75" x14ac:dyDescent="0.2">
      <c r="H816" s="26"/>
      <c r="I816" s="26"/>
      <c r="J816" s="26"/>
      <c r="Z816" s="96"/>
      <c r="AA816" s="26"/>
      <c r="AB816" s="96"/>
      <c r="AC816" s="26"/>
    </row>
    <row r="817" spans="8:29" ht="12.75" x14ac:dyDescent="0.2">
      <c r="H817" s="26"/>
      <c r="I817" s="26"/>
      <c r="J817" s="26"/>
      <c r="Z817" s="96"/>
      <c r="AA817" s="26"/>
      <c r="AB817" s="96"/>
      <c r="AC817" s="26"/>
    </row>
    <row r="818" spans="8:29" ht="12.75" x14ac:dyDescent="0.2">
      <c r="H818" s="26"/>
      <c r="I818" s="26"/>
      <c r="J818" s="26"/>
      <c r="Z818" s="96"/>
      <c r="AA818" s="26"/>
      <c r="AB818" s="96"/>
      <c r="AC818" s="26"/>
    </row>
    <row r="819" spans="8:29" ht="12.75" x14ac:dyDescent="0.2">
      <c r="H819" s="26"/>
      <c r="I819" s="26"/>
      <c r="J819" s="26"/>
      <c r="Z819" s="96"/>
      <c r="AA819" s="26"/>
      <c r="AB819" s="96"/>
      <c r="AC819" s="26"/>
    </row>
    <row r="820" spans="8:29" ht="12.75" x14ac:dyDescent="0.2">
      <c r="H820" s="26"/>
      <c r="I820" s="26"/>
      <c r="J820" s="26"/>
      <c r="Z820" s="96"/>
      <c r="AA820" s="26"/>
      <c r="AB820" s="96"/>
      <c r="AC820" s="26"/>
    </row>
    <row r="821" spans="8:29" ht="12.75" x14ac:dyDescent="0.2">
      <c r="H821" s="26"/>
      <c r="I821" s="26"/>
      <c r="J821" s="26"/>
      <c r="Z821" s="96"/>
      <c r="AA821" s="26"/>
      <c r="AB821" s="96"/>
      <c r="AC821" s="26"/>
    </row>
    <row r="822" spans="8:29" ht="12.75" x14ac:dyDescent="0.2">
      <c r="H822" s="26"/>
      <c r="I822" s="26"/>
      <c r="J822" s="26"/>
      <c r="Z822" s="96"/>
      <c r="AA822" s="26"/>
      <c r="AB822" s="96"/>
      <c r="AC822" s="26"/>
    </row>
    <row r="823" spans="8:29" ht="12.75" x14ac:dyDescent="0.2">
      <c r="H823" s="26"/>
      <c r="I823" s="26"/>
      <c r="J823" s="26"/>
      <c r="Z823" s="96"/>
      <c r="AA823" s="26"/>
      <c r="AB823" s="96"/>
      <c r="AC823" s="26"/>
    </row>
    <row r="824" spans="8:29" ht="12.75" x14ac:dyDescent="0.2">
      <c r="H824" s="26"/>
      <c r="I824" s="26"/>
      <c r="J824" s="26"/>
      <c r="Z824" s="96"/>
      <c r="AA824" s="26"/>
      <c r="AB824" s="96"/>
      <c r="AC824" s="26"/>
    </row>
    <row r="825" spans="8:29" ht="12.75" x14ac:dyDescent="0.2">
      <c r="H825" s="26"/>
      <c r="I825" s="26"/>
      <c r="J825" s="26"/>
      <c r="Z825" s="96"/>
      <c r="AA825" s="26"/>
      <c r="AB825" s="96"/>
      <c r="AC825" s="26"/>
    </row>
    <row r="826" spans="8:29" ht="12.75" x14ac:dyDescent="0.2">
      <c r="H826" s="26"/>
      <c r="I826" s="26"/>
      <c r="J826" s="26"/>
      <c r="Z826" s="96"/>
      <c r="AA826" s="26"/>
      <c r="AB826" s="96"/>
      <c r="AC826" s="26"/>
    </row>
    <row r="827" spans="8:29" ht="12.75" x14ac:dyDescent="0.2">
      <c r="H827" s="26"/>
      <c r="I827" s="26"/>
      <c r="J827" s="26"/>
      <c r="Z827" s="96"/>
      <c r="AA827" s="26"/>
      <c r="AB827" s="96"/>
      <c r="AC827" s="26"/>
    </row>
    <row r="828" spans="8:29" ht="12.75" x14ac:dyDescent="0.2">
      <c r="H828" s="26"/>
      <c r="I828" s="26"/>
      <c r="J828" s="26"/>
      <c r="Z828" s="96"/>
      <c r="AA828" s="26"/>
      <c r="AB828" s="96"/>
      <c r="AC828" s="26"/>
    </row>
    <row r="829" spans="8:29" ht="12.75" x14ac:dyDescent="0.2">
      <c r="H829" s="26"/>
      <c r="I829" s="26"/>
      <c r="J829" s="26"/>
      <c r="Z829" s="96"/>
      <c r="AA829" s="26"/>
      <c r="AB829" s="96"/>
      <c r="AC829" s="26"/>
    </row>
    <row r="830" spans="8:29" ht="12.75" x14ac:dyDescent="0.2">
      <c r="H830" s="26"/>
      <c r="I830" s="26"/>
      <c r="J830" s="26"/>
      <c r="Z830" s="96"/>
      <c r="AA830" s="26"/>
      <c r="AB830" s="96"/>
      <c r="AC830" s="26"/>
    </row>
    <row r="831" spans="8:29" ht="12.75" x14ac:dyDescent="0.2">
      <c r="H831" s="26"/>
      <c r="I831" s="26"/>
      <c r="J831" s="26"/>
      <c r="Z831" s="96"/>
      <c r="AA831" s="26"/>
      <c r="AB831" s="96"/>
      <c r="AC831" s="26"/>
    </row>
    <row r="832" spans="8:29" ht="12.75" x14ac:dyDescent="0.2">
      <c r="H832" s="26"/>
      <c r="I832" s="26"/>
      <c r="J832" s="26"/>
      <c r="Z832" s="96"/>
      <c r="AA832" s="26"/>
      <c r="AB832" s="96"/>
      <c r="AC832" s="26"/>
    </row>
    <row r="833" spans="8:29" ht="12.75" x14ac:dyDescent="0.2">
      <c r="H833" s="26"/>
      <c r="I833" s="26"/>
      <c r="J833" s="26"/>
      <c r="Z833" s="96"/>
      <c r="AA833" s="26"/>
      <c r="AB833" s="96"/>
      <c r="AC833" s="26"/>
    </row>
    <row r="834" spans="8:29" ht="12.75" x14ac:dyDescent="0.2">
      <c r="H834" s="26"/>
      <c r="I834" s="26"/>
      <c r="J834" s="26"/>
      <c r="Z834" s="96"/>
      <c r="AA834" s="26"/>
      <c r="AB834" s="96"/>
      <c r="AC834" s="26"/>
    </row>
    <row r="835" spans="8:29" ht="12.75" x14ac:dyDescent="0.2">
      <c r="H835" s="26"/>
      <c r="I835" s="26"/>
      <c r="J835" s="26"/>
      <c r="Z835" s="96"/>
      <c r="AA835" s="26"/>
      <c r="AB835" s="96"/>
      <c r="AC835" s="26"/>
    </row>
    <row r="836" spans="8:29" ht="12.75" x14ac:dyDescent="0.2">
      <c r="H836" s="26"/>
      <c r="I836" s="26"/>
      <c r="J836" s="26"/>
      <c r="Z836" s="96"/>
      <c r="AA836" s="26"/>
      <c r="AB836" s="96"/>
      <c r="AC836" s="26"/>
    </row>
    <row r="837" spans="8:29" ht="12.75" x14ac:dyDescent="0.2">
      <c r="H837" s="26"/>
      <c r="I837" s="26"/>
      <c r="J837" s="26"/>
      <c r="Z837" s="96"/>
      <c r="AA837" s="26"/>
      <c r="AB837" s="96"/>
      <c r="AC837" s="26"/>
    </row>
    <row r="838" spans="8:29" ht="12.75" x14ac:dyDescent="0.2">
      <c r="H838" s="26"/>
      <c r="I838" s="26"/>
      <c r="J838" s="26"/>
      <c r="Z838" s="96"/>
      <c r="AA838" s="26"/>
      <c r="AB838" s="96"/>
      <c r="AC838" s="26"/>
    </row>
    <row r="839" spans="8:29" ht="12.75" x14ac:dyDescent="0.2">
      <c r="H839" s="26"/>
      <c r="I839" s="26"/>
      <c r="J839" s="26"/>
      <c r="Z839" s="96"/>
      <c r="AA839" s="26"/>
      <c r="AB839" s="96"/>
      <c r="AC839" s="26"/>
    </row>
    <row r="840" spans="8:29" ht="12.75" x14ac:dyDescent="0.2">
      <c r="H840" s="26"/>
      <c r="I840" s="26"/>
      <c r="J840" s="26"/>
      <c r="Z840" s="96"/>
      <c r="AA840" s="26"/>
      <c r="AB840" s="96"/>
      <c r="AC840" s="26"/>
    </row>
    <row r="841" spans="8:29" ht="12.75" x14ac:dyDescent="0.2">
      <c r="H841" s="26"/>
      <c r="I841" s="26"/>
      <c r="J841" s="26"/>
      <c r="Z841" s="96"/>
      <c r="AA841" s="26"/>
      <c r="AB841" s="96"/>
      <c r="AC841" s="26"/>
    </row>
    <row r="842" spans="8:29" ht="12.75" x14ac:dyDescent="0.2">
      <c r="H842" s="26"/>
      <c r="I842" s="26"/>
      <c r="J842" s="26"/>
      <c r="Z842" s="96"/>
      <c r="AA842" s="26"/>
      <c r="AB842" s="96"/>
      <c r="AC842" s="26"/>
    </row>
    <row r="843" spans="8:29" ht="12.75" x14ac:dyDescent="0.2">
      <c r="H843" s="26"/>
      <c r="I843" s="26"/>
      <c r="J843" s="26"/>
      <c r="Z843" s="96"/>
      <c r="AA843" s="26"/>
      <c r="AB843" s="96"/>
      <c r="AC843" s="26"/>
    </row>
    <row r="844" spans="8:29" ht="12.75" x14ac:dyDescent="0.2">
      <c r="H844" s="26"/>
      <c r="I844" s="26"/>
      <c r="J844" s="26"/>
      <c r="Z844" s="96"/>
      <c r="AA844" s="26"/>
      <c r="AB844" s="96"/>
      <c r="AC844" s="26"/>
    </row>
    <row r="845" spans="8:29" ht="12.75" x14ac:dyDescent="0.2">
      <c r="H845" s="26"/>
      <c r="I845" s="26"/>
      <c r="J845" s="26"/>
      <c r="Z845" s="96"/>
      <c r="AA845" s="26"/>
      <c r="AB845" s="96"/>
      <c r="AC845" s="26"/>
    </row>
    <row r="846" spans="8:29" ht="12.75" x14ac:dyDescent="0.2">
      <c r="H846" s="26"/>
      <c r="I846" s="26"/>
      <c r="J846" s="26"/>
      <c r="Z846" s="96"/>
      <c r="AA846" s="26"/>
      <c r="AB846" s="96"/>
      <c r="AC846" s="26"/>
    </row>
    <row r="847" spans="8:29" ht="12.75" x14ac:dyDescent="0.2">
      <c r="H847" s="26"/>
      <c r="I847" s="26"/>
      <c r="J847" s="26"/>
      <c r="Z847" s="96"/>
      <c r="AA847" s="26"/>
      <c r="AB847" s="96"/>
      <c r="AC847" s="26"/>
    </row>
    <row r="848" spans="8:29" ht="12.75" x14ac:dyDescent="0.2">
      <c r="H848" s="26"/>
      <c r="I848" s="26"/>
      <c r="J848" s="26"/>
      <c r="Z848" s="96"/>
      <c r="AA848" s="26"/>
      <c r="AB848" s="96"/>
      <c r="AC848" s="26"/>
    </row>
    <row r="849" spans="8:29" ht="12.75" x14ac:dyDescent="0.2">
      <c r="H849" s="26"/>
      <c r="I849" s="26"/>
      <c r="J849" s="26"/>
      <c r="Z849" s="96"/>
      <c r="AA849" s="26"/>
      <c r="AB849" s="96"/>
      <c r="AC849" s="26"/>
    </row>
    <row r="850" spans="8:29" ht="12.75" x14ac:dyDescent="0.2">
      <c r="H850" s="26"/>
      <c r="I850" s="26"/>
      <c r="J850" s="26"/>
      <c r="Z850" s="96"/>
      <c r="AA850" s="26"/>
      <c r="AB850" s="96"/>
      <c r="AC850" s="26"/>
    </row>
    <row r="851" spans="8:29" ht="12.75" x14ac:dyDescent="0.2">
      <c r="H851" s="26"/>
      <c r="I851" s="26"/>
      <c r="J851" s="26"/>
      <c r="Z851" s="96"/>
      <c r="AA851" s="26"/>
      <c r="AB851" s="96"/>
      <c r="AC851" s="26"/>
    </row>
    <row r="852" spans="8:29" ht="12.75" x14ac:dyDescent="0.2">
      <c r="H852" s="26"/>
      <c r="I852" s="26"/>
      <c r="J852" s="26"/>
      <c r="Z852" s="96"/>
      <c r="AA852" s="26"/>
      <c r="AB852" s="96"/>
      <c r="AC852" s="26"/>
    </row>
    <row r="853" spans="8:29" ht="12.75" x14ac:dyDescent="0.2">
      <c r="H853" s="26"/>
      <c r="I853" s="26"/>
      <c r="J853" s="26"/>
      <c r="Z853" s="96"/>
      <c r="AA853" s="26"/>
      <c r="AB853" s="96"/>
      <c r="AC853" s="26"/>
    </row>
    <row r="854" spans="8:29" ht="12.75" x14ac:dyDescent="0.2">
      <c r="H854" s="26"/>
      <c r="I854" s="26"/>
      <c r="J854" s="26"/>
      <c r="Z854" s="96"/>
      <c r="AA854" s="26"/>
      <c r="AB854" s="96"/>
      <c r="AC854" s="26"/>
    </row>
    <row r="855" spans="8:29" ht="12.75" x14ac:dyDescent="0.2">
      <c r="H855" s="26"/>
      <c r="I855" s="26"/>
      <c r="J855" s="26"/>
      <c r="Z855" s="96"/>
      <c r="AA855" s="26"/>
      <c r="AB855" s="96"/>
      <c r="AC855" s="26"/>
    </row>
    <row r="856" spans="8:29" ht="12.75" x14ac:dyDescent="0.2">
      <c r="H856" s="26"/>
      <c r="I856" s="26"/>
      <c r="J856" s="26"/>
      <c r="Z856" s="96"/>
      <c r="AA856" s="26"/>
      <c r="AB856" s="96"/>
      <c r="AC856" s="26"/>
    </row>
    <row r="857" spans="8:29" ht="12.75" x14ac:dyDescent="0.2">
      <c r="H857" s="26"/>
      <c r="I857" s="26"/>
      <c r="J857" s="26"/>
      <c r="Z857" s="96"/>
      <c r="AA857" s="26"/>
      <c r="AB857" s="96"/>
      <c r="AC857" s="26"/>
    </row>
    <row r="858" spans="8:29" ht="12.75" x14ac:dyDescent="0.2">
      <c r="H858" s="26"/>
      <c r="I858" s="26"/>
      <c r="J858" s="26"/>
      <c r="Z858" s="96"/>
      <c r="AA858" s="26"/>
      <c r="AB858" s="96"/>
      <c r="AC858" s="26"/>
    </row>
    <row r="859" spans="8:29" ht="12.75" x14ac:dyDescent="0.2">
      <c r="H859" s="26"/>
      <c r="I859" s="26"/>
      <c r="J859" s="26"/>
      <c r="Z859" s="96"/>
      <c r="AA859" s="26"/>
      <c r="AB859" s="96"/>
      <c r="AC859" s="26"/>
    </row>
    <row r="860" spans="8:29" ht="12.75" x14ac:dyDescent="0.2">
      <c r="H860" s="26"/>
      <c r="I860" s="26"/>
      <c r="J860" s="26"/>
      <c r="Z860" s="96"/>
      <c r="AA860" s="26"/>
      <c r="AB860" s="96"/>
      <c r="AC860" s="26"/>
    </row>
    <row r="861" spans="8:29" ht="12.75" x14ac:dyDescent="0.2">
      <c r="H861" s="26"/>
      <c r="I861" s="26"/>
      <c r="J861" s="26"/>
      <c r="Z861" s="96"/>
      <c r="AA861" s="26"/>
      <c r="AB861" s="96"/>
      <c r="AC861" s="26"/>
    </row>
    <row r="862" spans="8:29" ht="12.75" x14ac:dyDescent="0.2">
      <c r="H862" s="26"/>
      <c r="I862" s="26"/>
      <c r="J862" s="26"/>
      <c r="Z862" s="96"/>
      <c r="AA862" s="26"/>
      <c r="AB862" s="96"/>
      <c r="AC862" s="26"/>
    </row>
    <row r="863" spans="8:29" ht="12.75" x14ac:dyDescent="0.2">
      <c r="H863" s="26"/>
      <c r="I863" s="26"/>
      <c r="J863" s="26"/>
      <c r="Z863" s="96"/>
      <c r="AA863" s="26"/>
      <c r="AB863" s="96"/>
      <c r="AC863" s="26"/>
    </row>
    <row r="864" spans="8:29" ht="12.75" x14ac:dyDescent="0.2">
      <c r="H864" s="26"/>
      <c r="I864" s="26"/>
      <c r="J864" s="26"/>
      <c r="Z864" s="96"/>
      <c r="AA864" s="26"/>
      <c r="AB864" s="96"/>
      <c r="AC864" s="26"/>
    </row>
    <row r="865" spans="8:29" ht="12.75" x14ac:dyDescent="0.2">
      <c r="H865" s="26"/>
      <c r="I865" s="26"/>
      <c r="J865" s="26"/>
      <c r="Z865" s="96"/>
      <c r="AA865" s="26"/>
      <c r="AB865" s="96"/>
      <c r="AC865" s="26"/>
    </row>
    <row r="866" spans="8:29" ht="12.75" x14ac:dyDescent="0.2">
      <c r="H866" s="26"/>
      <c r="I866" s="26"/>
      <c r="J866" s="26"/>
      <c r="Z866" s="96"/>
      <c r="AA866" s="26"/>
      <c r="AB866" s="96"/>
      <c r="AC866" s="26"/>
    </row>
    <row r="867" spans="8:29" ht="12.75" x14ac:dyDescent="0.2">
      <c r="H867" s="26"/>
      <c r="I867" s="26"/>
      <c r="J867" s="26"/>
      <c r="Z867" s="96"/>
      <c r="AA867" s="26"/>
      <c r="AB867" s="96"/>
      <c r="AC867" s="26"/>
    </row>
    <row r="868" spans="8:29" ht="12.75" x14ac:dyDescent="0.2">
      <c r="H868" s="26"/>
      <c r="I868" s="26"/>
      <c r="J868" s="26"/>
      <c r="Z868" s="96"/>
      <c r="AA868" s="26"/>
      <c r="AB868" s="96"/>
      <c r="AC868" s="26"/>
    </row>
    <row r="869" spans="8:29" ht="12.75" x14ac:dyDescent="0.2">
      <c r="H869" s="26"/>
      <c r="I869" s="26"/>
      <c r="J869" s="26"/>
      <c r="Z869" s="96"/>
      <c r="AA869" s="26"/>
      <c r="AB869" s="96"/>
      <c r="AC869" s="26"/>
    </row>
    <row r="870" spans="8:29" ht="12.75" x14ac:dyDescent="0.2">
      <c r="H870" s="26"/>
      <c r="I870" s="26"/>
      <c r="J870" s="26"/>
      <c r="Z870" s="96"/>
      <c r="AA870" s="26"/>
      <c r="AB870" s="96"/>
      <c r="AC870" s="26"/>
    </row>
    <row r="871" spans="8:29" ht="12.75" x14ac:dyDescent="0.2">
      <c r="H871" s="26"/>
      <c r="I871" s="26"/>
      <c r="J871" s="26"/>
      <c r="Z871" s="96"/>
      <c r="AA871" s="26"/>
      <c r="AB871" s="96"/>
      <c r="AC871" s="26"/>
    </row>
    <row r="872" spans="8:29" ht="12.75" x14ac:dyDescent="0.2">
      <c r="H872" s="26"/>
      <c r="I872" s="26"/>
      <c r="J872" s="26"/>
      <c r="Z872" s="96"/>
      <c r="AA872" s="26"/>
      <c r="AB872" s="96"/>
      <c r="AC872" s="26"/>
    </row>
    <row r="873" spans="8:29" ht="12.75" x14ac:dyDescent="0.2">
      <c r="H873" s="26"/>
      <c r="I873" s="26"/>
      <c r="J873" s="26"/>
      <c r="Z873" s="96"/>
      <c r="AA873" s="26"/>
      <c r="AB873" s="96"/>
      <c r="AC873" s="26"/>
    </row>
    <row r="874" spans="8:29" ht="12.75" x14ac:dyDescent="0.2">
      <c r="H874" s="26"/>
      <c r="I874" s="26"/>
      <c r="J874" s="26"/>
      <c r="Z874" s="96"/>
      <c r="AA874" s="26"/>
      <c r="AB874" s="96"/>
      <c r="AC874" s="26"/>
    </row>
    <row r="875" spans="8:29" ht="12.75" x14ac:dyDescent="0.2">
      <c r="H875" s="26"/>
      <c r="I875" s="26"/>
      <c r="J875" s="26"/>
      <c r="Z875" s="96"/>
      <c r="AA875" s="26"/>
      <c r="AB875" s="96"/>
      <c r="AC875" s="26"/>
    </row>
    <row r="876" spans="8:29" ht="12.75" x14ac:dyDescent="0.2">
      <c r="H876" s="26"/>
      <c r="I876" s="26"/>
      <c r="J876" s="26"/>
      <c r="Z876" s="96"/>
      <c r="AA876" s="26"/>
      <c r="AB876" s="96"/>
      <c r="AC876" s="26"/>
    </row>
    <row r="877" spans="8:29" ht="12.75" x14ac:dyDescent="0.2">
      <c r="H877" s="26"/>
      <c r="I877" s="26"/>
      <c r="J877" s="26"/>
      <c r="Z877" s="96"/>
      <c r="AA877" s="26"/>
      <c r="AB877" s="96"/>
      <c r="AC877" s="26"/>
    </row>
    <row r="878" spans="8:29" ht="12.75" x14ac:dyDescent="0.2">
      <c r="H878" s="26"/>
      <c r="I878" s="26"/>
      <c r="J878" s="26"/>
      <c r="Z878" s="96"/>
      <c r="AA878" s="26"/>
      <c r="AB878" s="96"/>
      <c r="AC878" s="26"/>
    </row>
    <row r="879" spans="8:29" ht="12.75" x14ac:dyDescent="0.2">
      <c r="H879" s="26"/>
      <c r="I879" s="26"/>
      <c r="J879" s="26"/>
      <c r="Z879" s="96"/>
      <c r="AA879" s="26"/>
      <c r="AB879" s="96"/>
      <c r="AC879" s="26"/>
    </row>
    <row r="880" spans="8:29" ht="12.75" x14ac:dyDescent="0.2">
      <c r="H880" s="26"/>
      <c r="I880" s="26"/>
      <c r="J880" s="26"/>
      <c r="Z880" s="96"/>
      <c r="AA880" s="26"/>
      <c r="AB880" s="96"/>
      <c r="AC880" s="26"/>
    </row>
    <row r="881" spans="8:29" ht="12.75" x14ac:dyDescent="0.2">
      <c r="H881" s="26"/>
      <c r="I881" s="26"/>
      <c r="J881" s="26"/>
      <c r="Z881" s="96"/>
      <c r="AA881" s="26"/>
      <c r="AB881" s="96"/>
      <c r="AC881" s="26"/>
    </row>
    <row r="882" spans="8:29" ht="12.75" x14ac:dyDescent="0.2">
      <c r="H882" s="26"/>
      <c r="I882" s="26"/>
      <c r="J882" s="26"/>
      <c r="Z882" s="96"/>
      <c r="AA882" s="26"/>
      <c r="AB882" s="96"/>
      <c r="AC882" s="26"/>
    </row>
    <row r="883" spans="8:29" ht="12.75" x14ac:dyDescent="0.2">
      <c r="H883" s="26"/>
      <c r="I883" s="26"/>
      <c r="J883" s="26"/>
      <c r="Z883" s="96"/>
      <c r="AA883" s="26"/>
      <c r="AB883" s="96"/>
      <c r="AC883" s="26"/>
    </row>
    <row r="884" spans="8:29" ht="12.75" x14ac:dyDescent="0.2">
      <c r="H884" s="26"/>
      <c r="I884" s="26"/>
      <c r="J884" s="26"/>
      <c r="Z884" s="96"/>
      <c r="AA884" s="26"/>
      <c r="AB884" s="96"/>
      <c r="AC884" s="26"/>
    </row>
    <row r="885" spans="8:29" ht="12.75" x14ac:dyDescent="0.2">
      <c r="H885" s="26"/>
      <c r="I885" s="26"/>
      <c r="J885" s="26"/>
      <c r="Z885" s="96"/>
      <c r="AA885" s="26"/>
      <c r="AB885" s="96"/>
      <c r="AC885" s="26"/>
    </row>
    <row r="886" spans="8:29" ht="12.75" x14ac:dyDescent="0.2">
      <c r="H886" s="26"/>
      <c r="I886" s="26"/>
      <c r="J886" s="26"/>
      <c r="Z886" s="96"/>
      <c r="AA886" s="26"/>
      <c r="AB886" s="96"/>
      <c r="AC886" s="26"/>
    </row>
    <row r="887" spans="8:29" ht="12.75" x14ac:dyDescent="0.2">
      <c r="H887" s="26"/>
      <c r="I887" s="26"/>
      <c r="J887" s="26"/>
      <c r="Z887" s="96"/>
      <c r="AA887" s="26"/>
      <c r="AB887" s="96"/>
      <c r="AC887" s="26"/>
    </row>
    <row r="888" spans="8:29" ht="12.75" x14ac:dyDescent="0.2">
      <c r="H888" s="26"/>
      <c r="I888" s="26"/>
      <c r="J888" s="26"/>
      <c r="Z888" s="96"/>
      <c r="AA888" s="26"/>
      <c r="AB888" s="96"/>
      <c r="AC888" s="26"/>
    </row>
    <row r="889" spans="8:29" ht="12.75" x14ac:dyDescent="0.2">
      <c r="H889" s="26"/>
      <c r="I889" s="26"/>
      <c r="J889" s="26"/>
      <c r="Z889" s="96"/>
      <c r="AA889" s="26"/>
      <c r="AB889" s="96"/>
      <c r="AC889" s="26"/>
    </row>
    <row r="890" spans="8:29" ht="12.75" x14ac:dyDescent="0.2">
      <c r="H890" s="26"/>
      <c r="I890" s="26"/>
      <c r="J890" s="26"/>
      <c r="Z890" s="96"/>
      <c r="AA890" s="26"/>
      <c r="AB890" s="96"/>
      <c r="AC890" s="26"/>
    </row>
    <row r="891" spans="8:29" ht="12.75" x14ac:dyDescent="0.2">
      <c r="H891" s="26"/>
      <c r="I891" s="26"/>
      <c r="J891" s="26"/>
      <c r="Z891" s="96"/>
      <c r="AA891" s="26"/>
      <c r="AB891" s="96"/>
      <c r="AC891" s="26"/>
    </row>
    <row r="892" spans="8:29" ht="12.75" x14ac:dyDescent="0.2">
      <c r="H892" s="26"/>
      <c r="I892" s="26"/>
      <c r="J892" s="26"/>
      <c r="Z892" s="96"/>
      <c r="AA892" s="26"/>
      <c r="AB892" s="96"/>
      <c r="AC892" s="26"/>
    </row>
    <row r="893" spans="8:29" ht="12.75" x14ac:dyDescent="0.2">
      <c r="H893" s="26"/>
      <c r="I893" s="26"/>
      <c r="J893" s="26"/>
      <c r="Z893" s="96"/>
      <c r="AA893" s="26"/>
      <c r="AB893" s="96"/>
      <c r="AC893" s="26"/>
    </row>
    <row r="894" spans="8:29" ht="12.75" x14ac:dyDescent="0.2">
      <c r="H894" s="26"/>
      <c r="I894" s="26"/>
      <c r="J894" s="26"/>
      <c r="Z894" s="96"/>
      <c r="AA894" s="26"/>
      <c r="AB894" s="96"/>
      <c r="AC894" s="26"/>
    </row>
    <row r="895" spans="8:29" ht="12.75" x14ac:dyDescent="0.2">
      <c r="H895" s="26"/>
      <c r="I895" s="26"/>
      <c r="J895" s="26"/>
      <c r="Z895" s="96"/>
      <c r="AA895" s="26"/>
      <c r="AB895" s="96"/>
      <c r="AC895" s="26"/>
    </row>
    <row r="896" spans="8:29" ht="12.75" x14ac:dyDescent="0.2">
      <c r="H896" s="26"/>
      <c r="I896" s="26"/>
      <c r="J896" s="26"/>
      <c r="Z896" s="96"/>
      <c r="AA896" s="26"/>
      <c r="AB896" s="96"/>
      <c r="AC896" s="26"/>
    </row>
    <row r="897" spans="8:29" ht="12.75" x14ac:dyDescent="0.2">
      <c r="H897" s="26"/>
      <c r="I897" s="26"/>
      <c r="J897" s="26"/>
      <c r="Z897" s="96"/>
      <c r="AA897" s="26"/>
      <c r="AB897" s="96"/>
      <c r="AC897" s="26"/>
    </row>
    <row r="898" spans="8:29" ht="12.75" x14ac:dyDescent="0.2">
      <c r="H898" s="26"/>
      <c r="I898" s="26"/>
      <c r="J898" s="26"/>
      <c r="Z898" s="96"/>
      <c r="AA898" s="26"/>
      <c r="AB898" s="96"/>
      <c r="AC898" s="26"/>
    </row>
    <row r="899" spans="8:29" ht="12.75" x14ac:dyDescent="0.2">
      <c r="H899" s="26"/>
      <c r="I899" s="26"/>
      <c r="J899" s="26"/>
      <c r="Z899" s="96"/>
      <c r="AA899" s="26"/>
      <c r="AB899" s="96"/>
      <c r="AC899" s="26"/>
    </row>
    <row r="900" spans="8:29" ht="12.75" x14ac:dyDescent="0.2">
      <c r="H900" s="26"/>
      <c r="I900" s="26"/>
      <c r="J900" s="26"/>
      <c r="Z900" s="96"/>
      <c r="AA900" s="26"/>
      <c r="AB900" s="96"/>
      <c r="AC900" s="26"/>
    </row>
    <row r="901" spans="8:29" ht="12.75" x14ac:dyDescent="0.2">
      <c r="H901" s="26"/>
      <c r="I901" s="26"/>
      <c r="J901" s="26"/>
      <c r="Z901" s="96"/>
      <c r="AA901" s="26"/>
      <c r="AB901" s="96"/>
      <c r="AC901" s="26"/>
    </row>
    <row r="902" spans="8:29" ht="12.75" x14ac:dyDescent="0.2">
      <c r="H902" s="26"/>
      <c r="I902" s="26"/>
      <c r="J902" s="26"/>
      <c r="Z902" s="96"/>
      <c r="AA902" s="26"/>
      <c r="AB902" s="96"/>
      <c r="AC902" s="26"/>
    </row>
    <row r="903" spans="8:29" ht="12.75" x14ac:dyDescent="0.2">
      <c r="H903" s="26"/>
      <c r="I903" s="26"/>
      <c r="J903" s="26"/>
      <c r="Z903" s="96"/>
      <c r="AA903" s="26"/>
      <c r="AB903" s="96"/>
      <c r="AC903" s="26"/>
    </row>
    <row r="904" spans="8:29" ht="12.75" x14ac:dyDescent="0.2">
      <c r="H904" s="26"/>
      <c r="I904" s="26"/>
      <c r="J904" s="26"/>
      <c r="Z904" s="96"/>
      <c r="AA904" s="26"/>
      <c r="AB904" s="96"/>
      <c r="AC904" s="26"/>
    </row>
    <row r="905" spans="8:29" ht="12.75" x14ac:dyDescent="0.2">
      <c r="H905" s="26"/>
      <c r="I905" s="26"/>
      <c r="J905" s="26"/>
      <c r="Z905" s="96"/>
      <c r="AA905" s="26"/>
      <c r="AB905" s="96"/>
      <c r="AC905" s="26"/>
    </row>
    <row r="906" spans="8:29" ht="12.75" x14ac:dyDescent="0.2">
      <c r="H906" s="26"/>
      <c r="I906" s="26"/>
      <c r="J906" s="26"/>
      <c r="Z906" s="96"/>
      <c r="AA906" s="26"/>
      <c r="AB906" s="96"/>
      <c r="AC906" s="26"/>
    </row>
    <row r="907" spans="8:29" ht="12.75" x14ac:dyDescent="0.2">
      <c r="H907" s="26"/>
      <c r="I907" s="26"/>
      <c r="J907" s="26"/>
      <c r="Z907" s="96"/>
      <c r="AA907" s="26"/>
      <c r="AB907" s="96"/>
      <c r="AC907" s="26"/>
    </row>
    <row r="908" spans="8:29" ht="12.75" x14ac:dyDescent="0.2">
      <c r="H908" s="26"/>
      <c r="I908" s="26"/>
      <c r="J908" s="26"/>
      <c r="Z908" s="96"/>
      <c r="AA908" s="26"/>
      <c r="AB908" s="96"/>
      <c r="AC908" s="26"/>
    </row>
    <row r="909" spans="8:29" ht="12.75" x14ac:dyDescent="0.2">
      <c r="H909" s="26"/>
      <c r="I909" s="26"/>
      <c r="J909" s="26"/>
      <c r="Z909" s="96"/>
      <c r="AA909" s="26"/>
      <c r="AB909" s="96"/>
      <c r="AC909" s="26"/>
    </row>
    <row r="910" spans="8:29" ht="12.75" x14ac:dyDescent="0.2">
      <c r="H910" s="26"/>
      <c r="I910" s="26"/>
      <c r="J910" s="26"/>
      <c r="Z910" s="96"/>
      <c r="AA910" s="26"/>
      <c r="AB910" s="96"/>
      <c r="AC910" s="26"/>
    </row>
    <row r="911" spans="8:29" ht="12.75" x14ac:dyDescent="0.2">
      <c r="H911" s="26"/>
      <c r="I911" s="26"/>
      <c r="J911" s="26"/>
      <c r="Z911" s="96"/>
      <c r="AA911" s="26"/>
      <c r="AB911" s="96"/>
      <c r="AC911" s="26"/>
    </row>
    <row r="912" spans="8:29" ht="12.75" x14ac:dyDescent="0.2">
      <c r="H912" s="26"/>
      <c r="I912" s="26"/>
      <c r="J912" s="26"/>
      <c r="Z912" s="96"/>
      <c r="AA912" s="26"/>
      <c r="AB912" s="96"/>
      <c r="AC912" s="26"/>
    </row>
    <row r="913" spans="8:29" ht="12.75" x14ac:dyDescent="0.2">
      <c r="H913" s="26"/>
      <c r="I913" s="26"/>
      <c r="J913" s="26"/>
      <c r="Z913" s="96"/>
      <c r="AA913" s="26"/>
      <c r="AB913" s="96"/>
      <c r="AC913" s="26"/>
    </row>
    <row r="914" spans="8:29" ht="12.75" x14ac:dyDescent="0.2">
      <c r="H914" s="26"/>
      <c r="I914" s="26"/>
      <c r="J914" s="26"/>
      <c r="Z914" s="96"/>
      <c r="AA914" s="26"/>
      <c r="AB914" s="96"/>
      <c r="AC914" s="26"/>
    </row>
    <row r="915" spans="8:29" ht="12.75" x14ac:dyDescent="0.2">
      <c r="H915" s="26"/>
      <c r="I915" s="26"/>
      <c r="J915" s="26"/>
      <c r="Z915" s="96"/>
      <c r="AA915" s="26"/>
      <c r="AB915" s="96"/>
      <c r="AC915" s="26"/>
    </row>
    <row r="916" spans="8:29" ht="12.75" x14ac:dyDescent="0.2">
      <c r="H916" s="26"/>
      <c r="I916" s="26"/>
      <c r="J916" s="26"/>
      <c r="Z916" s="96"/>
      <c r="AA916" s="26"/>
      <c r="AB916" s="96"/>
      <c r="AC916" s="26"/>
    </row>
    <row r="917" spans="8:29" ht="12.75" x14ac:dyDescent="0.2">
      <c r="H917" s="26"/>
      <c r="I917" s="26"/>
      <c r="J917" s="26"/>
      <c r="Z917" s="96"/>
      <c r="AA917" s="26"/>
      <c r="AB917" s="96"/>
      <c r="AC917" s="26"/>
    </row>
    <row r="918" spans="8:29" ht="12.75" x14ac:dyDescent="0.2">
      <c r="H918" s="26"/>
      <c r="I918" s="26"/>
      <c r="J918" s="26"/>
      <c r="Z918" s="96"/>
      <c r="AA918" s="26"/>
      <c r="AB918" s="96"/>
      <c r="AC918" s="26"/>
    </row>
    <row r="919" spans="8:29" ht="12.75" x14ac:dyDescent="0.2">
      <c r="H919" s="26"/>
      <c r="I919" s="26"/>
      <c r="J919" s="26"/>
      <c r="Z919" s="96"/>
      <c r="AA919" s="26"/>
      <c r="AB919" s="96"/>
      <c r="AC919" s="26"/>
    </row>
    <row r="920" spans="8:29" ht="12.75" x14ac:dyDescent="0.2">
      <c r="H920" s="26"/>
      <c r="I920" s="26"/>
      <c r="J920" s="26"/>
      <c r="Z920" s="96"/>
      <c r="AA920" s="26"/>
      <c r="AB920" s="96"/>
      <c r="AC920" s="26"/>
    </row>
    <row r="921" spans="8:29" ht="12.75" x14ac:dyDescent="0.2">
      <c r="H921" s="26"/>
      <c r="I921" s="26"/>
      <c r="J921" s="26"/>
      <c r="Z921" s="96"/>
      <c r="AA921" s="26"/>
      <c r="AB921" s="96"/>
      <c r="AC921" s="26"/>
    </row>
    <row r="922" spans="8:29" ht="12.75" x14ac:dyDescent="0.2">
      <c r="H922" s="26"/>
      <c r="I922" s="26"/>
      <c r="J922" s="26"/>
      <c r="Z922" s="96"/>
      <c r="AA922" s="26"/>
      <c r="AB922" s="96"/>
      <c r="AC922" s="26"/>
    </row>
    <row r="923" spans="8:29" ht="12.75" x14ac:dyDescent="0.2">
      <c r="H923" s="26"/>
      <c r="I923" s="26"/>
      <c r="J923" s="26"/>
      <c r="Z923" s="96"/>
      <c r="AA923" s="26"/>
      <c r="AB923" s="96"/>
      <c r="AC923" s="26"/>
    </row>
    <row r="924" spans="8:29" ht="12.75" x14ac:dyDescent="0.2">
      <c r="H924" s="26"/>
      <c r="I924" s="26"/>
      <c r="J924" s="26"/>
      <c r="Z924" s="96"/>
      <c r="AA924" s="26"/>
      <c r="AB924" s="96"/>
      <c r="AC924" s="26"/>
    </row>
    <row r="925" spans="8:29" ht="12.75" x14ac:dyDescent="0.2">
      <c r="H925" s="26"/>
      <c r="I925" s="26"/>
      <c r="J925" s="26"/>
      <c r="Z925" s="96"/>
      <c r="AA925" s="26"/>
      <c r="AB925" s="96"/>
      <c r="AC925" s="26"/>
    </row>
    <row r="926" spans="8:29" ht="12.75" x14ac:dyDescent="0.2">
      <c r="H926" s="26"/>
      <c r="I926" s="26"/>
      <c r="J926" s="26"/>
      <c r="Z926" s="96"/>
      <c r="AA926" s="26"/>
      <c r="AB926" s="96"/>
      <c r="AC926" s="26"/>
    </row>
    <row r="927" spans="8:29" ht="12.75" x14ac:dyDescent="0.2">
      <c r="H927" s="26"/>
      <c r="I927" s="26"/>
      <c r="J927" s="26"/>
      <c r="Z927" s="96"/>
      <c r="AA927" s="26"/>
      <c r="AB927" s="96"/>
      <c r="AC927" s="26"/>
    </row>
    <row r="928" spans="8:29" ht="12.75" x14ac:dyDescent="0.2">
      <c r="H928" s="26"/>
      <c r="I928" s="26"/>
      <c r="J928" s="26"/>
      <c r="Z928" s="96"/>
      <c r="AA928" s="26"/>
      <c r="AB928" s="96"/>
      <c r="AC928" s="26"/>
    </row>
    <row r="929" spans="8:29" ht="12.75" x14ac:dyDescent="0.2">
      <c r="H929" s="26"/>
      <c r="I929" s="26"/>
      <c r="J929" s="26"/>
      <c r="Z929" s="96"/>
      <c r="AA929" s="26"/>
      <c r="AB929" s="96"/>
      <c r="AC929" s="26"/>
    </row>
    <row r="930" spans="8:29" ht="12.75" x14ac:dyDescent="0.2">
      <c r="H930" s="26"/>
      <c r="I930" s="26"/>
      <c r="J930" s="26"/>
      <c r="Z930" s="96"/>
      <c r="AA930" s="26"/>
      <c r="AB930" s="96"/>
      <c r="AC930" s="26"/>
    </row>
    <row r="931" spans="8:29" ht="12.75" x14ac:dyDescent="0.2">
      <c r="H931" s="26"/>
      <c r="I931" s="26"/>
      <c r="J931" s="26"/>
      <c r="Z931" s="96"/>
      <c r="AA931" s="26"/>
      <c r="AB931" s="96"/>
      <c r="AC931" s="26"/>
    </row>
    <row r="932" spans="8:29" ht="12.75" x14ac:dyDescent="0.2">
      <c r="H932" s="26"/>
      <c r="I932" s="26"/>
      <c r="J932" s="26"/>
      <c r="Z932" s="96"/>
      <c r="AA932" s="26"/>
      <c r="AB932" s="96"/>
      <c r="AC932" s="26"/>
    </row>
    <row r="933" spans="8:29" ht="12.75" x14ac:dyDescent="0.2">
      <c r="H933" s="26"/>
      <c r="I933" s="26"/>
      <c r="J933" s="26"/>
      <c r="Z933" s="96"/>
      <c r="AA933" s="26"/>
      <c r="AB933" s="96"/>
      <c r="AC933" s="26"/>
    </row>
    <row r="934" spans="8:29" ht="12.75" x14ac:dyDescent="0.2">
      <c r="H934" s="26"/>
      <c r="I934" s="26"/>
      <c r="J934" s="26"/>
      <c r="Z934" s="96"/>
      <c r="AA934" s="26"/>
      <c r="AB934" s="96"/>
      <c r="AC934" s="26"/>
    </row>
    <row r="935" spans="8:29" ht="12.75" x14ac:dyDescent="0.2">
      <c r="H935" s="26"/>
      <c r="I935" s="26"/>
      <c r="J935" s="26"/>
      <c r="Z935" s="96"/>
      <c r="AA935" s="26"/>
      <c r="AB935" s="96"/>
      <c r="AC935" s="26"/>
    </row>
    <row r="936" spans="8:29" ht="12.75" x14ac:dyDescent="0.2">
      <c r="H936" s="26"/>
      <c r="I936" s="26"/>
      <c r="J936" s="26"/>
      <c r="Z936" s="96"/>
      <c r="AA936" s="26"/>
      <c r="AB936" s="96"/>
      <c r="AC936" s="26"/>
    </row>
    <row r="937" spans="8:29" ht="12.75" x14ac:dyDescent="0.2">
      <c r="H937" s="26"/>
      <c r="I937" s="26"/>
      <c r="J937" s="26"/>
      <c r="Z937" s="96"/>
      <c r="AA937" s="26"/>
      <c r="AB937" s="96"/>
      <c r="AC937" s="26"/>
    </row>
    <row r="938" spans="8:29" ht="12.75" x14ac:dyDescent="0.2">
      <c r="H938" s="26"/>
      <c r="I938" s="26"/>
      <c r="J938" s="26"/>
      <c r="Z938" s="96"/>
      <c r="AA938" s="26"/>
      <c r="AB938" s="96"/>
      <c r="AC938" s="26"/>
    </row>
    <row r="939" spans="8:29" ht="12.75" x14ac:dyDescent="0.2">
      <c r="H939" s="26"/>
      <c r="I939" s="26"/>
      <c r="J939" s="26"/>
      <c r="Z939" s="96"/>
      <c r="AA939" s="26"/>
      <c r="AB939" s="96"/>
      <c r="AC939" s="26"/>
    </row>
    <row r="940" spans="8:29" ht="12.75" x14ac:dyDescent="0.2">
      <c r="H940" s="26"/>
      <c r="I940" s="26"/>
      <c r="J940" s="26"/>
      <c r="Z940" s="96"/>
      <c r="AA940" s="26"/>
      <c r="AB940" s="96"/>
      <c r="AC940" s="26"/>
    </row>
    <row r="941" spans="8:29" ht="12.75" x14ac:dyDescent="0.2">
      <c r="H941" s="26"/>
      <c r="I941" s="26"/>
      <c r="J941" s="26"/>
      <c r="Z941" s="96"/>
      <c r="AA941" s="26"/>
      <c r="AB941" s="96"/>
      <c r="AC941" s="26"/>
    </row>
    <row r="942" spans="8:29" ht="12.75" x14ac:dyDescent="0.2">
      <c r="H942" s="26"/>
      <c r="I942" s="26"/>
      <c r="J942" s="26"/>
      <c r="Z942" s="96"/>
      <c r="AA942" s="26"/>
      <c r="AB942" s="96"/>
      <c r="AC942" s="26"/>
    </row>
    <row r="943" spans="8:29" ht="12.75" x14ac:dyDescent="0.2">
      <c r="H943" s="26"/>
      <c r="I943" s="26"/>
      <c r="J943" s="26"/>
      <c r="Z943" s="96"/>
      <c r="AA943" s="26"/>
      <c r="AB943" s="96"/>
      <c r="AC943" s="26"/>
    </row>
    <row r="944" spans="8:29" ht="12.75" x14ac:dyDescent="0.2">
      <c r="H944" s="26"/>
      <c r="I944" s="26"/>
      <c r="J944" s="26"/>
      <c r="Z944" s="96"/>
      <c r="AA944" s="26"/>
      <c r="AB944" s="96"/>
      <c r="AC944" s="26"/>
    </row>
    <row r="945" spans="8:29" ht="12.75" x14ac:dyDescent="0.2">
      <c r="H945" s="26"/>
      <c r="I945" s="26"/>
      <c r="J945" s="26"/>
      <c r="Z945" s="96"/>
      <c r="AA945" s="26"/>
      <c r="AB945" s="96"/>
      <c r="AC945" s="26"/>
    </row>
    <row r="946" spans="8:29" ht="12.75" x14ac:dyDescent="0.2">
      <c r="H946" s="26"/>
      <c r="I946" s="26"/>
      <c r="J946" s="26"/>
      <c r="Z946" s="96"/>
      <c r="AA946" s="26"/>
      <c r="AB946" s="96"/>
      <c r="AC946" s="26"/>
    </row>
    <row r="947" spans="8:29" ht="12.75" x14ac:dyDescent="0.2">
      <c r="H947" s="26"/>
      <c r="I947" s="26"/>
      <c r="J947" s="26"/>
      <c r="Z947" s="96"/>
      <c r="AA947" s="26"/>
      <c r="AB947" s="96"/>
      <c r="AC947" s="26"/>
    </row>
    <row r="948" spans="8:29" ht="12.75" x14ac:dyDescent="0.2">
      <c r="H948" s="26"/>
      <c r="I948" s="26"/>
      <c r="J948" s="26"/>
      <c r="Z948" s="96"/>
      <c r="AA948" s="26"/>
      <c r="AB948" s="96"/>
      <c r="AC948" s="26"/>
    </row>
    <row r="949" spans="8:29" ht="12.75" x14ac:dyDescent="0.2">
      <c r="H949" s="26"/>
      <c r="I949" s="26"/>
      <c r="J949" s="26"/>
      <c r="Z949" s="96"/>
      <c r="AA949" s="26"/>
      <c r="AB949" s="96"/>
      <c r="AC949" s="26"/>
    </row>
    <row r="950" spans="8:29" ht="12.75" x14ac:dyDescent="0.2">
      <c r="H950" s="26"/>
      <c r="I950" s="26"/>
      <c r="J950" s="26"/>
      <c r="Z950" s="96"/>
      <c r="AA950" s="26"/>
      <c r="AB950" s="96"/>
      <c r="AC950" s="26"/>
    </row>
    <row r="951" spans="8:29" ht="12.75" x14ac:dyDescent="0.2">
      <c r="H951" s="26"/>
      <c r="I951" s="26"/>
      <c r="J951" s="26"/>
      <c r="Z951" s="96"/>
      <c r="AA951" s="26"/>
      <c r="AB951" s="96"/>
      <c r="AC951" s="26"/>
    </row>
    <row r="952" spans="8:29" ht="12.75" x14ac:dyDescent="0.2">
      <c r="H952" s="26"/>
      <c r="I952" s="26"/>
      <c r="J952" s="26"/>
      <c r="Z952" s="96"/>
      <c r="AA952" s="26"/>
      <c r="AB952" s="96"/>
      <c r="AC952" s="26"/>
    </row>
    <row r="953" spans="8:29" ht="12.75" x14ac:dyDescent="0.2">
      <c r="H953" s="26"/>
      <c r="I953" s="26"/>
      <c r="J953" s="26"/>
      <c r="Z953" s="96"/>
      <c r="AA953" s="26"/>
      <c r="AB953" s="96"/>
      <c r="AC953" s="26"/>
    </row>
    <row r="954" spans="8:29" ht="12.75" x14ac:dyDescent="0.2">
      <c r="H954" s="26"/>
      <c r="I954" s="26"/>
      <c r="J954" s="26"/>
      <c r="Z954" s="96"/>
      <c r="AA954" s="26"/>
      <c r="AB954" s="96"/>
      <c r="AC954" s="26"/>
    </row>
    <row r="955" spans="8:29" ht="12.75" x14ac:dyDescent="0.2">
      <c r="H955" s="26"/>
      <c r="I955" s="26"/>
      <c r="J955" s="26"/>
      <c r="Z955" s="96"/>
      <c r="AA955" s="26"/>
      <c r="AB955" s="96"/>
      <c r="AC955" s="26"/>
    </row>
    <row r="956" spans="8:29" ht="12.75" x14ac:dyDescent="0.2">
      <c r="H956" s="26"/>
      <c r="I956" s="26"/>
      <c r="J956" s="26"/>
      <c r="Z956" s="96"/>
      <c r="AA956" s="26"/>
      <c r="AB956" s="96"/>
      <c r="AC956" s="26"/>
    </row>
    <row r="957" spans="8:29" ht="12.75" x14ac:dyDescent="0.2">
      <c r="H957" s="26"/>
      <c r="I957" s="26"/>
      <c r="J957" s="26"/>
      <c r="Z957" s="96"/>
      <c r="AA957" s="26"/>
      <c r="AB957" s="96"/>
      <c r="AC957" s="26"/>
    </row>
    <row r="958" spans="8:29" ht="12.75" x14ac:dyDescent="0.2">
      <c r="H958" s="26"/>
      <c r="I958" s="26"/>
      <c r="J958" s="26"/>
      <c r="Z958" s="96"/>
      <c r="AA958" s="26"/>
      <c r="AB958" s="96"/>
      <c r="AC958" s="26"/>
    </row>
    <row r="959" spans="8:29" ht="12.75" x14ac:dyDescent="0.2">
      <c r="H959" s="26"/>
      <c r="I959" s="26"/>
      <c r="J959" s="26"/>
      <c r="Z959" s="96"/>
      <c r="AA959" s="26"/>
      <c r="AB959" s="96"/>
      <c r="AC959" s="26"/>
    </row>
    <row r="960" spans="8:29" ht="12.75" x14ac:dyDescent="0.2">
      <c r="H960" s="26"/>
      <c r="I960" s="26"/>
      <c r="J960" s="26"/>
      <c r="Z960" s="96"/>
      <c r="AA960" s="26"/>
      <c r="AB960" s="96"/>
      <c r="AC960" s="26"/>
    </row>
    <row r="961" spans="8:29" ht="12.75" x14ac:dyDescent="0.2">
      <c r="H961" s="26"/>
      <c r="I961" s="26"/>
      <c r="J961" s="26"/>
      <c r="Z961" s="96"/>
      <c r="AA961" s="26"/>
      <c r="AB961" s="96"/>
      <c r="AC961" s="26"/>
    </row>
    <row r="962" spans="8:29" ht="12.75" x14ac:dyDescent="0.2">
      <c r="H962" s="26"/>
      <c r="I962" s="26"/>
      <c r="J962" s="26"/>
      <c r="Z962" s="96"/>
      <c r="AA962" s="26"/>
      <c r="AB962" s="96"/>
      <c r="AC962" s="26"/>
    </row>
    <row r="963" spans="8:29" ht="12.75" x14ac:dyDescent="0.2">
      <c r="H963" s="26"/>
      <c r="I963" s="26"/>
      <c r="J963" s="26"/>
      <c r="Z963" s="96"/>
      <c r="AA963" s="26"/>
      <c r="AB963" s="96"/>
      <c r="AC963" s="26"/>
    </row>
    <row r="964" spans="8:29" ht="12.75" x14ac:dyDescent="0.2">
      <c r="H964" s="26"/>
      <c r="I964" s="26"/>
      <c r="J964" s="26"/>
      <c r="Z964" s="96"/>
      <c r="AA964" s="26"/>
      <c r="AB964" s="96"/>
      <c r="AC964" s="26"/>
    </row>
    <row r="965" spans="8:29" ht="12.75" x14ac:dyDescent="0.2">
      <c r="H965" s="26"/>
      <c r="I965" s="26"/>
      <c r="J965" s="26"/>
      <c r="Z965" s="96"/>
      <c r="AA965" s="26"/>
      <c r="AB965" s="96"/>
      <c r="AC965" s="26"/>
    </row>
    <row r="966" spans="8:29" ht="12.75" x14ac:dyDescent="0.2">
      <c r="H966" s="26"/>
      <c r="I966" s="26"/>
      <c r="J966" s="26"/>
      <c r="Z966" s="96"/>
      <c r="AA966" s="26"/>
      <c r="AB966" s="96"/>
      <c r="AC966" s="26"/>
    </row>
    <row r="967" spans="8:29" ht="12.75" x14ac:dyDescent="0.2">
      <c r="H967" s="26"/>
      <c r="I967" s="26"/>
      <c r="J967" s="26"/>
      <c r="Z967" s="96"/>
      <c r="AA967" s="26"/>
      <c r="AB967" s="96"/>
      <c r="AC967" s="26"/>
    </row>
    <row r="968" spans="8:29" ht="12.75" x14ac:dyDescent="0.2">
      <c r="H968" s="26"/>
      <c r="I968" s="26"/>
      <c r="J968" s="26"/>
      <c r="Z968" s="96"/>
      <c r="AA968" s="26"/>
      <c r="AB968" s="96"/>
      <c r="AC968" s="26"/>
    </row>
    <row r="969" spans="8:29" ht="12.75" x14ac:dyDescent="0.2">
      <c r="H969" s="26"/>
      <c r="I969" s="26"/>
      <c r="J969" s="26"/>
      <c r="Z969" s="96"/>
      <c r="AA969" s="26"/>
      <c r="AB969" s="96"/>
      <c r="AC969" s="26"/>
    </row>
    <row r="970" spans="8:29" ht="12.75" x14ac:dyDescent="0.2">
      <c r="H970" s="26"/>
      <c r="I970" s="26"/>
      <c r="J970" s="26"/>
      <c r="Z970" s="96"/>
      <c r="AA970" s="26"/>
      <c r="AB970" s="96"/>
      <c r="AC970" s="26"/>
    </row>
    <row r="971" spans="8:29" ht="12.75" x14ac:dyDescent="0.2">
      <c r="H971" s="26"/>
      <c r="I971" s="26"/>
      <c r="J971" s="26"/>
      <c r="Z971" s="96"/>
      <c r="AA971" s="26"/>
      <c r="AB971" s="96"/>
      <c r="AC971" s="26"/>
    </row>
    <row r="972" spans="8:29" ht="12.75" x14ac:dyDescent="0.2">
      <c r="H972" s="26"/>
      <c r="I972" s="26"/>
      <c r="J972" s="26"/>
      <c r="Z972" s="96"/>
      <c r="AA972" s="26"/>
      <c r="AB972" s="96"/>
      <c r="AC972" s="26"/>
    </row>
    <row r="973" spans="8:29" ht="12.75" x14ac:dyDescent="0.2">
      <c r="H973" s="26"/>
      <c r="I973" s="26"/>
      <c r="J973" s="26"/>
      <c r="Z973" s="96"/>
      <c r="AA973" s="26"/>
      <c r="AB973" s="96"/>
      <c r="AC973" s="26"/>
    </row>
    <row r="974" spans="8:29" ht="12.75" x14ac:dyDescent="0.2">
      <c r="H974" s="26"/>
      <c r="I974" s="26"/>
      <c r="J974" s="26"/>
      <c r="Z974" s="96"/>
      <c r="AA974" s="26"/>
      <c r="AB974" s="96"/>
      <c r="AC974" s="26"/>
    </row>
    <row r="975" spans="8:29" ht="12.75" x14ac:dyDescent="0.2">
      <c r="H975" s="26"/>
      <c r="I975" s="26"/>
      <c r="J975" s="26"/>
      <c r="Z975" s="96"/>
      <c r="AA975" s="26"/>
      <c r="AB975" s="96"/>
      <c r="AC975" s="26"/>
    </row>
    <row r="976" spans="8:29" ht="12.75" x14ac:dyDescent="0.2">
      <c r="H976" s="26"/>
      <c r="I976" s="26"/>
      <c r="J976" s="26"/>
      <c r="Z976" s="96"/>
      <c r="AA976" s="26"/>
      <c r="AB976" s="96"/>
      <c r="AC976" s="26"/>
    </row>
    <row r="977" spans="8:29" ht="12.75" x14ac:dyDescent="0.2">
      <c r="H977" s="26"/>
      <c r="I977" s="26"/>
      <c r="J977" s="26"/>
      <c r="Z977" s="96"/>
      <c r="AA977" s="26"/>
      <c r="AB977" s="96"/>
      <c r="AC977" s="26"/>
    </row>
    <row r="978" spans="8:29" ht="12.75" x14ac:dyDescent="0.2">
      <c r="H978" s="26"/>
      <c r="I978" s="26"/>
      <c r="J978" s="26"/>
      <c r="Z978" s="96"/>
      <c r="AA978" s="26"/>
      <c r="AB978" s="96"/>
      <c r="AC978" s="26"/>
    </row>
    <row r="979" spans="8:29" ht="12.75" x14ac:dyDescent="0.2">
      <c r="H979" s="26"/>
      <c r="I979" s="26"/>
      <c r="J979" s="26"/>
      <c r="Z979" s="96"/>
      <c r="AA979" s="26"/>
      <c r="AB979" s="96"/>
      <c r="AC979" s="26"/>
    </row>
    <row r="980" spans="8:29" ht="12.75" x14ac:dyDescent="0.2">
      <c r="H980" s="26"/>
      <c r="I980" s="26"/>
      <c r="J980" s="26"/>
      <c r="Z980" s="96"/>
      <c r="AA980" s="26"/>
      <c r="AB980" s="96"/>
      <c r="AC980" s="26"/>
    </row>
    <row r="981" spans="8:29" ht="12.75" x14ac:dyDescent="0.2">
      <c r="H981" s="26"/>
      <c r="I981" s="26"/>
      <c r="J981" s="26"/>
      <c r="Z981" s="96"/>
      <c r="AA981" s="26"/>
      <c r="AB981" s="96"/>
      <c r="AC981" s="26"/>
    </row>
    <row r="982" spans="8:29" ht="12.75" x14ac:dyDescent="0.2">
      <c r="H982" s="26"/>
      <c r="I982" s="26"/>
      <c r="J982" s="26"/>
      <c r="Z982" s="96"/>
      <c r="AA982" s="26"/>
      <c r="AB982" s="96"/>
      <c r="AC982" s="26"/>
    </row>
    <row r="983" spans="8:29" ht="12.75" x14ac:dyDescent="0.2">
      <c r="H983" s="26"/>
      <c r="I983" s="26"/>
      <c r="J983" s="26"/>
      <c r="Z983" s="96"/>
      <c r="AA983" s="26"/>
      <c r="AB983" s="96"/>
      <c r="AC983" s="26"/>
    </row>
    <row r="984" spans="8:29" ht="12.75" x14ac:dyDescent="0.2">
      <c r="H984" s="26"/>
      <c r="I984" s="26"/>
      <c r="J984" s="26"/>
      <c r="Z984" s="96"/>
      <c r="AA984" s="26"/>
      <c r="AB984" s="96"/>
      <c r="AC984" s="26"/>
    </row>
    <row r="985" spans="8:29" ht="12.75" x14ac:dyDescent="0.2">
      <c r="H985" s="26"/>
      <c r="I985" s="26"/>
      <c r="J985" s="26"/>
      <c r="Z985" s="96"/>
      <c r="AA985" s="26"/>
      <c r="AB985" s="96"/>
      <c r="AC985" s="26"/>
    </row>
    <row r="986" spans="8:29" ht="12.75" x14ac:dyDescent="0.2">
      <c r="H986" s="26"/>
      <c r="I986" s="26"/>
      <c r="J986" s="26"/>
      <c r="Z986" s="96"/>
      <c r="AA986" s="26"/>
      <c r="AB986" s="96"/>
      <c r="AC986" s="26"/>
    </row>
    <row r="987" spans="8:29" ht="12.75" x14ac:dyDescent="0.2">
      <c r="H987" s="26"/>
      <c r="I987" s="26"/>
      <c r="J987" s="26"/>
      <c r="Z987" s="96"/>
      <c r="AA987" s="26"/>
      <c r="AB987" s="96"/>
      <c r="AC987" s="26"/>
    </row>
    <row r="988" spans="8:29" ht="12.75" x14ac:dyDescent="0.2">
      <c r="H988" s="26"/>
      <c r="I988" s="26"/>
      <c r="J988" s="26"/>
      <c r="Z988" s="96"/>
      <c r="AA988" s="26"/>
      <c r="AB988" s="96"/>
      <c r="AC988" s="26"/>
    </row>
    <row r="989" spans="8:29" ht="12.75" x14ac:dyDescent="0.2">
      <c r="H989" s="26"/>
      <c r="I989" s="26"/>
      <c r="J989" s="26"/>
      <c r="Z989" s="96"/>
      <c r="AA989" s="26"/>
      <c r="AB989" s="96"/>
      <c r="AC989" s="26"/>
    </row>
    <row r="990" spans="8:29" ht="12.75" x14ac:dyDescent="0.2">
      <c r="H990" s="26"/>
      <c r="I990" s="26"/>
      <c r="J990" s="26"/>
      <c r="Z990" s="96"/>
      <c r="AA990" s="26"/>
      <c r="AB990" s="96"/>
      <c r="AC990" s="26"/>
    </row>
    <row r="991" spans="8:29" ht="12.75" x14ac:dyDescent="0.2">
      <c r="H991" s="26"/>
      <c r="I991" s="26"/>
      <c r="J991" s="26"/>
      <c r="Z991" s="96"/>
      <c r="AA991" s="26"/>
      <c r="AB991" s="96"/>
      <c r="AC991" s="26"/>
    </row>
    <row r="992" spans="8:29" ht="12.75" x14ac:dyDescent="0.2">
      <c r="H992" s="26"/>
      <c r="I992" s="26"/>
      <c r="J992" s="26"/>
      <c r="Z992" s="96"/>
      <c r="AA992" s="26"/>
      <c r="AB992" s="96"/>
      <c r="AC992" s="26"/>
    </row>
    <row r="993" spans="8:29" ht="12.75" x14ac:dyDescent="0.2">
      <c r="H993" s="26"/>
      <c r="I993" s="26"/>
      <c r="J993" s="26"/>
      <c r="Z993" s="96"/>
      <c r="AA993" s="26"/>
      <c r="AB993" s="96"/>
      <c r="AC993" s="26"/>
    </row>
    <row r="994" spans="8:29" ht="12.75" x14ac:dyDescent="0.2">
      <c r="H994" s="26"/>
      <c r="I994" s="26"/>
      <c r="J994" s="26"/>
      <c r="Z994" s="96"/>
      <c r="AA994" s="26"/>
      <c r="AB994" s="96"/>
      <c r="AC994" s="26"/>
    </row>
    <row r="995" spans="8:29" ht="12.75" x14ac:dyDescent="0.2">
      <c r="H995" s="26"/>
      <c r="I995" s="26"/>
      <c r="J995" s="26"/>
      <c r="Z995" s="96"/>
      <c r="AA995" s="26"/>
      <c r="AB995" s="96"/>
      <c r="AC995" s="26"/>
    </row>
    <row r="996" spans="8:29" ht="12.75" x14ac:dyDescent="0.2">
      <c r="H996" s="26"/>
      <c r="I996" s="26"/>
      <c r="J996" s="26"/>
      <c r="Z996" s="96"/>
      <c r="AA996" s="26"/>
      <c r="AB996" s="96"/>
      <c r="AC996" s="26"/>
    </row>
    <row r="997" spans="8:29" ht="12.75" x14ac:dyDescent="0.2">
      <c r="H997" s="26"/>
      <c r="I997" s="26"/>
      <c r="J997" s="26"/>
      <c r="Z997" s="96"/>
      <c r="AA997" s="26"/>
      <c r="AB997" s="96"/>
      <c r="AC997" s="26"/>
    </row>
    <row r="998" spans="8:29" ht="12.75" x14ac:dyDescent="0.2">
      <c r="H998" s="26"/>
      <c r="I998" s="26"/>
      <c r="J998" s="26"/>
      <c r="Z998" s="96"/>
      <c r="AA998" s="26"/>
      <c r="AB998" s="96"/>
      <c r="AC998" s="26"/>
    </row>
    <row r="999" spans="8:29" ht="12.75" x14ac:dyDescent="0.2">
      <c r="H999" s="26"/>
      <c r="I999" s="26"/>
      <c r="J999" s="26"/>
      <c r="Z999" s="96"/>
      <c r="AA999" s="26"/>
      <c r="AB999" s="96"/>
      <c r="AC999" s="26"/>
    </row>
    <row r="1000" spans="8:29" ht="12.75" x14ac:dyDescent="0.2">
      <c r="H1000" s="26"/>
      <c r="I1000" s="26"/>
      <c r="J1000" s="26"/>
      <c r="Z1000" s="96"/>
      <c r="AA1000" s="26"/>
      <c r="AB1000" s="96"/>
      <c r="AC1000" s="26"/>
    </row>
    <row r="1001" spans="8:29" ht="12.75" x14ac:dyDescent="0.2">
      <c r="H1001" s="26"/>
      <c r="I1001" s="26"/>
      <c r="J1001" s="26"/>
      <c r="Z1001" s="96"/>
      <c r="AA1001" s="26"/>
      <c r="AB1001" s="96"/>
      <c r="AC1001" s="26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X991"/>
  <sheetViews>
    <sheetView workbookViewId="0"/>
  </sheetViews>
  <sheetFormatPr baseColWidth="10" defaultColWidth="12.5703125" defaultRowHeight="15.75" customHeight="1" x14ac:dyDescent="0.2"/>
  <sheetData>
    <row r="1" spans="1:24" ht="15.75" customHeight="1" x14ac:dyDescent="0.25">
      <c r="A1" s="40"/>
      <c r="B1" s="40"/>
      <c r="C1" s="40"/>
      <c r="D1" s="40"/>
      <c r="E1" s="40"/>
      <c r="F1" s="40"/>
      <c r="G1" s="41"/>
      <c r="H1" s="40"/>
      <c r="I1" s="41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spans="1:24" ht="15.75" customHeight="1" x14ac:dyDescent="0.35">
      <c r="A2" s="42" t="s">
        <v>192</v>
      </c>
      <c r="B2" s="43" t="s">
        <v>193</v>
      </c>
      <c r="C2" s="43"/>
      <c r="D2" s="43"/>
      <c r="E2" s="43"/>
      <c r="F2" s="43"/>
      <c r="G2" s="41"/>
      <c r="H2" s="40"/>
      <c r="I2" s="41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</row>
    <row r="3" spans="1:24" ht="15.75" customHeight="1" x14ac:dyDescent="0.25">
      <c r="A3" s="44"/>
      <c r="B3" s="40"/>
      <c r="C3" s="40"/>
      <c r="D3" s="40"/>
      <c r="E3" s="40"/>
      <c r="F3" s="40"/>
      <c r="G3" s="41"/>
      <c r="H3" s="40"/>
      <c r="I3" s="41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</row>
    <row r="4" spans="1:24" ht="15.75" customHeight="1" x14ac:dyDescent="0.25">
      <c r="A4" s="45"/>
      <c r="B4" s="45"/>
      <c r="C4" s="45"/>
      <c r="D4" s="45"/>
      <c r="E4" s="45"/>
      <c r="F4" s="45"/>
      <c r="G4" s="46"/>
      <c r="H4" s="45"/>
      <c r="I4" s="46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</row>
    <row r="5" spans="1:24" ht="15.75" customHeight="1" x14ac:dyDescent="0.25">
      <c r="A5" s="40"/>
      <c r="B5" s="40"/>
      <c r="C5" s="40"/>
      <c r="D5" s="40"/>
      <c r="E5" s="40"/>
      <c r="F5" s="40"/>
      <c r="G5" s="41"/>
      <c r="H5" s="40"/>
      <c r="I5" s="41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</row>
    <row r="6" spans="1:24" ht="15.75" customHeight="1" x14ac:dyDescent="0.25">
      <c r="A6" s="47"/>
      <c r="B6" s="47"/>
      <c r="C6" s="47"/>
      <c r="D6" s="47"/>
      <c r="E6" s="47"/>
      <c r="F6" s="47"/>
      <c r="G6" s="48"/>
      <c r="H6" s="47"/>
      <c r="I6" s="48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</row>
    <row r="7" spans="1:24" ht="15.75" customHeight="1" x14ac:dyDescent="0.25">
      <c r="A7" s="49">
        <v>10703</v>
      </c>
      <c r="B7" s="97" t="s">
        <v>82</v>
      </c>
      <c r="C7" s="98"/>
      <c r="D7" s="98"/>
      <c r="E7" s="98"/>
      <c r="F7" s="51"/>
      <c r="G7" s="49" t="s">
        <v>194</v>
      </c>
      <c r="H7" s="49">
        <v>60</v>
      </c>
      <c r="I7" s="49" t="s">
        <v>195</v>
      </c>
      <c r="J7" s="49">
        <v>5</v>
      </c>
      <c r="K7" s="52"/>
      <c r="L7" s="52"/>
      <c r="M7" s="47"/>
      <c r="N7" s="47"/>
      <c r="O7" s="47"/>
      <c r="P7" s="47"/>
      <c r="Q7" s="47"/>
      <c r="R7" s="49">
        <v>0</v>
      </c>
      <c r="S7" s="52"/>
      <c r="T7" s="52"/>
      <c r="U7" s="47"/>
      <c r="V7" s="47"/>
      <c r="W7" s="47"/>
      <c r="X7" s="47"/>
    </row>
    <row r="8" spans="1:24" ht="15.75" customHeight="1" x14ac:dyDescent="0.25">
      <c r="A8" s="49">
        <v>47000</v>
      </c>
      <c r="B8" s="97" t="s">
        <v>85</v>
      </c>
      <c r="C8" s="98"/>
      <c r="D8" s="98"/>
      <c r="E8" s="98"/>
      <c r="F8" s="51"/>
      <c r="G8" s="49" t="s">
        <v>194</v>
      </c>
      <c r="H8" s="49">
        <v>197</v>
      </c>
      <c r="I8" s="49" t="s">
        <v>195</v>
      </c>
      <c r="J8" s="49">
        <v>12.31</v>
      </c>
      <c r="K8" s="52"/>
      <c r="L8" s="52"/>
      <c r="M8" s="47"/>
      <c r="N8" s="47"/>
      <c r="O8" s="47"/>
      <c r="P8" s="47"/>
      <c r="Q8" s="47"/>
      <c r="R8" s="49">
        <v>0</v>
      </c>
      <c r="S8" s="52"/>
      <c r="T8" s="52"/>
      <c r="U8" s="47"/>
      <c r="V8" s="47"/>
      <c r="W8" s="47"/>
      <c r="X8" s="47"/>
    </row>
    <row r="9" spans="1:24" ht="15.75" customHeight="1" x14ac:dyDescent="0.25">
      <c r="A9" s="49">
        <v>47001</v>
      </c>
      <c r="B9" s="97" t="s">
        <v>65</v>
      </c>
      <c r="C9" s="98"/>
      <c r="D9" s="98"/>
      <c r="E9" s="98"/>
      <c r="F9" s="51"/>
      <c r="G9" s="49" t="s">
        <v>194</v>
      </c>
      <c r="H9" s="49">
        <v>6</v>
      </c>
      <c r="I9" s="49" t="s">
        <v>195</v>
      </c>
      <c r="J9" s="49">
        <v>0.37</v>
      </c>
      <c r="K9" s="52"/>
      <c r="L9" s="52"/>
      <c r="M9" s="47"/>
      <c r="N9" s="47"/>
      <c r="O9" s="47"/>
      <c r="P9" s="47"/>
      <c r="Q9" s="47"/>
      <c r="R9" s="49">
        <v>0</v>
      </c>
      <c r="S9" s="52"/>
      <c r="T9" s="52"/>
      <c r="U9" s="47"/>
      <c r="V9" s="47"/>
      <c r="W9" s="47"/>
      <c r="X9" s="47"/>
    </row>
    <row r="10" spans="1:24" ht="15.75" customHeight="1" x14ac:dyDescent="0.25">
      <c r="A10" s="49">
        <v>47002</v>
      </c>
      <c r="B10" s="97" t="s">
        <v>89</v>
      </c>
      <c r="C10" s="98"/>
      <c r="D10" s="98"/>
      <c r="E10" s="98"/>
      <c r="F10" s="98"/>
      <c r="G10" s="49" t="s">
        <v>194</v>
      </c>
      <c r="H10" s="49">
        <v>165</v>
      </c>
      <c r="I10" s="49" t="s">
        <v>195</v>
      </c>
      <c r="J10" s="49">
        <v>6.87</v>
      </c>
      <c r="K10" s="52"/>
      <c r="L10" s="52"/>
      <c r="M10" s="47"/>
      <c r="N10" s="47"/>
      <c r="O10" s="47"/>
      <c r="P10" s="47"/>
      <c r="Q10" s="47"/>
      <c r="R10" s="49">
        <v>0</v>
      </c>
      <c r="S10" s="52"/>
      <c r="T10" s="52"/>
      <c r="U10" s="47"/>
      <c r="V10" s="47"/>
      <c r="W10" s="47"/>
      <c r="X10" s="47"/>
    </row>
    <row r="11" spans="1:24" ht="15.75" customHeight="1" x14ac:dyDescent="0.25">
      <c r="A11" s="49">
        <v>47003</v>
      </c>
      <c r="B11" s="97" t="s">
        <v>91</v>
      </c>
      <c r="C11" s="98"/>
      <c r="D11" s="98"/>
      <c r="E11" s="98"/>
      <c r="F11" s="51"/>
      <c r="G11" s="49" t="s">
        <v>194</v>
      </c>
      <c r="H11" s="49">
        <v>207</v>
      </c>
      <c r="I11" s="49" t="s">
        <v>195</v>
      </c>
      <c r="J11" s="49">
        <v>8.6199999999999992</v>
      </c>
      <c r="K11" s="52"/>
      <c r="L11" s="52"/>
      <c r="M11" s="47"/>
      <c r="N11" s="47"/>
      <c r="O11" s="47"/>
      <c r="P11" s="47"/>
      <c r="Q11" s="47"/>
      <c r="R11" s="49">
        <v>0</v>
      </c>
      <c r="S11" s="52"/>
      <c r="T11" s="52"/>
      <c r="U11" s="47"/>
      <c r="V11" s="47"/>
      <c r="W11" s="47"/>
      <c r="X11" s="47"/>
    </row>
    <row r="12" spans="1:24" ht="15.75" customHeight="1" x14ac:dyDescent="0.25">
      <c r="A12" s="49">
        <v>47004</v>
      </c>
      <c r="B12" s="97" t="s">
        <v>86</v>
      </c>
      <c r="C12" s="98"/>
      <c r="D12" s="98"/>
      <c r="E12" s="98"/>
      <c r="F12" s="98"/>
      <c r="G12" s="49" t="s">
        <v>194</v>
      </c>
      <c r="H12" s="49">
        <v>276</v>
      </c>
      <c r="I12" s="49" t="s">
        <v>195</v>
      </c>
      <c r="J12" s="49">
        <v>11.5</v>
      </c>
      <c r="K12" s="52"/>
      <c r="L12" s="52"/>
      <c r="M12" s="47"/>
      <c r="N12" s="47"/>
      <c r="O12" s="47"/>
      <c r="P12" s="47"/>
      <c r="Q12" s="47"/>
      <c r="R12" s="49">
        <v>0</v>
      </c>
      <c r="S12" s="52"/>
      <c r="T12" s="52"/>
      <c r="U12" s="47"/>
      <c r="V12" s="47"/>
      <c r="W12" s="47"/>
      <c r="X12" s="47"/>
    </row>
    <row r="13" spans="1:24" ht="15.75" customHeight="1" x14ac:dyDescent="0.25">
      <c r="A13" s="49">
        <v>47005</v>
      </c>
      <c r="B13" s="97" t="s">
        <v>68</v>
      </c>
      <c r="C13" s="98"/>
      <c r="D13" s="98"/>
      <c r="E13" s="98"/>
      <c r="F13" s="51"/>
      <c r="G13" s="49" t="s">
        <v>194</v>
      </c>
      <c r="H13" s="49">
        <v>0</v>
      </c>
      <c r="I13" s="49" t="s">
        <v>195</v>
      </c>
      <c r="J13" s="49">
        <v>0</v>
      </c>
      <c r="K13" s="52"/>
      <c r="L13" s="52"/>
      <c r="M13" s="47"/>
      <c r="N13" s="47"/>
      <c r="O13" s="47"/>
      <c r="P13" s="47"/>
      <c r="Q13" s="47"/>
      <c r="R13" s="49">
        <v>0</v>
      </c>
      <c r="S13" s="52"/>
      <c r="T13" s="52"/>
      <c r="U13" s="47"/>
      <c r="V13" s="47"/>
      <c r="W13" s="47"/>
      <c r="X13" s="47"/>
    </row>
    <row r="14" spans="1:24" ht="15.75" customHeight="1" x14ac:dyDescent="0.25">
      <c r="A14" s="49">
        <v>47006</v>
      </c>
      <c r="B14" s="97" t="s">
        <v>72</v>
      </c>
      <c r="C14" s="98"/>
      <c r="D14" s="98"/>
      <c r="E14" s="98"/>
      <c r="F14" s="51"/>
      <c r="G14" s="49" t="s">
        <v>194</v>
      </c>
      <c r="H14" s="49">
        <v>0</v>
      </c>
      <c r="I14" s="49" t="s">
        <v>195</v>
      </c>
      <c r="J14" s="49">
        <v>0</v>
      </c>
      <c r="K14" s="52"/>
      <c r="L14" s="52"/>
      <c r="M14" s="47"/>
      <c r="N14" s="47"/>
      <c r="O14" s="47"/>
      <c r="P14" s="47"/>
      <c r="Q14" s="47"/>
      <c r="R14" s="49">
        <v>0</v>
      </c>
      <c r="S14" s="52"/>
      <c r="T14" s="52"/>
      <c r="U14" s="47"/>
      <c r="V14" s="47"/>
      <c r="W14" s="47"/>
      <c r="X14" s="47"/>
    </row>
    <row r="15" spans="1:24" ht="15.75" customHeight="1" x14ac:dyDescent="0.25">
      <c r="A15" s="49">
        <v>47008</v>
      </c>
      <c r="B15" s="97" t="s">
        <v>93</v>
      </c>
      <c r="C15" s="98"/>
      <c r="D15" s="98"/>
      <c r="E15" s="98"/>
      <c r="F15" s="51"/>
      <c r="G15" s="49" t="s">
        <v>194</v>
      </c>
      <c r="H15" s="49">
        <v>425</v>
      </c>
      <c r="I15" s="49" t="s">
        <v>195</v>
      </c>
      <c r="J15" s="49">
        <v>17.7</v>
      </c>
      <c r="K15" s="52"/>
      <c r="L15" s="52"/>
      <c r="M15" s="47"/>
      <c r="N15" s="47"/>
      <c r="O15" s="47"/>
      <c r="P15" s="47"/>
      <c r="Q15" s="47"/>
      <c r="R15" s="49">
        <v>0</v>
      </c>
      <c r="S15" s="52"/>
      <c r="T15" s="52"/>
      <c r="U15" s="47"/>
      <c r="V15" s="47"/>
      <c r="W15" s="47"/>
      <c r="X15" s="47"/>
    </row>
    <row r="16" spans="1:24" ht="15.75" customHeight="1" x14ac:dyDescent="0.25">
      <c r="A16" s="49">
        <v>47009</v>
      </c>
      <c r="B16" s="97" t="s">
        <v>130</v>
      </c>
      <c r="C16" s="98"/>
      <c r="D16" s="98"/>
      <c r="E16" s="98"/>
      <c r="F16" s="51"/>
      <c r="G16" s="49" t="s">
        <v>194</v>
      </c>
      <c r="H16" s="49">
        <v>0</v>
      </c>
      <c r="I16" s="49" t="s">
        <v>195</v>
      </c>
      <c r="J16" s="49">
        <v>0</v>
      </c>
      <c r="K16" s="52"/>
      <c r="L16" s="52"/>
      <c r="M16" s="47"/>
      <c r="N16" s="47"/>
      <c r="O16" s="47"/>
      <c r="P16" s="47"/>
      <c r="Q16" s="47"/>
      <c r="R16" s="49">
        <v>0</v>
      </c>
      <c r="S16" s="52"/>
      <c r="T16" s="52"/>
      <c r="U16" s="47"/>
      <c r="V16" s="47"/>
      <c r="W16" s="47"/>
      <c r="X16" s="47"/>
    </row>
    <row r="17" spans="1:24" ht="15.75" customHeight="1" x14ac:dyDescent="0.25">
      <c r="A17" s="49">
        <v>47010</v>
      </c>
      <c r="B17" s="97" t="s">
        <v>71</v>
      </c>
      <c r="C17" s="98"/>
      <c r="D17" s="98"/>
      <c r="E17" s="98"/>
      <c r="F17" s="51"/>
      <c r="G17" s="49" t="s">
        <v>194</v>
      </c>
      <c r="H17" s="49">
        <v>126</v>
      </c>
      <c r="I17" s="49" t="s">
        <v>195</v>
      </c>
      <c r="J17" s="49">
        <v>5.25</v>
      </c>
      <c r="K17" s="52"/>
      <c r="L17" s="52"/>
      <c r="M17" s="47"/>
      <c r="N17" s="47"/>
      <c r="O17" s="47"/>
      <c r="P17" s="47"/>
      <c r="Q17" s="47"/>
      <c r="R17" s="49">
        <v>0</v>
      </c>
      <c r="S17" s="52"/>
      <c r="T17" s="52"/>
      <c r="U17" s="47"/>
      <c r="V17" s="47"/>
      <c r="W17" s="47"/>
      <c r="X17" s="47"/>
    </row>
    <row r="18" spans="1:24" ht="15.75" customHeight="1" x14ac:dyDescent="0.25">
      <c r="A18" s="49">
        <v>47011</v>
      </c>
      <c r="B18" s="97" t="s">
        <v>158</v>
      </c>
      <c r="C18" s="98"/>
      <c r="D18" s="98"/>
      <c r="E18" s="98"/>
      <c r="F18" s="51"/>
      <c r="G18" s="49" t="s">
        <v>194</v>
      </c>
      <c r="H18" s="49">
        <v>0</v>
      </c>
      <c r="I18" s="49" t="s">
        <v>195</v>
      </c>
      <c r="J18" s="49">
        <v>0</v>
      </c>
      <c r="K18" s="52"/>
      <c r="L18" s="52"/>
      <c r="M18" s="47"/>
      <c r="N18" s="47"/>
      <c r="O18" s="47"/>
      <c r="P18" s="47"/>
      <c r="Q18" s="47"/>
      <c r="R18" s="49">
        <v>0</v>
      </c>
      <c r="S18" s="52"/>
      <c r="T18" s="52"/>
      <c r="U18" s="47"/>
      <c r="V18" s="47"/>
      <c r="W18" s="47"/>
      <c r="X18" s="47"/>
    </row>
    <row r="19" spans="1:24" ht="15.75" customHeight="1" x14ac:dyDescent="0.25">
      <c r="A19" s="49">
        <v>47012</v>
      </c>
      <c r="B19" s="97" t="s">
        <v>74</v>
      </c>
      <c r="C19" s="98"/>
      <c r="D19" s="98"/>
      <c r="E19" s="98"/>
      <c r="F19" s="51"/>
      <c r="G19" s="49" t="s">
        <v>194</v>
      </c>
      <c r="H19" s="49">
        <v>377</v>
      </c>
      <c r="I19" s="49" t="s">
        <v>195</v>
      </c>
      <c r="J19" s="49">
        <v>20.94</v>
      </c>
      <c r="K19" s="52"/>
      <c r="L19" s="52"/>
      <c r="M19" s="47"/>
      <c r="N19" s="47"/>
      <c r="O19" s="47"/>
      <c r="P19" s="47"/>
      <c r="Q19" s="47"/>
      <c r="R19" s="49">
        <v>0</v>
      </c>
      <c r="S19" s="52"/>
      <c r="T19" s="52"/>
      <c r="U19" s="47"/>
      <c r="V19" s="47"/>
      <c r="W19" s="47"/>
      <c r="X19" s="47"/>
    </row>
    <row r="20" spans="1:24" ht="15.75" customHeight="1" x14ac:dyDescent="0.25">
      <c r="A20" s="49">
        <v>47013</v>
      </c>
      <c r="B20" s="97" t="s">
        <v>159</v>
      </c>
      <c r="C20" s="98"/>
      <c r="D20" s="98"/>
      <c r="E20" s="98"/>
      <c r="F20" s="51"/>
      <c r="G20" s="49" t="s">
        <v>196</v>
      </c>
      <c r="H20" s="49">
        <v>0</v>
      </c>
      <c r="I20" s="49" t="s">
        <v>197</v>
      </c>
      <c r="J20" s="49">
        <v>0</v>
      </c>
      <c r="K20" s="52"/>
      <c r="L20" s="52"/>
      <c r="M20" s="47"/>
      <c r="N20" s="50" t="s">
        <v>195</v>
      </c>
      <c r="O20" s="51"/>
      <c r="P20" s="51"/>
      <c r="Q20" s="47"/>
      <c r="R20" s="49">
        <v>0</v>
      </c>
      <c r="S20" s="52"/>
      <c r="T20" s="52"/>
      <c r="U20" s="47"/>
      <c r="V20" s="47"/>
      <c r="W20" s="47"/>
      <c r="X20" s="47"/>
    </row>
    <row r="21" spans="1:24" ht="15.75" customHeight="1" x14ac:dyDescent="0.25">
      <c r="A21" s="49">
        <v>47014</v>
      </c>
      <c r="B21" s="97" t="s">
        <v>97</v>
      </c>
      <c r="C21" s="98"/>
      <c r="D21" s="98"/>
      <c r="E21" s="98"/>
      <c r="F21" s="51"/>
      <c r="G21" s="49" t="s">
        <v>194</v>
      </c>
      <c r="H21" s="49">
        <v>0</v>
      </c>
      <c r="I21" s="49" t="s">
        <v>195</v>
      </c>
      <c r="J21" s="49">
        <v>0</v>
      </c>
      <c r="K21" s="52"/>
      <c r="L21" s="52"/>
      <c r="M21" s="47"/>
      <c r="N21" s="47"/>
      <c r="O21" s="47"/>
      <c r="P21" s="47"/>
      <c r="Q21" s="47"/>
      <c r="R21" s="49">
        <v>0</v>
      </c>
      <c r="S21" s="52"/>
      <c r="T21" s="52"/>
      <c r="U21" s="47"/>
      <c r="V21" s="47"/>
      <c r="W21" s="47"/>
      <c r="X21" s="47"/>
    </row>
    <row r="22" spans="1:24" ht="15.75" customHeight="1" x14ac:dyDescent="0.25">
      <c r="A22" s="49">
        <v>47017</v>
      </c>
      <c r="B22" s="97" t="s">
        <v>175</v>
      </c>
      <c r="C22" s="98"/>
      <c r="D22" s="98"/>
      <c r="E22" s="51"/>
      <c r="F22" s="51"/>
      <c r="G22" s="49" t="s">
        <v>194</v>
      </c>
      <c r="H22" s="49">
        <v>35</v>
      </c>
      <c r="I22" s="49" t="s">
        <v>195</v>
      </c>
      <c r="J22" s="49">
        <v>1.45</v>
      </c>
      <c r="K22" s="52"/>
      <c r="L22" s="52"/>
      <c r="M22" s="47"/>
      <c r="N22" s="47"/>
      <c r="O22" s="47"/>
      <c r="P22" s="47"/>
      <c r="Q22" s="47"/>
      <c r="R22" s="49">
        <v>0</v>
      </c>
      <c r="S22" s="52"/>
      <c r="T22" s="52"/>
      <c r="U22" s="47"/>
      <c r="V22" s="47"/>
      <c r="W22" s="47"/>
      <c r="X22" s="47"/>
    </row>
    <row r="23" spans="1:24" ht="15.75" customHeight="1" x14ac:dyDescent="0.25">
      <c r="A23" s="49">
        <v>47018</v>
      </c>
      <c r="B23" s="97" t="s">
        <v>161</v>
      </c>
      <c r="C23" s="98"/>
      <c r="D23" s="98"/>
      <c r="E23" s="98"/>
      <c r="F23" s="51"/>
      <c r="G23" s="49" t="s">
        <v>194</v>
      </c>
      <c r="H23" s="49">
        <v>0</v>
      </c>
      <c r="I23" s="49" t="s">
        <v>195</v>
      </c>
      <c r="J23" s="49">
        <v>0</v>
      </c>
      <c r="K23" s="52"/>
      <c r="L23" s="52"/>
      <c r="M23" s="47"/>
      <c r="N23" s="47"/>
      <c r="O23" s="47"/>
      <c r="P23" s="47"/>
      <c r="Q23" s="47"/>
      <c r="R23" s="49">
        <v>0</v>
      </c>
      <c r="S23" s="52"/>
      <c r="T23" s="52"/>
      <c r="U23" s="47"/>
      <c r="V23" s="47"/>
      <c r="W23" s="47"/>
      <c r="X23" s="47"/>
    </row>
    <row r="24" spans="1:24" ht="15.75" customHeight="1" x14ac:dyDescent="0.25">
      <c r="A24" s="49">
        <v>47019</v>
      </c>
      <c r="B24" s="97" t="s">
        <v>123</v>
      </c>
      <c r="C24" s="98"/>
      <c r="D24" s="98"/>
      <c r="E24" s="98"/>
      <c r="F24" s="51"/>
      <c r="G24" s="49" t="s">
        <v>194</v>
      </c>
      <c r="H24" s="49">
        <v>21</v>
      </c>
      <c r="I24" s="49" t="s">
        <v>195</v>
      </c>
      <c r="J24" s="49">
        <v>2.62</v>
      </c>
      <c r="K24" s="52"/>
      <c r="L24" s="52"/>
      <c r="M24" s="47"/>
      <c r="N24" s="47"/>
      <c r="O24" s="47"/>
      <c r="P24" s="47"/>
      <c r="Q24" s="47"/>
      <c r="R24" s="49">
        <v>0</v>
      </c>
      <c r="S24" s="52"/>
      <c r="T24" s="52"/>
      <c r="U24" s="47"/>
      <c r="V24" s="47"/>
      <c r="W24" s="47"/>
      <c r="X24" s="47"/>
    </row>
    <row r="25" spans="1:24" ht="15.75" customHeight="1" x14ac:dyDescent="0.25">
      <c r="A25" s="49">
        <v>47022</v>
      </c>
      <c r="B25" s="97" t="s">
        <v>75</v>
      </c>
      <c r="C25" s="98"/>
      <c r="D25" s="98"/>
      <c r="E25" s="98"/>
      <c r="F25" s="51"/>
      <c r="G25" s="49" t="s">
        <v>194</v>
      </c>
      <c r="H25" s="49">
        <v>0</v>
      </c>
      <c r="I25" s="49" t="s">
        <v>195</v>
      </c>
      <c r="J25" s="49">
        <v>0</v>
      </c>
      <c r="K25" s="52"/>
      <c r="L25" s="52"/>
      <c r="M25" s="47"/>
      <c r="N25" s="47"/>
      <c r="O25" s="47"/>
      <c r="P25" s="47"/>
      <c r="Q25" s="47"/>
      <c r="R25" s="49">
        <v>0</v>
      </c>
      <c r="S25" s="52"/>
      <c r="T25" s="52"/>
      <c r="U25" s="47"/>
      <c r="V25" s="47"/>
      <c r="W25" s="47"/>
      <c r="X25" s="47"/>
    </row>
    <row r="26" spans="1:24" ht="15.75" customHeight="1" x14ac:dyDescent="0.25">
      <c r="A26" s="49">
        <v>47023</v>
      </c>
      <c r="B26" s="97" t="s">
        <v>76</v>
      </c>
      <c r="C26" s="98"/>
      <c r="D26" s="98"/>
      <c r="E26" s="98"/>
      <c r="F26" s="51"/>
      <c r="G26" s="49" t="s">
        <v>194</v>
      </c>
      <c r="H26" s="49">
        <v>241</v>
      </c>
      <c r="I26" s="49" t="s">
        <v>195</v>
      </c>
      <c r="J26" s="49">
        <v>30.12</v>
      </c>
      <c r="K26" s="52"/>
      <c r="L26" s="52"/>
      <c r="M26" s="47"/>
      <c r="N26" s="47"/>
      <c r="O26" s="47"/>
      <c r="P26" s="47"/>
      <c r="Q26" s="47"/>
      <c r="R26" s="49">
        <v>0</v>
      </c>
      <c r="S26" s="52"/>
      <c r="T26" s="52"/>
      <c r="U26" s="47"/>
      <c r="V26" s="47"/>
      <c r="W26" s="47"/>
      <c r="X26" s="47"/>
    </row>
    <row r="27" spans="1:24" ht="15.75" customHeight="1" x14ac:dyDescent="0.25">
      <c r="A27" s="49">
        <v>47024</v>
      </c>
      <c r="B27" s="97" t="s">
        <v>88</v>
      </c>
      <c r="C27" s="98"/>
      <c r="D27" s="98"/>
      <c r="E27" s="51"/>
      <c r="F27" s="51"/>
      <c r="G27" s="49" t="s">
        <v>194</v>
      </c>
      <c r="H27" s="49">
        <v>41</v>
      </c>
      <c r="I27" s="49" t="s">
        <v>195</v>
      </c>
      <c r="J27" s="49">
        <v>3.41</v>
      </c>
      <c r="K27" s="52"/>
      <c r="L27" s="52"/>
      <c r="M27" s="47"/>
      <c r="N27" s="47"/>
      <c r="O27" s="47"/>
      <c r="P27" s="47"/>
      <c r="Q27" s="47"/>
      <c r="R27" s="49">
        <v>0</v>
      </c>
      <c r="S27" s="52"/>
      <c r="T27" s="52"/>
      <c r="U27" s="47"/>
      <c r="V27" s="47"/>
      <c r="W27" s="47"/>
      <c r="X27" s="47"/>
    </row>
    <row r="28" spans="1:24" ht="15.75" customHeight="1" x14ac:dyDescent="0.25">
      <c r="A28" s="49">
        <v>47025</v>
      </c>
      <c r="B28" s="97" t="s">
        <v>162</v>
      </c>
      <c r="C28" s="98"/>
      <c r="D28" s="98"/>
      <c r="E28" s="98"/>
      <c r="F28" s="51"/>
      <c r="G28" s="49" t="s">
        <v>194</v>
      </c>
      <c r="H28" s="49">
        <v>0</v>
      </c>
      <c r="I28" s="49" t="s">
        <v>195</v>
      </c>
      <c r="J28" s="49">
        <v>0</v>
      </c>
      <c r="K28" s="52"/>
      <c r="L28" s="52"/>
      <c r="M28" s="47"/>
      <c r="N28" s="47"/>
      <c r="O28" s="47"/>
      <c r="P28" s="47"/>
      <c r="Q28" s="47"/>
      <c r="R28" s="49">
        <v>0</v>
      </c>
      <c r="S28" s="52"/>
      <c r="T28" s="52"/>
      <c r="U28" s="47"/>
      <c r="V28" s="47"/>
      <c r="W28" s="47"/>
      <c r="X28" s="47"/>
    </row>
    <row r="29" spans="1:24" ht="15.75" customHeight="1" x14ac:dyDescent="0.25">
      <c r="A29" s="49">
        <v>47026</v>
      </c>
      <c r="B29" s="97" t="s">
        <v>120</v>
      </c>
      <c r="C29" s="98"/>
      <c r="D29" s="98"/>
      <c r="E29" s="98"/>
      <c r="F29" s="51"/>
      <c r="G29" s="49" t="s">
        <v>196</v>
      </c>
      <c r="H29" s="49">
        <v>0</v>
      </c>
      <c r="I29" s="49" t="s">
        <v>195</v>
      </c>
      <c r="J29" s="49">
        <v>0</v>
      </c>
      <c r="K29" s="52"/>
      <c r="L29" s="52"/>
      <c r="M29" s="47"/>
      <c r="N29" s="47"/>
      <c r="O29" s="47"/>
      <c r="P29" s="47"/>
      <c r="Q29" s="47"/>
      <c r="R29" s="49">
        <v>0</v>
      </c>
      <c r="S29" s="52"/>
      <c r="T29" s="52"/>
      <c r="U29" s="47"/>
      <c r="V29" s="47"/>
      <c r="W29" s="47"/>
      <c r="X29" s="47"/>
    </row>
    <row r="30" spans="1:24" ht="15.75" customHeight="1" x14ac:dyDescent="0.25">
      <c r="A30" s="49">
        <v>47029</v>
      </c>
      <c r="B30" s="97" t="s">
        <v>94</v>
      </c>
      <c r="C30" s="98"/>
      <c r="D30" s="98"/>
      <c r="E30" s="98"/>
      <c r="F30" s="51"/>
      <c r="G30" s="49" t="s">
        <v>194</v>
      </c>
      <c r="H30" s="49">
        <v>137</v>
      </c>
      <c r="I30" s="49" t="s">
        <v>195</v>
      </c>
      <c r="J30" s="49">
        <v>5.7</v>
      </c>
      <c r="K30" s="52"/>
      <c r="L30" s="52"/>
      <c r="M30" s="47"/>
      <c r="N30" s="47"/>
      <c r="O30" s="47"/>
      <c r="P30" s="47"/>
      <c r="Q30" s="47"/>
      <c r="R30" s="49">
        <v>0</v>
      </c>
      <c r="S30" s="52"/>
      <c r="T30" s="52"/>
      <c r="U30" s="47"/>
      <c r="V30" s="47"/>
      <c r="W30" s="47"/>
      <c r="X30" s="47"/>
    </row>
    <row r="31" spans="1:24" ht="15.75" customHeight="1" x14ac:dyDescent="0.25">
      <c r="A31" s="49">
        <v>47030</v>
      </c>
      <c r="B31" s="97" t="s">
        <v>163</v>
      </c>
      <c r="C31" s="98"/>
      <c r="D31" s="98"/>
      <c r="E31" s="98"/>
      <c r="F31" s="51"/>
      <c r="G31" s="49" t="s">
        <v>194</v>
      </c>
      <c r="H31" s="49">
        <v>0</v>
      </c>
      <c r="I31" s="49" t="s">
        <v>195</v>
      </c>
      <c r="J31" s="49">
        <v>0</v>
      </c>
      <c r="K31" s="52"/>
      <c r="L31" s="52"/>
      <c r="M31" s="47"/>
      <c r="N31" s="47"/>
      <c r="O31" s="47"/>
      <c r="P31" s="47"/>
      <c r="Q31" s="47"/>
      <c r="R31" s="49">
        <v>0</v>
      </c>
      <c r="S31" s="52"/>
      <c r="T31" s="52"/>
      <c r="U31" s="47"/>
      <c r="V31" s="47"/>
      <c r="W31" s="47"/>
      <c r="X31" s="47"/>
    </row>
    <row r="32" spans="1:24" ht="15.75" customHeight="1" x14ac:dyDescent="0.25">
      <c r="A32" s="49">
        <v>47031</v>
      </c>
      <c r="B32" s="97" t="s">
        <v>164</v>
      </c>
      <c r="C32" s="98"/>
      <c r="D32" s="98"/>
      <c r="E32" s="51"/>
      <c r="F32" s="51"/>
      <c r="G32" s="49" t="s">
        <v>196</v>
      </c>
      <c r="H32" s="49">
        <v>0</v>
      </c>
      <c r="I32" s="49" t="s">
        <v>197</v>
      </c>
      <c r="J32" s="49">
        <v>0</v>
      </c>
      <c r="K32" s="52"/>
      <c r="L32" s="52"/>
      <c r="M32" s="47"/>
      <c r="N32" s="50" t="s">
        <v>195</v>
      </c>
      <c r="O32" s="51"/>
      <c r="P32" s="51"/>
      <c r="Q32" s="47"/>
      <c r="R32" s="49">
        <v>0</v>
      </c>
      <c r="S32" s="52"/>
      <c r="T32" s="52"/>
      <c r="U32" s="47"/>
      <c r="V32" s="47"/>
      <c r="W32" s="47"/>
      <c r="X32" s="47"/>
    </row>
    <row r="33" spans="1:24" ht="15.75" customHeight="1" x14ac:dyDescent="0.25">
      <c r="A33" s="49">
        <v>47036</v>
      </c>
      <c r="B33" s="97" t="s">
        <v>117</v>
      </c>
      <c r="C33" s="98"/>
      <c r="D33" s="98"/>
      <c r="E33" s="98"/>
      <c r="F33" s="51"/>
      <c r="G33" s="49" t="s">
        <v>194</v>
      </c>
      <c r="H33" s="49">
        <v>0</v>
      </c>
      <c r="I33" s="49" t="s">
        <v>195</v>
      </c>
      <c r="J33" s="49">
        <v>0</v>
      </c>
      <c r="K33" s="52"/>
      <c r="L33" s="52"/>
      <c r="M33" s="47"/>
      <c r="N33" s="47"/>
      <c r="O33" s="47"/>
      <c r="P33" s="47"/>
      <c r="Q33" s="47"/>
      <c r="R33" s="49">
        <v>0</v>
      </c>
      <c r="S33" s="52"/>
      <c r="T33" s="52"/>
      <c r="U33" s="47"/>
      <c r="V33" s="47"/>
      <c r="W33" s="47"/>
      <c r="X33" s="47"/>
    </row>
    <row r="34" spans="1:24" ht="15.75" customHeight="1" x14ac:dyDescent="0.25">
      <c r="A34" s="49">
        <v>47038</v>
      </c>
      <c r="B34" s="97" t="s">
        <v>90</v>
      </c>
      <c r="C34" s="98"/>
      <c r="D34" s="98"/>
      <c r="E34" s="51"/>
      <c r="F34" s="51"/>
      <c r="G34" s="49" t="s">
        <v>194</v>
      </c>
      <c r="H34" s="49">
        <v>400</v>
      </c>
      <c r="I34" s="49" t="s">
        <v>195</v>
      </c>
      <c r="J34" s="49">
        <v>14.28</v>
      </c>
      <c r="K34" s="52"/>
      <c r="L34" s="52"/>
      <c r="M34" s="47"/>
      <c r="N34" s="47"/>
      <c r="O34" s="47"/>
      <c r="P34" s="47"/>
      <c r="Q34" s="47"/>
      <c r="R34" s="49">
        <v>0</v>
      </c>
      <c r="S34" s="52"/>
      <c r="T34" s="52"/>
      <c r="U34" s="47"/>
      <c r="V34" s="47"/>
      <c r="W34" s="47"/>
      <c r="X34" s="47"/>
    </row>
    <row r="35" spans="1:24" ht="15.75" customHeight="1" x14ac:dyDescent="0.25">
      <c r="A35" s="49">
        <v>47039</v>
      </c>
      <c r="B35" s="97" t="s">
        <v>79</v>
      </c>
      <c r="C35" s="98"/>
      <c r="D35" s="98"/>
      <c r="E35" s="98"/>
      <c r="F35" s="51"/>
      <c r="G35" s="49" t="s">
        <v>194</v>
      </c>
      <c r="H35" s="49">
        <v>439</v>
      </c>
      <c r="I35" s="49" t="s">
        <v>195</v>
      </c>
      <c r="J35" s="49">
        <v>18.29</v>
      </c>
      <c r="K35" s="52"/>
      <c r="L35" s="52"/>
      <c r="M35" s="47"/>
      <c r="N35" s="47"/>
      <c r="O35" s="47"/>
      <c r="P35" s="47"/>
      <c r="Q35" s="47"/>
      <c r="R35" s="49">
        <v>0</v>
      </c>
      <c r="S35" s="52"/>
      <c r="T35" s="52"/>
      <c r="U35" s="47"/>
      <c r="V35" s="47"/>
      <c r="W35" s="47"/>
      <c r="X35" s="47"/>
    </row>
    <row r="36" spans="1:24" ht="15.75" customHeight="1" x14ac:dyDescent="0.25">
      <c r="A36" s="49">
        <v>47046</v>
      </c>
      <c r="B36" s="97" t="s">
        <v>78</v>
      </c>
      <c r="C36" s="98"/>
      <c r="D36" s="98"/>
      <c r="E36" s="51"/>
      <c r="F36" s="51"/>
      <c r="G36" s="49" t="s">
        <v>194</v>
      </c>
      <c r="H36" s="49">
        <v>31</v>
      </c>
      <c r="I36" s="49" t="s">
        <v>195</v>
      </c>
      <c r="J36" s="49">
        <v>1.29</v>
      </c>
      <c r="K36" s="52"/>
      <c r="L36" s="52"/>
      <c r="M36" s="47"/>
      <c r="N36" s="47"/>
      <c r="O36" s="47"/>
      <c r="P36" s="47"/>
      <c r="Q36" s="47"/>
      <c r="R36" s="49">
        <v>0</v>
      </c>
      <c r="S36" s="52"/>
      <c r="T36" s="52"/>
      <c r="U36" s="47"/>
      <c r="V36" s="47"/>
      <c r="W36" s="47"/>
      <c r="X36" s="47"/>
    </row>
    <row r="37" spans="1:24" ht="15.75" customHeight="1" x14ac:dyDescent="0.25">
      <c r="A37" s="49">
        <v>47048</v>
      </c>
      <c r="B37" s="97" t="s">
        <v>166</v>
      </c>
      <c r="C37" s="98"/>
      <c r="D37" s="98"/>
      <c r="E37" s="98"/>
      <c r="F37" s="51"/>
      <c r="G37" s="49" t="s">
        <v>194</v>
      </c>
      <c r="H37" s="49">
        <v>0</v>
      </c>
      <c r="I37" s="49" t="s">
        <v>195</v>
      </c>
      <c r="J37" s="49">
        <v>0</v>
      </c>
      <c r="K37" s="52"/>
      <c r="L37" s="52"/>
      <c r="M37" s="47"/>
      <c r="N37" s="47"/>
      <c r="O37" s="47"/>
      <c r="P37" s="47"/>
      <c r="Q37" s="47"/>
      <c r="R37" s="49">
        <v>0</v>
      </c>
      <c r="S37" s="52"/>
      <c r="T37" s="52"/>
      <c r="U37" s="47"/>
      <c r="V37" s="47"/>
      <c r="W37" s="47"/>
      <c r="X37" s="47"/>
    </row>
    <row r="38" spans="1:24" ht="15" x14ac:dyDescent="0.25">
      <c r="A38" s="49">
        <v>47049</v>
      </c>
      <c r="B38" s="97" t="s">
        <v>165</v>
      </c>
      <c r="C38" s="98"/>
      <c r="D38" s="98"/>
      <c r="E38" s="98"/>
      <c r="F38" s="98"/>
      <c r="G38" s="49" t="s">
        <v>194</v>
      </c>
      <c r="H38" s="49">
        <v>0</v>
      </c>
      <c r="I38" s="49" t="s">
        <v>195</v>
      </c>
      <c r="J38" s="49">
        <v>0</v>
      </c>
      <c r="K38" s="52"/>
      <c r="L38" s="52"/>
      <c r="M38" s="47"/>
      <c r="N38" s="47"/>
      <c r="O38" s="47"/>
      <c r="P38" s="47"/>
      <c r="Q38" s="47"/>
      <c r="R38" s="49">
        <v>0</v>
      </c>
      <c r="S38" s="52"/>
      <c r="T38" s="52"/>
      <c r="U38" s="47"/>
      <c r="V38" s="47"/>
      <c r="W38" s="47"/>
      <c r="X38" s="47"/>
    </row>
    <row r="39" spans="1:24" ht="15" x14ac:dyDescent="0.25">
      <c r="A39" s="49">
        <v>47051</v>
      </c>
      <c r="B39" s="97" t="s">
        <v>199</v>
      </c>
      <c r="C39" s="98"/>
      <c r="D39" s="98"/>
      <c r="E39" s="98"/>
      <c r="F39" s="51"/>
      <c r="G39" s="49" t="s">
        <v>194</v>
      </c>
      <c r="H39" s="49">
        <v>29</v>
      </c>
      <c r="I39" s="49" t="s">
        <v>197</v>
      </c>
      <c r="J39" s="49">
        <v>29</v>
      </c>
      <c r="K39" s="52"/>
      <c r="L39" s="52"/>
      <c r="M39" s="47"/>
      <c r="N39" s="50" t="s">
        <v>195</v>
      </c>
      <c r="O39" s="51"/>
      <c r="P39" s="51"/>
      <c r="Q39" s="47"/>
      <c r="R39" s="49">
        <v>1.61</v>
      </c>
      <c r="S39" s="52"/>
      <c r="T39" s="52"/>
      <c r="U39" s="47"/>
      <c r="V39" s="47"/>
      <c r="W39" s="47"/>
      <c r="X39" s="47"/>
    </row>
    <row r="40" spans="1:24" ht="15" x14ac:dyDescent="0.25">
      <c r="A40" s="49">
        <v>47052</v>
      </c>
      <c r="B40" s="97" t="s">
        <v>82</v>
      </c>
      <c r="C40" s="98"/>
      <c r="D40" s="98"/>
      <c r="E40" s="98"/>
      <c r="F40" s="51"/>
      <c r="G40" s="49" t="s">
        <v>194</v>
      </c>
      <c r="H40" s="49">
        <v>-20</v>
      </c>
      <c r="I40" s="49" t="s">
        <v>197</v>
      </c>
      <c r="J40" s="49">
        <v>-20</v>
      </c>
      <c r="K40" s="52"/>
      <c r="L40" s="52"/>
      <c r="M40" s="47"/>
      <c r="N40" s="50" t="s">
        <v>195</v>
      </c>
      <c r="O40" s="51"/>
      <c r="P40" s="51"/>
      <c r="Q40" s="47"/>
      <c r="R40" s="49">
        <v>-2</v>
      </c>
      <c r="S40" s="52"/>
      <c r="T40" s="52"/>
      <c r="U40" s="47"/>
      <c r="V40" s="47"/>
      <c r="W40" s="47"/>
      <c r="X40" s="47"/>
    </row>
    <row r="41" spans="1:24" ht="15" x14ac:dyDescent="0.25">
      <c r="A41" s="49">
        <v>47053</v>
      </c>
      <c r="B41" s="97" t="s">
        <v>200</v>
      </c>
      <c r="C41" s="98"/>
      <c r="D41" s="98"/>
      <c r="E41" s="98"/>
      <c r="F41" s="51"/>
      <c r="G41" s="49" t="s">
        <v>194</v>
      </c>
      <c r="H41" s="49">
        <v>34</v>
      </c>
      <c r="I41" s="49" t="s">
        <v>197</v>
      </c>
      <c r="J41" s="49">
        <v>34</v>
      </c>
      <c r="K41" s="52"/>
      <c r="L41" s="52"/>
      <c r="M41" s="47"/>
      <c r="N41" s="50" t="s">
        <v>195</v>
      </c>
      <c r="O41" s="51"/>
      <c r="P41" s="51"/>
      <c r="Q41" s="47"/>
      <c r="R41" s="49">
        <v>1.88</v>
      </c>
      <c r="S41" s="52"/>
      <c r="T41" s="52"/>
      <c r="U41" s="47"/>
      <c r="V41" s="47"/>
      <c r="W41" s="47"/>
      <c r="X41" s="47"/>
    </row>
    <row r="42" spans="1:24" ht="15" x14ac:dyDescent="0.25">
      <c r="A42" s="49">
        <v>47210</v>
      </c>
      <c r="B42" s="97" t="s">
        <v>127</v>
      </c>
      <c r="C42" s="98"/>
      <c r="D42" s="98"/>
      <c r="E42" s="98"/>
      <c r="F42" s="98"/>
      <c r="G42" s="49" t="s">
        <v>194</v>
      </c>
      <c r="H42" s="49">
        <v>0</v>
      </c>
      <c r="I42" s="49" t="s">
        <v>195</v>
      </c>
      <c r="J42" s="49">
        <v>0</v>
      </c>
      <c r="K42" s="52"/>
      <c r="L42" s="52"/>
      <c r="M42" s="47"/>
      <c r="N42" s="47"/>
      <c r="O42" s="47"/>
      <c r="P42" s="47"/>
      <c r="Q42" s="47"/>
      <c r="R42" s="49">
        <v>0</v>
      </c>
      <c r="S42" s="52"/>
      <c r="T42" s="52"/>
      <c r="U42" s="47"/>
      <c r="V42" s="47"/>
      <c r="W42" s="47"/>
      <c r="X42" s="47"/>
    </row>
    <row r="43" spans="1:24" ht="15" x14ac:dyDescent="0.25">
      <c r="A43" s="49">
        <v>48029</v>
      </c>
      <c r="B43" s="97" t="s">
        <v>111</v>
      </c>
      <c r="C43" s="98"/>
      <c r="D43" s="51"/>
      <c r="E43" s="51"/>
      <c r="F43" s="51"/>
      <c r="G43" s="49" t="s">
        <v>196</v>
      </c>
      <c r="H43" s="49">
        <v>0</v>
      </c>
      <c r="I43" s="49" t="s">
        <v>197</v>
      </c>
      <c r="J43" s="49">
        <v>0</v>
      </c>
      <c r="K43" s="52"/>
      <c r="L43" s="52"/>
      <c r="M43" s="47"/>
      <c r="N43" s="50" t="s">
        <v>195</v>
      </c>
      <c r="O43" s="51"/>
      <c r="P43" s="51"/>
      <c r="Q43" s="47"/>
      <c r="R43" s="49">
        <v>0</v>
      </c>
      <c r="S43" s="52"/>
      <c r="T43" s="52"/>
      <c r="U43" s="47"/>
      <c r="V43" s="47"/>
      <c r="W43" s="47"/>
      <c r="X43" s="47"/>
    </row>
    <row r="44" spans="1:24" ht="15" x14ac:dyDescent="0.25">
      <c r="A44" s="49">
        <v>48044</v>
      </c>
      <c r="B44" s="97" t="s">
        <v>121</v>
      </c>
      <c r="C44" s="98"/>
      <c r="D44" s="51"/>
      <c r="E44" s="51"/>
      <c r="F44" s="51"/>
      <c r="G44" s="49" t="s">
        <v>196</v>
      </c>
      <c r="H44" s="49">
        <v>0</v>
      </c>
      <c r="I44" s="49" t="s">
        <v>197</v>
      </c>
      <c r="J44" s="49">
        <v>0</v>
      </c>
      <c r="K44" s="52"/>
      <c r="L44" s="52"/>
      <c r="M44" s="47"/>
      <c r="N44" s="50" t="s">
        <v>195</v>
      </c>
      <c r="O44" s="51"/>
      <c r="P44" s="51"/>
      <c r="Q44" s="47"/>
      <c r="R44" s="49">
        <v>0</v>
      </c>
      <c r="S44" s="52"/>
      <c r="T44" s="52"/>
      <c r="U44" s="47"/>
      <c r="V44" s="47"/>
      <c r="W44" s="47"/>
      <c r="X44" s="47"/>
    </row>
    <row r="45" spans="1:24" ht="15" x14ac:dyDescent="0.25">
      <c r="A45" s="49">
        <v>48049</v>
      </c>
      <c r="B45" s="97" t="s">
        <v>124</v>
      </c>
      <c r="C45" s="98"/>
      <c r="D45" s="51"/>
      <c r="E45" s="51"/>
      <c r="F45" s="51"/>
      <c r="G45" s="49" t="s">
        <v>196</v>
      </c>
      <c r="H45" s="49">
        <v>0</v>
      </c>
      <c r="I45" s="49" t="s">
        <v>197</v>
      </c>
      <c r="J45" s="49">
        <v>0</v>
      </c>
      <c r="K45" s="52"/>
      <c r="L45" s="52"/>
      <c r="M45" s="47"/>
      <c r="N45" s="50" t="s">
        <v>195</v>
      </c>
      <c r="O45" s="51"/>
      <c r="P45" s="51"/>
      <c r="Q45" s="47"/>
      <c r="R45" s="49">
        <v>0</v>
      </c>
      <c r="S45" s="52"/>
      <c r="T45" s="52"/>
      <c r="U45" s="47"/>
      <c r="V45" s="47"/>
      <c r="W45" s="47"/>
      <c r="X45" s="47"/>
    </row>
    <row r="46" spans="1:24" ht="15" x14ac:dyDescent="0.25">
      <c r="A46" s="49">
        <v>48055</v>
      </c>
      <c r="B46" s="97" t="s">
        <v>119</v>
      </c>
      <c r="C46" s="98"/>
      <c r="D46" s="98"/>
      <c r="E46" s="51"/>
      <c r="F46" s="51"/>
      <c r="G46" s="49" t="s">
        <v>196</v>
      </c>
      <c r="H46" s="49">
        <v>0</v>
      </c>
      <c r="I46" s="49" t="s">
        <v>197</v>
      </c>
      <c r="J46" s="49">
        <v>0</v>
      </c>
      <c r="K46" s="52"/>
      <c r="L46" s="52"/>
      <c r="M46" s="47"/>
      <c r="N46" s="50" t="s">
        <v>195</v>
      </c>
      <c r="O46" s="51"/>
      <c r="P46" s="51"/>
      <c r="Q46" s="47"/>
      <c r="R46" s="49">
        <v>0</v>
      </c>
      <c r="S46" s="52"/>
      <c r="T46" s="52"/>
      <c r="U46" s="47"/>
      <c r="V46" s="47"/>
      <c r="W46" s="47"/>
      <c r="X46" s="47"/>
    </row>
    <row r="47" spans="1:24" ht="15" x14ac:dyDescent="0.25">
      <c r="A47" s="49">
        <v>48056</v>
      </c>
      <c r="B47" s="97" t="s">
        <v>134</v>
      </c>
      <c r="C47" s="98"/>
      <c r="D47" s="98"/>
      <c r="E47" s="51"/>
      <c r="F47" s="51"/>
      <c r="G47" s="49" t="s">
        <v>196</v>
      </c>
      <c r="H47" s="49">
        <v>0</v>
      </c>
      <c r="I47" s="49" t="s">
        <v>197</v>
      </c>
      <c r="J47" s="49">
        <v>0</v>
      </c>
      <c r="K47" s="52"/>
      <c r="L47" s="52"/>
      <c r="M47" s="47"/>
      <c r="N47" s="50" t="s">
        <v>195</v>
      </c>
      <c r="O47" s="51"/>
      <c r="P47" s="51"/>
      <c r="Q47" s="47"/>
      <c r="R47" s="49">
        <v>0</v>
      </c>
      <c r="S47" s="52"/>
      <c r="T47" s="52"/>
      <c r="U47" s="47"/>
      <c r="V47" s="47"/>
      <c r="W47" s="47"/>
      <c r="X47" s="47"/>
    </row>
    <row r="48" spans="1:24" ht="15" x14ac:dyDescent="0.25">
      <c r="A48" s="49">
        <v>48058</v>
      </c>
      <c r="B48" s="97" t="s">
        <v>116</v>
      </c>
      <c r="C48" s="98"/>
      <c r="D48" s="51"/>
      <c r="E48" s="51"/>
      <c r="F48" s="51"/>
      <c r="G48" s="49" t="s">
        <v>196</v>
      </c>
      <c r="H48" s="49">
        <v>0</v>
      </c>
      <c r="I48" s="49" t="s">
        <v>197</v>
      </c>
      <c r="J48" s="49">
        <v>0</v>
      </c>
      <c r="K48" s="52"/>
      <c r="L48" s="52"/>
      <c r="M48" s="47"/>
      <c r="N48" s="50" t="s">
        <v>195</v>
      </c>
      <c r="O48" s="51"/>
      <c r="P48" s="51"/>
      <c r="Q48" s="47"/>
      <c r="R48" s="49">
        <v>0</v>
      </c>
      <c r="S48" s="52"/>
      <c r="T48" s="52"/>
      <c r="U48" s="47"/>
      <c r="V48" s="47"/>
      <c r="W48" s="47"/>
      <c r="X48" s="47"/>
    </row>
    <row r="49" spans="1:24" ht="15" x14ac:dyDescent="0.25">
      <c r="A49" s="49">
        <v>48063</v>
      </c>
      <c r="B49" s="97" t="s">
        <v>118</v>
      </c>
      <c r="C49" s="98"/>
      <c r="D49" s="98"/>
      <c r="E49" s="51"/>
      <c r="F49" s="51"/>
      <c r="G49" s="49" t="s">
        <v>196</v>
      </c>
      <c r="H49" s="49">
        <v>0</v>
      </c>
      <c r="I49" s="49" t="s">
        <v>197</v>
      </c>
      <c r="J49" s="49">
        <v>0</v>
      </c>
      <c r="K49" s="52"/>
      <c r="L49" s="52"/>
      <c r="M49" s="47"/>
      <c r="N49" s="50" t="s">
        <v>195</v>
      </c>
      <c r="O49" s="51"/>
      <c r="P49" s="51"/>
      <c r="Q49" s="47"/>
      <c r="R49" s="49">
        <v>0</v>
      </c>
      <c r="S49" s="52"/>
      <c r="T49" s="52"/>
      <c r="U49" s="47"/>
      <c r="V49" s="47"/>
      <c r="W49" s="47"/>
      <c r="X49" s="47"/>
    </row>
    <row r="50" spans="1:24" ht="15" x14ac:dyDescent="0.25">
      <c r="A50" s="49">
        <v>48066</v>
      </c>
      <c r="B50" s="97" t="s">
        <v>129</v>
      </c>
      <c r="C50" s="98"/>
      <c r="D50" s="98"/>
      <c r="E50" s="51"/>
      <c r="F50" s="51"/>
      <c r="G50" s="49" t="s">
        <v>196</v>
      </c>
      <c r="H50" s="49">
        <v>0</v>
      </c>
      <c r="I50" s="49" t="s">
        <v>197</v>
      </c>
      <c r="J50" s="49">
        <v>0</v>
      </c>
      <c r="K50" s="52"/>
      <c r="L50" s="52"/>
      <c r="M50" s="47"/>
      <c r="N50" s="50" t="s">
        <v>195</v>
      </c>
      <c r="O50" s="51"/>
      <c r="P50" s="51"/>
      <c r="Q50" s="47"/>
      <c r="R50" s="49">
        <v>0</v>
      </c>
      <c r="S50" s="52"/>
      <c r="T50" s="52"/>
      <c r="U50" s="47"/>
      <c r="V50" s="47"/>
      <c r="W50" s="47"/>
      <c r="X50" s="47"/>
    </row>
    <row r="51" spans="1:24" ht="15" x14ac:dyDescent="0.25">
      <c r="A51" s="49">
        <v>48067</v>
      </c>
      <c r="B51" s="97" t="s">
        <v>106</v>
      </c>
      <c r="C51" s="98"/>
      <c r="D51" s="51"/>
      <c r="E51" s="51"/>
      <c r="F51" s="51"/>
      <c r="G51" s="49" t="s">
        <v>196</v>
      </c>
      <c r="H51" s="49">
        <v>16</v>
      </c>
      <c r="I51" s="49" t="s">
        <v>197</v>
      </c>
      <c r="J51" s="49">
        <v>2</v>
      </c>
      <c r="K51" s="52"/>
      <c r="L51" s="52"/>
      <c r="M51" s="47"/>
      <c r="N51" s="50" t="s">
        <v>195</v>
      </c>
      <c r="O51" s="51"/>
      <c r="P51" s="51"/>
      <c r="Q51" s="47"/>
      <c r="R51" s="49">
        <v>0.16</v>
      </c>
      <c r="S51" s="52"/>
      <c r="T51" s="52"/>
      <c r="U51" s="47"/>
      <c r="V51" s="47"/>
      <c r="W51" s="47"/>
      <c r="X51" s="47"/>
    </row>
    <row r="52" spans="1:24" ht="15" x14ac:dyDescent="0.25">
      <c r="A52" s="49">
        <v>48068</v>
      </c>
      <c r="B52" s="97" t="s">
        <v>109</v>
      </c>
      <c r="C52" s="98"/>
      <c r="D52" s="98"/>
      <c r="E52" s="51"/>
      <c r="F52" s="51"/>
      <c r="G52" s="49" t="s">
        <v>196</v>
      </c>
      <c r="H52" s="49">
        <v>0</v>
      </c>
      <c r="I52" s="49" t="s">
        <v>197</v>
      </c>
      <c r="J52" s="49">
        <v>0</v>
      </c>
      <c r="K52" s="52"/>
      <c r="L52" s="52"/>
      <c r="M52" s="47"/>
      <c r="N52" s="50" t="s">
        <v>195</v>
      </c>
      <c r="O52" s="51"/>
      <c r="P52" s="51"/>
      <c r="Q52" s="47"/>
      <c r="R52" s="49">
        <v>0</v>
      </c>
      <c r="S52" s="52"/>
      <c r="T52" s="52"/>
      <c r="U52" s="47"/>
      <c r="V52" s="47"/>
      <c r="W52" s="47"/>
      <c r="X52" s="47"/>
    </row>
    <row r="53" spans="1:24" ht="15" x14ac:dyDescent="0.25">
      <c r="A53" s="49">
        <v>48069</v>
      </c>
      <c r="B53" s="97" t="s">
        <v>110</v>
      </c>
      <c r="C53" s="98"/>
      <c r="D53" s="51"/>
      <c r="E53" s="51"/>
      <c r="F53" s="51"/>
      <c r="G53" s="49" t="s">
        <v>196</v>
      </c>
      <c r="H53" s="49">
        <v>0</v>
      </c>
      <c r="I53" s="49" t="s">
        <v>197</v>
      </c>
      <c r="J53" s="49">
        <v>0</v>
      </c>
      <c r="K53" s="52"/>
      <c r="L53" s="52"/>
      <c r="M53" s="47"/>
      <c r="N53" s="50" t="s">
        <v>195</v>
      </c>
      <c r="O53" s="51"/>
      <c r="P53" s="51"/>
      <c r="Q53" s="47"/>
      <c r="R53" s="49">
        <v>0</v>
      </c>
      <c r="S53" s="52"/>
      <c r="T53" s="52"/>
      <c r="U53" s="47"/>
      <c r="V53" s="47"/>
      <c r="W53" s="47"/>
      <c r="X53" s="47"/>
    </row>
    <row r="54" spans="1:24" ht="15" x14ac:dyDescent="0.25">
      <c r="A54" s="49">
        <v>48080</v>
      </c>
      <c r="B54" s="97" t="s">
        <v>122</v>
      </c>
      <c r="C54" s="98"/>
      <c r="D54" s="51"/>
      <c r="E54" s="51"/>
      <c r="F54" s="51"/>
      <c r="G54" s="49" t="s">
        <v>196</v>
      </c>
      <c r="H54" s="49">
        <v>0</v>
      </c>
      <c r="I54" s="49" t="s">
        <v>197</v>
      </c>
      <c r="J54" s="49">
        <v>0</v>
      </c>
      <c r="K54" s="52"/>
      <c r="L54" s="52"/>
      <c r="M54" s="47"/>
      <c r="N54" s="50" t="s">
        <v>195</v>
      </c>
      <c r="O54" s="51"/>
      <c r="P54" s="51"/>
      <c r="Q54" s="47"/>
      <c r="R54" s="49">
        <v>0</v>
      </c>
      <c r="S54" s="52"/>
      <c r="T54" s="52"/>
      <c r="U54" s="47"/>
      <c r="V54" s="47"/>
      <c r="W54" s="47"/>
      <c r="X54" s="47"/>
    </row>
    <row r="55" spans="1:24" ht="15" x14ac:dyDescent="0.25">
      <c r="A55" s="49">
        <v>48081</v>
      </c>
      <c r="B55" s="97" t="s">
        <v>104</v>
      </c>
      <c r="C55" s="98"/>
      <c r="D55" s="51"/>
      <c r="E55" s="51"/>
      <c r="F55" s="51"/>
      <c r="G55" s="49" t="s">
        <v>196</v>
      </c>
      <c r="H55" s="49">
        <v>8</v>
      </c>
      <c r="I55" s="49" t="s">
        <v>197</v>
      </c>
      <c r="J55" s="49">
        <v>1</v>
      </c>
      <c r="K55" s="52"/>
      <c r="L55" s="52"/>
      <c r="M55" s="47"/>
      <c r="N55" s="50" t="s">
        <v>195</v>
      </c>
      <c r="O55" s="51"/>
      <c r="P55" s="51"/>
      <c r="Q55" s="47"/>
      <c r="R55" s="49">
        <v>0.08</v>
      </c>
      <c r="S55" s="52"/>
      <c r="T55" s="52"/>
      <c r="U55" s="47"/>
      <c r="V55" s="47"/>
      <c r="W55" s="47"/>
      <c r="X55" s="47"/>
    </row>
    <row r="56" spans="1:24" ht="15" x14ac:dyDescent="0.25">
      <c r="A56" s="49">
        <v>48082</v>
      </c>
      <c r="B56" s="97" t="s">
        <v>114</v>
      </c>
      <c r="C56" s="98"/>
      <c r="D56" s="51"/>
      <c r="E56" s="51"/>
      <c r="F56" s="51"/>
      <c r="G56" s="49" t="s">
        <v>196</v>
      </c>
      <c r="H56" s="49">
        <v>0</v>
      </c>
      <c r="I56" s="49" t="s">
        <v>197</v>
      </c>
      <c r="J56" s="49">
        <v>0</v>
      </c>
      <c r="K56" s="52"/>
      <c r="L56" s="52"/>
      <c r="M56" s="47"/>
      <c r="N56" s="50" t="s">
        <v>195</v>
      </c>
      <c r="O56" s="51"/>
      <c r="P56" s="51"/>
      <c r="Q56" s="47"/>
      <c r="R56" s="49">
        <v>0</v>
      </c>
      <c r="S56" s="52"/>
      <c r="T56" s="52"/>
      <c r="U56" s="47"/>
      <c r="V56" s="47"/>
      <c r="W56" s="47"/>
      <c r="X56" s="47"/>
    </row>
    <row r="57" spans="1:24" ht="15" x14ac:dyDescent="0.25">
      <c r="A57" s="49">
        <v>48083</v>
      </c>
      <c r="B57" s="97" t="s">
        <v>142</v>
      </c>
      <c r="C57" s="98"/>
      <c r="D57" s="51"/>
      <c r="E57" s="51"/>
      <c r="F57" s="51"/>
      <c r="G57" s="49" t="s">
        <v>196</v>
      </c>
      <c r="H57" s="49">
        <v>0</v>
      </c>
      <c r="I57" s="49" t="s">
        <v>197</v>
      </c>
      <c r="J57" s="49">
        <v>0</v>
      </c>
      <c r="K57" s="52"/>
      <c r="L57" s="52"/>
      <c r="M57" s="47"/>
      <c r="N57" s="50" t="s">
        <v>195</v>
      </c>
      <c r="O57" s="51"/>
      <c r="P57" s="51"/>
      <c r="Q57" s="47"/>
      <c r="R57" s="49">
        <v>0</v>
      </c>
      <c r="S57" s="52"/>
      <c r="T57" s="52"/>
      <c r="U57" s="47"/>
      <c r="V57" s="47"/>
      <c r="W57" s="47"/>
      <c r="X57" s="47"/>
    </row>
    <row r="58" spans="1:24" ht="15" x14ac:dyDescent="0.25">
      <c r="A58" s="49">
        <v>48084</v>
      </c>
      <c r="B58" s="97" t="s">
        <v>100</v>
      </c>
      <c r="C58" s="98"/>
      <c r="D58" s="98"/>
      <c r="E58" s="51"/>
      <c r="F58" s="51"/>
      <c r="G58" s="49" t="s">
        <v>196</v>
      </c>
      <c r="H58" s="49">
        <v>0</v>
      </c>
      <c r="I58" s="49" t="s">
        <v>197</v>
      </c>
      <c r="J58" s="49">
        <v>0</v>
      </c>
      <c r="K58" s="52"/>
      <c r="L58" s="52"/>
      <c r="M58" s="47"/>
      <c r="N58" s="50" t="s">
        <v>195</v>
      </c>
      <c r="O58" s="51"/>
      <c r="P58" s="51"/>
      <c r="Q58" s="47"/>
      <c r="R58" s="49">
        <v>0</v>
      </c>
      <c r="S58" s="52"/>
      <c r="T58" s="52"/>
      <c r="U58" s="47"/>
      <c r="V58" s="47"/>
      <c r="W58" s="47"/>
      <c r="X58" s="47"/>
    </row>
    <row r="59" spans="1:24" ht="15" x14ac:dyDescent="0.25">
      <c r="A59" s="49">
        <v>48085</v>
      </c>
      <c r="B59" s="97" t="s">
        <v>105</v>
      </c>
      <c r="C59" s="98"/>
      <c r="D59" s="51"/>
      <c r="E59" s="51"/>
      <c r="F59" s="51"/>
      <c r="G59" s="49" t="s">
        <v>196</v>
      </c>
      <c r="H59" s="49">
        <v>0</v>
      </c>
      <c r="I59" s="49" t="s">
        <v>197</v>
      </c>
      <c r="J59" s="49">
        <v>0</v>
      </c>
      <c r="K59" s="52"/>
      <c r="L59" s="52"/>
      <c r="M59" s="47"/>
      <c r="N59" s="50" t="s">
        <v>195</v>
      </c>
      <c r="O59" s="51"/>
      <c r="P59" s="51"/>
      <c r="Q59" s="47"/>
      <c r="R59" s="49">
        <v>0</v>
      </c>
      <c r="S59" s="52"/>
      <c r="T59" s="52"/>
      <c r="U59" s="47"/>
      <c r="V59" s="47"/>
      <c r="W59" s="47"/>
      <c r="X59" s="47"/>
    </row>
    <row r="60" spans="1:24" ht="15" x14ac:dyDescent="0.25">
      <c r="A60" s="49">
        <v>48091</v>
      </c>
      <c r="B60" s="97" t="s">
        <v>103</v>
      </c>
      <c r="C60" s="98"/>
      <c r="D60" s="51"/>
      <c r="E60" s="51"/>
      <c r="F60" s="51"/>
      <c r="G60" s="49" t="s">
        <v>196</v>
      </c>
      <c r="H60" s="49">
        <v>8</v>
      </c>
      <c r="I60" s="49" t="s">
        <v>197</v>
      </c>
      <c r="J60" s="49">
        <v>1</v>
      </c>
      <c r="K60" s="52"/>
      <c r="L60" s="52"/>
      <c r="M60" s="47"/>
      <c r="N60" s="50" t="s">
        <v>195</v>
      </c>
      <c r="O60" s="51"/>
      <c r="P60" s="51"/>
      <c r="Q60" s="47"/>
      <c r="R60" s="49">
        <v>0.08</v>
      </c>
      <c r="S60" s="52"/>
      <c r="T60" s="52"/>
      <c r="U60" s="47"/>
      <c r="V60" s="47"/>
      <c r="W60" s="47"/>
      <c r="X60" s="47"/>
    </row>
    <row r="61" spans="1:24" ht="15" x14ac:dyDescent="0.25">
      <c r="A61" s="47"/>
      <c r="B61" s="47"/>
      <c r="C61" s="47"/>
      <c r="D61" s="47"/>
      <c r="E61" s="47"/>
      <c r="F61" s="47"/>
      <c r="G61" s="48"/>
      <c r="H61" s="47"/>
      <c r="I61" s="48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</row>
    <row r="62" spans="1:24" ht="15" x14ac:dyDescent="0.25">
      <c r="A62" s="55"/>
      <c r="B62" s="55"/>
      <c r="C62" s="55"/>
      <c r="D62" s="55"/>
      <c r="E62" s="55"/>
      <c r="F62" s="55"/>
      <c r="G62" s="57"/>
      <c r="H62" s="55"/>
      <c r="I62" s="57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47"/>
      <c r="W62" s="47"/>
      <c r="X62" s="47"/>
    </row>
    <row r="63" spans="1:24" ht="12.75" x14ac:dyDescent="0.2">
      <c r="A63" s="58" t="s">
        <v>202</v>
      </c>
      <c r="B63" s="58" t="s">
        <v>203</v>
      </c>
      <c r="C63" s="58" t="s">
        <v>204</v>
      </c>
      <c r="D63" s="58" t="s">
        <v>205</v>
      </c>
      <c r="E63" s="58" t="s">
        <v>206</v>
      </c>
      <c r="F63" s="58" t="s">
        <v>5</v>
      </c>
      <c r="G63" s="58" t="s">
        <v>7</v>
      </c>
      <c r="H63" s="58" t="s">
        <v>6</v>
      </c>
      <c r="I63" s="58" t="s">
        <v>207</v>
      </c>
      <c r="J63" s="58" t="s">
        <v>8</v>
      </c>
      <c r="K63" s="58" t="s">
        <v>9</v>
      </c>
      <c r="L63" s="58" t="s">
        <v>208</v>
      </c>
      <c r="M63" s="58" t="s">
        <v>209</v>
      </c>
      <c r="N63" s="58" t="s">
        <v>210</v>
      </c>
      <c r="O63" s="58" t="s">
        <v>211</v>
      </c>
      <c r="P63" s="58" t="s">
        <v>212</v>
      </c>
      <c r="Q63" s="58" t="s">
        <v>213</v>
      </c>
      <c r="R63" s="58" t="s">
        <v>214</v>
      </c>
      <c r="S63" s="58" t="s">
        <v>215</v>
      </c>
      <c r="T63" s="58" t="s">
        <v>216</v>
      </c>
      <c r="U63" s="58" t="s">
        <v>217</v>
      </c>
      <c r="V63" s="58" t="s">
        <v>218</v>
      </c>
    </row>
    <row r="64" spans="1:24" ht="15" x14ac:dyDescent="0.25">
      <c r="A64" s="59">
        <v>47001</v>
      </c>
      <c r="B64" s="59" t="s">
        <v>65</v>
      </c>
      <c r="C64" s="60"/>
      <c r="D64" s="61">
        <v>16</v>
      </c>
      <c r="E64" s="59" t="s">
        <v>219</v>
      </c>
      <c r="F64" s="59" t="s">
        <v>64</v>
      </c>
      <c r="G64" s="59" t="s">
        <v>64</v>
      </c>
      <c r="H64" s="59" t="s">
        <v>66</v>
      </c>
      <c r="I64" s="59" t="s">
        <v>220</v>
      </c>
      <c r="J64" s="63">
        <v>56.59</v>
      </c>
      <c r="K64" s="63">
        <v>905.44</v>
      </c>
      <c r="L64" s="61">
        <v>6</v>
      </c>
      <c r="M64" s="60"/>
      <c r="N64" s="61">
        <v>0.38</v>
      </c>
      <c r="O64" s="63">
        <v>339.54</v>
      </c>
      <c r="P64" s="61">
        <v>101</v>
      </c>
      <c r="Q64" s="63">
        <v>5715.61</v>
      </c>
      <c r="R64" s="60"/>
      <c r="S64" s="61">
        <v>6.3</v>
      </c>
      <c r="T64" s="64">
        <v>1</v>
      </c>
      <c r="U64" s="61">
        <v>0</v>
      </c>
      <c r="V64" s="65"/>
    </row>
    <row r="65" spans="1:22" ht="15" x14ac:dyDescent="0.25">
      <c r="A65" s="66">
        <v>47005</v>
      </c>
      <c r="B65" s="66" t="s">
        <v>68</v>
      </c>
      <c r="C65" s="67"/>
      <c r="D65" s="68">
        <v>24</v>
      </c>
      <c r="E65" s="66" t="s">
        <v>219</v>
      </c>
      <c r="F65" s="66" t="s">
        <v>64</v>
      </c>
      <c r="G65" s="66" t="s">
        <v>64</v>
      </c>
      <c r="H65" s="66" t="s">
        <v>66</v>
      </c>
      <c r="I65" s="66" t="s">
        <v>220</v>
      </c>
      <c r="J65" s="69">
        <v>22.32</v>
      </c>
      <c r="K65" s="69">
        <v>535.58000000000004</v>
      </c>
      <c r="L65" s="68">
        <v>0</v>
      </c>
      <c r="M65" s="67"/>
      <c r="N65" s="68">
        <v>0</v>
      </c>
      <c r="O65" s="69">
        <v>0</v>
      </c>
      <c r="P65" s="68">
        <v>94</v>
      </c>
      <c r="Q65" s="69">
        <v>2097.6999999999998</v>
      </c>
      <c r="R65" s="67"/>
      <c r="S65" s="68">
        <v>3.9</v>
      </c>
      <c r="T65" s="70">
        <v>0</v>
      </c>
      <c r="U65" s="68">
        <v>0</v>
      </c>
      <c r="V65" s="71"/>
    </row>
    <row r="66" spans="1:22" ht="15" x14ac:dyDescent="0.25">
      <c r="A66" s="59">
        <v>47003</v>
      </c>
      <c r="B66" s="59" t="s">
        <v>91</v>
      </c>
      <c r="C66" s="60"/>
      <c r="D66" s="61">
        <v>24</v>
      </c>
      <c r="E66" s="59" t="s">
        <v>219</v>
      </c>
      <c r="F66" s="59" t="s">
        <v>64</v>
      </c>
      <c r="G66" s="59" t="s">
        <v>64</v>
      </c>
      <c r="H66" s="59" t="s">
        <v>66</v>
      </c>
      <c r="I66" s="59" t="s">
        <v>220</v>
      </c>
      <c r="J66" s="63">
        <v>22.32</v>
      </c>
      <c r="K66" s="63">
        <v>535.58000000000004</v>
      </c>
      <c r="L66" s="61">
        <v>207</v>
      </c>
      <c r="M66" s="60"/>
      <c r="N66" s="61">
        <v>8.6300000000000008</v>
      </c>
      <c r="O66" s="63">
        <v>4619.41</v>
      </c>
      <c r="P66" s="61">
        <v>62</v>
      </c>
      <c r="Q66" s="63">
        <v>1383.59</v>
      </c>
      <c r="R66" s="60"/>
      <c r="S66" s="61">
        <v>2.6</v>
      </c>
      <c r="T66" s="61">
        <v>73</v>
      </c>
      <c r="U66" s="61">
        <v>0</v>
      </c>
      <c r="V66" s="65"/>
    </row>
    <row r="67" spans="1:22" ht="15" x14ac:dyDescent="0.25">
      <c r="A67" s="66">
        <v>47010</v>
      </c>
      <c r="B67" s="66" t="s">
        <v>71</v>
      </c>
      <c r="C67" s="67"/>
      <c r="D67" s="68">
        <v>24</v>
      </c>
      <c r="E67" s="66" t="s">
        <v>219</v>
      </c>
      <c r="F67" s="66" t="s">
        <v>64</v>
      </c>
      <c r="G67" s="66" t="s">
        <v>64</v>
      </c>
      <c r="H67" s="66" t="s">
        <v>66</v>
      </c>
      <c r="I67" s="66" t="s">
        <v>220</v>
      </c>
      <c r="J67" s="69">
        <v>48.56</v>
      </c>
      <c r="K67" s="69">
        <v>1165.44</v>
      </c>
      <c r="L67" s="68">
        <v>126</v>
      </c>
      <c r="M67" s="67"/>
      <c r="N67" s="68">
        <v>5.25</v>
      </c>
      <c r="O67" s="69">
        <v>6118.56</v>
      </c>
      <c r="P67" s="68">
        <v>61</v>
      </c>
      <c r="Q67" s="69">
        <v>2962.16</v>
      </c>
      <c r="R67" s="67"/>
      <c r="S67" s="68">
        <v>2.5</v>
      </c>
      <c r="T67" s="68">
        <v>45</v>
      </c>
      <c r="U67" s="68">
        <v>0</v>
      </c>
      <c r="V67" s="71"/>
    </row>
    <row r="68" spans="1:22" ht="15" x14ac:dyDescent="0.25">
      <c r="A68" s="59">
        <v>47002</v>
      </c>
      <c r="B68" s="59" t="s">
        <v>89</v>
      </c>
      <c r="C68" s="60"/>
      <c r="D68" s="61">
        <v>24</v>
      </c>
      <c r="E68" s="59" t="s">
        <v>219</v>
      </c>
      <c r="F68" s="59" t="s">
        <v>64</v>
      </c>
      <c r="G68" s="59" t="s">
        <v>64</v>
      </c>
      <c r="H68" s="59" t="s">
        <v>66</v>
      </c>
      <c r="I68" s="59" t="s">
        <v>220</v>
      </c>
      <c r="J68" s="63">
        <v>22.32</v>
      </c>
      <c r="K68" s="63">
        <v>535.58000000000004</v>
      </c>
      <c r="L68" s="61">
        <v>165</v>
      </c>
      <c r="M68" s="60"/>
      <c r="N68" s="61">
        <v>6.88</v>
      </c>
      <c r="O68" s="63">
        <v>3682.14</v>
      </c>
      <c r="P68" s="61">
        <v>61</v>
      </c>
      <c r="Q68" s="63">
        <v>1361.28</v>
      </c>
      <c r="R68" s="60"/>
      <c r="S68" s="61">
        <v>2.5</v>
      </c>
      <c r="T68" s="61">
        <v>60</v>
      </c>
      <c r="U68" s="61">
        <v>0</v>
      </c>
      <c r="V68" s="65"/>
    </row>
    <row r="69" spans="1:22" ht="15" x14ac:dyDescent="0.25">
      <c r="A69" s="66">
        <v>47012</v>
      </c>
      <c r="B69" s="66" t="s">
        <v>74</v>
      </c>
      <c r="C69" s="67"/>
      <c r="D69" s="68">
        <v>18</v>
      </c>
      <c r="E69" s="66" t="s">
        <v>219</v>
      </c>
      <c r="F69" s="66" t="s">
        <v>64</v>
      </c>
      <c r="G69" s="66" t="s">
        <v>64</v>
      </c>
      <c r="H69" s="66" t="s">
        <v>66</v>
      </c>
      <c r="I69" s="66" t="s">
        <v>220</v>
      </c>
      <c r="J69" s="69">
        <v>58.84</v>
      </c>
      <c r="K69" s="69">
        <v>1059.08</v>
      </c>
      <c r="L69" s="68">
        <v>377</v>
      </c>
      <c r="M69" s="67"/>
      <c r="N69" s="68">
        <v>20.94</v>
      </c>
      <c r="O69" s="69">
        <v>22181.89</v>
      </c>
      <c r="P69" s="68">
        <v>45</v>
      </c>
      <c r="Q69" s="69">
        <v>2647.71</v>
      </c>
      <c r="R69" s="67"/>
      <c r="S69" s="68">
        <v>2.5</v>
      </c>
      <c r="T69" s="72">
        <v>184</v>
      </c>
      <c r="U69" s="68">
        <v>0</v>
      </c>
      <c r="V69" s="71"/>
    </row>
    <row r="70" spans="1:22" ht="15" x14ac:dyDescent="0.25">
      <c r="A70" s="59">
        <v>47000</v>
      </c>
      <c r="B70" s="59" t="s">
        <v>85</v>
      </c>
      <c r="C70" s="60"/>
      <c r="D70" s="61">
        <v>16</v>
      </c>
      <c r="E70" s="59" t="s">
        <v>219</v>
      </c>
      <c r="F70" s="59" t="s">
        <v>64</v>
      </c>
      <c r="G70" s="59" t="s">
        <v>64</v>
      </c>
      <c r="H70" s="59" t="s">
        <v>66</v>
      </c>
      <c r="I70" s="59" t="s">
        <v>220</v>
      </c>
      <c r="J70" s="63">
        <v>56.59</v>
      </c>
      <c r="K70" s="63">
        <v>905.44</v>
      </c>
      <c r="L70" s="61">
        <v>197</v>
      </c>
      <c r="M70" s="60"/>
      <c r="N70" s="61">
        <v>12.31</v>
      </c>
      <c r="O70" s="63">
        <v>11148.23</v>
      </c>
      <c r="P70" s="61">
        <v>39</v>
      </c>
      <c r="Q70" s="63">
        <v>2207.0100000000002</v>
      </c>
      <c r="R70" s="60"/>
      <c r="S70" s="61">
        <v>2.4</v>
      </c>
      <c r="T70" s="61">
        <v>111</v>
      </c>
      <c r="U70" s="61">
        <v>0</v>
      </c>
      <c r="V70" s="65"/>
    </row>
    <row r="71" spans="1:22" ht="15" x14ac:dyDescent="0.25">
      <c r="A71" s="66">
        <v>47008</v>
      </c>
      <c r="B71" s="66" t="s">
        <v>93</v>
      </c>
      <c r="C71" s="67"/>
      <c r="D71" s="68">
        <v>24</v>
      </c>
      <c r="E71" s="66" t="s">
        <v>219</v>
      </c>
      <c r="F71" s="66" t="s">
        <v>64</v>
      </c>
      <c r="G71" s="66" t="s">
        <v>64</v>
      </c>
      <c r="H71" s="66" t="s">
        <v>66</v>
      </c>
      <c r="I71" s="66" t="s">
        <v>220</v>
      </c>
      <c r="J71" s="69">
        <v>35.74</v>
      </c>
      <c r="K71" s="69">
        <v>857.76</v>
      </c>
      <c r="L71" s="68">
        <v>425</v>
      </c>
      <c r="M71" s="67"/>
      <c r="N71" s="68">
        <v>17.71</v>
      </c>
      <c r="O71" s="69">
        <v>15189.5</v>
      </c>
      <c r="P71" s="68">
        <v>34</v>
      </c>
      <c r="Q71" s="69">
        <v>1215.1600000000001</v>
      </c>
      <c r="R71" s="67"/>
      <c r="S71" s="68">
        <v>1.4</v>
      </c>
      <c r="T71" s="72">
        <v>275</v>
      </c>
      <c r="U71" s="68">
        <v>0</v>
      </c>
      <c r="V71" s="71"/>
    </row>
    <row r="72" spans="1:22" ht="15" x14ac:dyDescent="0.25">
      <c r="A72" s="59">
        <v>47046</v>
      </c>
      <c r="B72" s="59" t="s">
        <v>78</v>
      </c>
      <c r="C72" s="60"/>
      <c r="D72" s="61">
        <v>24</v>
      </c>
      <c r="E72" s="59" t="s">
        <v>219</v>
      </c>
      <c r="F72" s="59" t="s">
        <v>64</v>
      </c>
      <c r="G72" s="59" t="s">
        <v>64</v>
      </c>
      <c r="H72" s="59" t="s">
        <v>66</v>
      </c>
      <c r="I72" s="59" t="s">
        <v>220</v>
      </c>
      <c r="J72" s="63">
        <v>39.11</v>
      </c>
      <c r="K72" s="63">
        <v>938.64</v>
      </c>
      <c r="L72" s="61">
        <v>31</v>
      </c>
      <c r="M72" s="60"/>
      <c r="N72" s="61">
        <v>1.29</v>
      </c>
      <c r="O72" s="63">
        <v>1212.4100000000001</v>
      </c>
      <c r="P72" s="61">
        <v>32</v>
      </c>
      <c r="Q72" s="63">
        <v>1251.52</v>
      </c>
      <c r="R72" s="60"/>
      <c r="S72" s="61">
        <v>1.3</v>
      </c>
      <c r="T72" s="61">
        <v>21</v>
      </c>
      <c r="U72" s="61">
        <v>0</v>
      </c>
      <c r="V72" s="65"/>
    </row>
    <row r="73" spans="1:22" ht="15" x14ac:dyDescent="0.25">
      <c r="A73" s="66">
        <v>47039</v>
      </c>
      <c r="B73" s="66" t="s">
        <v>79</v>
      </c>
      <c r="C73" s="67"/>
      <c r="D73" s="68">
        <v>24</v>
      </c>
      <c r="E73" s="66" t="s">
        <v>219</v>
      </c>
      <c r="F73" s="66" t="s">
        <v>64</v>
      </c>
      <c r="G73" s="66" t="s">
        <v>64</v>
      </c>
      <c r="H73" s="66" t="s">
        <v>66</v>
      </c>
      <c r="I73" s="66" t="s">
        <v>220</v>
      </c>
      <c r="J73" s="69">
        <v>52.26</v>
      </c>
      <c r="K73" s="69">
        <v>1254.22</v>
      </c>
      <c r="L73" s="68">
        <v>439</v>
      </c>
      <c r="M73" s="67"/>
      <c r="N73" s="68">
        <v>18.29</v>
      </c>
      <c r="O73" s="69">
        <v>22941.7</v>
      </c>
      <c r="P73" s="68">
        <v>27</v>
      </c>
      <c r="Q73" s="69">
        <v>1410.99</v>
      </c>
      <c r="R73" s="67"/>
      <c r="S73" s="68">
        <v>1.1000000000000001</v>
      </c>
      <c r="T73" s="72">
        <v>358</v>
      </c>
      <c r="U73" s="68">
        <v>0</v>
      </c>
      <c r="V73" s="71"/>
    </row>
    <row r="74" spans="1:22" ht="15" x14ac:dyDescent="0.25">
      <c r="A74" s="59">
        <v>47004</v>
      </c>
      <c r="B74" s="59" t="s">
        <v>86</v>
      </c>
      <c r="C74" s="60"/>
      <c r="D74" s="61">
        <v>24</v>
      </c>
      <c r="E74" s="59" t="s">
        <v>219</v>
      </c>
      <c r="F74" s="59" t="s">
        <v>64</v>
      </c>
      <c r="G74" s="59" t="s">
        <v>64</v>
      </c>
      <c r="H74" s="59" t="s">
        <v>66</v>
      </c>
      <c r="I74" s="59" t="s">
        <v>220</v>
      </c>
      <c r="J74" s="63">
        <v>22.32</v>
      </c>
      <c r="K74" s="63">
        <v>535.58000000000004</v>
      </c>
      <c r="L74" s="61">
        <v>276</v>
      </c>
      <c r="M74" s="60"/>
      <c r="N74" s="61">
        <v>11.5</v>
      </c>
      <c r="O74" s="63">
        <v>6159.22</v>
      </c>
      <c r="P74" s="61">
        <v>26</v>
      </c>
      <c r="Q74" s="63">
        <v>580.22</v>
      </c>
      <c r="R74" s="60"/>
      <c r="S74" s="61">
        <v>1.1000000000000001</v>
      </c>
      <c r="T74" s="73">
        <v>234</v>
      </c>
      <c r="U74" s="61">
        <v>0</v>
      </c>
      <c r="V74" s="65"/>
    </row>
    <row r="75" spans="1:22" ht="15" x14ac:dyDescent="0.25">
      <c r="A75" s="66">
        <v>47029</v>
      </c>
      <c r="B75" s="66" t="s">
        <v>94</v>
      </c>
      <c r="C75" s="67"/>
      <c r="D75" s="68">
        <v>24</v>
      </c>
      <c r="E75" s="66" t="s">
        <v>219</v>
      </c>
      <c r="F75" s="66" t="s">
        <v>64</v>
      </c>
      <c r="G75" s="66" t="s">
        <v>64</v>
      </c>
      <c r="H75" s="66" t="s">
        <v>66</v>
      </c>
      <c r="I75" s="66" t="s">
        <v>222</v>
      </c>
      <c r="J75" s="69">
        <v>41.26</v>
      </c>
      <c r="K75" s="69">
        <v>990.24</v>
      </c>
      <c r="L75" s="68">
        <v>137</v>
      </c>
      <c r="M75" s="67"/>
      <c r="N75" s="68">
        <v>5.71</v>
      </c>
      <c r="O75" s="69">
        <v>5652.62</v>
      </c>
      <c r="P75" s="68">
        <v>19</v>
      </c>
      <c r="Q75" s="69">
        <v>783.94</v>
      </c>
      <c r="R75" s="67"/>
      <c r="S75" s="68">
        <v>0.8</v>
      </c>
      <c r="T75" s="72">
        <v>159</v>
      </c>
      <c r="U75" s="68">
        <v>0</v>
      </c>
      <c r="V75" s="71"/>
    </row>
    <row r="76" spans="1:22" ht="15" x14ac:dyDescent="0.25">
      <c r="A76" s="59">
        <v>47023</v>
      </c>
      <c r="B76" s="59" t="s">
        <v>76</v>
      </c>
      <c r="C76" s="60"/>
      <c r="D76" s="61">
        <v>8</v>
      </c>
      <c r="E76" s="59" t="s">
        <v>219</v>
      </c>
      <c r="F76" s="59" t="s">
        <v>64</v>
      </c>
      <c r="G76" s="59" t="s">
        <v>64</v>
      </c>
      <c r="H76" s="59" t="s">
        <v>66</v>
      </c>
      <c r="I76" s="59" t="s">
        <v>220</v>
      </c>
      <c r="J76" s="63">
        <v>105.55</v>
      </c>
      <c r="K76" s="63">
        <v>844.4</v>
      </c>
      <c r="L76" s="61">
        <v>241</v>
      </c>
      <c r="M76" s="60"/>
      <c r="N76" s="61">
        <v>30.13</v>
      </c>
      <c r="O76" s="63">
        <v>25437.55</v>
      </c>
      <c r="P76" s="61">
        <v>16</v>
      </c>
      <c r="Q76" s="63">
        <v>1688.8</v>
      </c>
      <c r="R76" s="60"/>
      <c r="S76" s="61">
        <v>2</v>
      </c>
      <c r="T76" s="73">
        <v>331</v>
      </c>
      <c r="U76" s="61">
        <v>0</v>
      </c>
      <c r="V76" s="65"/>
    </row>
    <row r="77" spans="1:22" ht="15" x14ac:dyDescent="0.25">
      <c r="A77" s="66">
        <v>47038</v>
      </c>
      <c r="B77" s="66" t="s">
        <v>90</v>
      </c>
      <c r="C77" s="67"/>
      <c r="D77" s="68">
        <v>28</v>
      </c>
      <c r="E77" s="66" t="s">
        <v>219</v>
      </c>
      <c r="F77" s="66" t="s">
        <v>64</v>
      </c>
      <c r="G77" s="66" t="s">
        <v>64</v>
      </c>
      <c r="H77" s="66" t="s">
        <v>66</v>
      </c>
      <c r="I77" s="66" t="s">
        <v>220</v>
      </c>
      <c r="J77" s="69">
        <v>26.59</v>
      </c>
      <c r="K77" s="69">
        <v>744.52</v>
      </c>
      <c r="L77" s="68">
        <v>400</v>
      </c>
      <c r="M77" s="67"/>
      <c r="N77" s="68">
        <v>14.29</v>
      </c>
      <c r="O77" s="69">
        <v>10636</v>
      </c>
      <c r="P77" s="68">
        <v>13</v>
      </c>
      <c r="Q77" s="69">
        <v>345.67</v>
      </c>
      <c r="R77" s="67"/>
      <c r="S77" s="68">
        <v>0.5</v>
      </c>
      <c r="T77" s="72">
        <v>677</v>
      </c>
      <c r="U77" s="68">
        <v>0</v>
      </c>
      <c r="V77" s="71"/>
    </row>
    <row r="78" spans="1:22" ht="15" x14ac:dyDescent="0.25">
      <c r="A78" s="59">
        <v>47027</v>
      </c>
      <c r="B78" s="59" t="s">
        <v>95</v>
      </c>
      <c r="C78" s="60"/>
      <c r="D78" s="61">
        <v>16</v>
      </c>
      <c r="E78" s="59" t="s">
        <v>219</v>
      </c>
      <c r="F78" s="60"/>
      <c r="G78" s="59" t="s">
        <v>64</v>
      </c>
      <c r="H78" s="59" t="s">
        <v>67</v>
      </c>
      <c r="I78" s="59" t="s">
        <v>222</v>
      </c>
      <c r="J78" s="63">
        <v>56.59</v>
      </c>
      <c r="K78" s="63">
        <v>905.44</v>
      </c>
      <c r="L78" s="61">
        <v>0</v>
      </c>
      <c r="M78" s="60"/>
      <c r="N78" s="61">
        <v>0</v>
      </c>
      <c r="O78" s="63">
        <v>0</v>
      </c>
      <c r="P78" s="61">
        <v>13</v>
      </c>
      <c r="Q78" s="63">
        <v>735.67</v>
      </c>
      <c r="R78" s="60"/>
      <c r="S78" s="61">
        <v>0.8</v>
      </c>
      <c r="T78" s="64">
        <v>0</v>
      </c>
      <c r="U78" s="61">
        <v>0</v>
      </c>
      <c r="V78" s="65"/>
    </row>
    <row r="79" spans="1:22" ht="15" x14ac:dyDescent="0.25">
      <c r="A79" s="66">
        <v>47017</v>
      </c>
      <c r="B79" s="66" t="s">
        <v>175</v>
      </c>
      <c r="C79" s="67"/>
      <c r="D79" s="68">
        <v>24</v>
      </c>
      <c r="E79" s="66" t="s">
        <v>219</v>
      </c>
      <c r="F79" s="66" t="s">
        <v>64</v>
      </c>
      <c r="G79" s="66" t="s">
        <v>64</v>
      </c>
      <c r="H79" s="66" t="s">
        <v>66</v>
      </c>
      <c r="I79" s="66" t="s">
        <v>223</v>
      </c>
      <c r="J79" s="69">
        <v>52.74</v>
      </c>
      <c r="K79" s="69">
        <v>1265.78</v>
      </c>
      <c r="L79" s="68">
        <v>35</v>
      </c>
      <c r="M79" s="67"/>
      <c r="N79" s="68">
        <v>1.46</v>
      </c>
      <c r="O79" s="69">
        <v>1845.94</v>
      </c>
      <c r="P79" s="68">
        <v>12</v>
      </c>
      <c r="Q79" s="69">
        <v>632.89</v>
      </c>
      <c r="R79" s="67"/>
      <c r="S79" s="68">
        <v>0.5</v>
      </c>
      <c r="T79" s="68">
        <v>64</v>
      </c>
      <c r="U79" s="68">
        <v>0</v>
      </c>
      <c r="V79" s="71"/>
    </row>
    <row r="80" spans="1:22" ht="15" x14ac:dyDescent="0.25">
      <c r="A80" s="59">
        <v>47024</v>
      </c>
      <c r="B80" s="59" t="s">
        <v>88</v>
      </c>
      <c r="C80" s="60"/>
      <c r="D80" s="61">
        <v>12</v>
      </c>
      <c r="E80" s="59" t="s">
        <v>219</v>
      </c>
      <c r="F80" s="59" t="s">
        <v>64</v>
      </c>
      <c r="G80" s="59" t="s">
        <v>64</v>
      </c>
      <c r="H80" s="59" t="s">
        <v>66</v>
      </c>
      <c r="I80" s="59" t="s">
        <v>222</v>
      </c>
      <c r="J80" s="63">
        <v>135.38999999999999</v>
      </c>
      <c r="K80" s="63">
        <v>1624.68</v>
      </c>
      <c r="L80" s="61">
        <v>41</v>
      </c>
      <c r="M80" s="60"/>
      <c r="N80" s="61">
        <v>3.42</v>
      </c>
      <c r="O80" s="63">
        <v>5550.99</v>
      </c>
      <c r="P80" s="61">
        <v>4</v>
      </c>
      <c r="Q80" s="63">
        <v>541.55999999999995</v>
      </c>
      <c r="R80" s="60"/>
      <c r="S80" s="61">
        <v>0.3</v>
      </c>
      <c r="T80" s="73">
        <v>226</v>
      </c>
      <c r="U80" s="61">
        <v>0</v>
      </c>
      <c r="V80" s="65"/>
    </row>
    <row r="81" spans="1:22" ht="15" x14ac:dyDescent="0.25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5">
        <v>3103</v>
      </c>
      <c r="M81" s="76">
        <v>0</v>
      </c>
      <c r="N81" s="76">
        <v>158.19</v>
      </c>
      <c r="O81" s="77">
        <v>142715.70000000001</v>
      </c>
      <c r="P81" s="76">
        <v>659</v>
      </c>
      <c r="Q81" s="77">
        <v>27561.48</v>
      </c>
      <c r="R81" s="76">
        <v>0</v>
      </c>
      <c r="S81" s="76">
        <v>32.700000000000003</v>
      </c>
      <c r="T81" s="74"/>
      <c r="U81" s="76">
        <v>0</v>
      </c>
      <c r="V81" s="74"/>
    </row>
    <row r="82" spans="1:22" ht="12.75" x14ac:dyDescent="0.2">
      <c r="G82" s="78"/>
      <c r="I82" s="78"/>
    </row>
    <row r="83" spans="1:22" ht="12.75" x14ac:dyDescent="0.2">
      <c r="G83" s="78"/>
      <c r="I83" s="78"/>
    </row>
    <row r="84" spans="1:22" ht="12.75" x14ac:dyDescent="0.2">
      <c r="G84" s="78"/>
      <c r="I84" s="78"/>
    </row>
    <row r="85" spans="1:22" ht="12.75" x14ac:dyDescent="0.2">
      <c r="G85" s="78"/>
      <c r="I85" s="78"/>
    </row>
    <row r="86" spans="1:22" ht="12.75" x14ac:dyDescent="0.2">
      <c r="G86" s="78"/>
      <c r="I86" s="78"/>
    </row>
    <row r="87" spans="1:22" ht="12.75" x14ac:dyDescent="0.2">
      <c r="G87" s="78"/>
      <c r="I87" s="78"/>
    </row>
    <row r="88" spans="1:22" ht="12.75" x14ac:dyDescent="0.2">
      <c r="G88" s="78"/>
      <c r="I88" s="78"/>
    </row>
    <row r="89" spans="1:22" ht="12.75" x14ac:dyDescent="0.2">
      <c r="G89" s="78"/>
      <c r="I89" s="78"/>
    </row>
    <row r="90" spans="1:22" ht="12.75" x14ac:dyDescent="0.2">
      <c r="G90" s="78"/>
      <c r="I90" s="78"/>
    </row>
    <row r="91" spans="1:22" ht="12.75" x14ac:dyDescent="0.2">
      <c r="G91" s="78"/>
      <c r="I91" s="78"/>
    </row>
    <row r="92" spans="1:22" ht="12.75" x14ac:dyDescent="0.2">
      <c r="G92" s="78"/>
      <c r="I92" s="78"/>
    </row>
    <row r="93" spans="1:22" ht="12.75" x14ac:dyDescent="0.2">
      <c r="G93" s="78"/>
      <c r="I93" s="78"/>
    </row>
    <row r="94" spans="1:22" ht="12.75" x14ac:dyDescent="0.2">
      <c r="G94" s="78"/>
      <c r="I94" s="78"/>
    </row>
    <row r="95" spans="1:22" ht="12.75" x14ac:dyDescent="0.2">
      <c r="G95" s="78"/>
      <c r="I95" s="78"/>
    </row>
    <row r="96" spans="1:22" ht="12.75" x14ac:dyDescent="0.2">
      <c r="G96" s="78"/>
      <c r="I96" s="78"/>
    </row>
    <row r="97" spans="7:9" ht="12.75" x14ac:dyDescent="0.2">
      <c r="G97" s="78"/>
      <c r="I97" s="78"/>
    </row>
    <row r="98" spans="7:9" ht="12.75" x14ac:dyDescent="0.2">
      <c r="G98" s="78"/>
      <c r="I98" s="78"/>
    </row>
    <row r="99" spans="7:9" ht="12.75" x14ac:dyDescent="0.2">
      <c r="G99" s="78"/>
      <c r="I99" s="78"/>
    </row>
    <row r="100" spans="7:9" ht="12.75" x14ac:dyDescent="0.2">
      <c r="G100" s="78"/>
      <c r="I100" s="78"/>
    </row>
    <row r="101" spans="7:9" ht="12.75" x14ac:dyDescent="0.2">
      <c r="G101" s="78"/>
      <c r="I101" s="78"/>
    </row>
    <row r="102" spans="7:9" ht="12.75" x14ac:dyDescent="0.2">
      <c r="G102" s="78"/>
      <c r="I102" s="78"/>
    </row>
    <row r="103" spans="7:9" ht="12.75" x14ac:dyDescent="0.2">
      <c r="G103" s="78"/>
      <c r="I103" s="78"/>
    </row>
    <row r="104" spans="7:9" ht="12.75" x14ac:dyDescent="0.2">
      <c r="G104" s="78"/>
      <c r="I104" s="78"/>
    </row>
    <row r="105" spans="7:9" ht="12.75" x14ac:dyDescent="0.2">
      <c r="G105" s="78"/>
      <c r="I105" s="78"/>
    </row>
    <row r="106" spans="7:9" ht="12.75" x14ac:dyDescent="0.2">
      <c r="G106" s="78"/>
      <c r="I106" s="78"/>
    </row>
    <row r="107" spans="7:9" ht="12.75" x14ac:dyDescent="0.2">
      <c r="G107" s="78"/>
      <c r="I107" s="78"/>
    </row>
    <row r="108" spans="7:9" ht="12.75" x14ac:dyDescent="0.2">
      <c r="G108" s="78"/>
      <c r="I108" s="78"/>
    </row>
    <row r="109" spans="7:9" ht="12.75" x14ac:dyDescent="0.2">
      <c r="G109" s="78"/>
      <c r="I109" s="78"/>
    </row>
    <row r="110" spans="7:9" ht="12.75" x14ac:dyDescent="0.2">
      <c r="G110" s="78"/>
      <c r="I110" s="78"/>
    </row>
    <row r="111" spans="7:9" ht="12.75" x14ac:dyDescent="0.2">
      <c r="G111" s="78"/>
      <c r="I111" s="78"/>
    </row>
    <row r="112" spans="7:9" ht="12.75" x14ac:dyDescent="0.2">
      <c r="G112" s="78"/>
      <c r="I112" s="78"/>
    </row>
    <row r="113" spans="7:9" ht="12.75" x14ac:dyDescent="0.2">
      <c r="G113" s="78"/>
      <c r="I113" s="78"/>
    </row>
    <row r="114" spans="7:9" ht="12.75" x14ac:dyDescent="0.2">
      <c r="G114" s="78"/>
      <c r="I114" s="78"/>
    </row>
    <row r="115" spans="7:9" ht="12.75" x14ac:dyDescent="0.2">
      <c r="G115" s="78"/>
      <c r="I115" s="78"/>
    </row>
    <row r="116" spans="7:9" ht="12.75" x14ac:dyDescent="0.2">
      <c r="G116" s="78"/>
      <c r="I116" s="78"/>
    </row>
    <row r="117" spans="7:9" ht="12.75" x14ac:dyDescent="0.2">
      <c r="G117" s="78"/>
      <c r="I117" s="78"/>
    </row>
    <row r="118" spans="7:9" ht="12.75" x14ac:dyDescent="0.2">
      <c r="G118" s="78"/>
      <c r="I118" s="78"/>
    </row>
    <row r="119" spans="7:9" ht="12.75" x14ac:dyDescent="0.2">
      <c r="G119" s="78"/>
      <c r="I119" s="78"/>
    </row>
    <row r="120" spans="7:9" ht="12.75" x14ac:dyDescent="0.2">
      <c r="G120" s="78"/>
      <c r="I120" s="78"/>
    </row>
    <row r="121" spans="7:9" ht="12.75" x14ac:dyDescent="0.2">
      <c r="G121" s="78"/>
      <c r="I121" s="78"/>
    </row>
    <row r="122" spans="7:9" ht="12.75" x14ac:dyDescent="0.2">
      <c r="G122" s="78"/>
      <c r="I122" s="78"/>
    </row>
    <row r="123" spans="7:9" ht="12.75" x14ac:dyDescent="0.2">
      <c r="G123" s="78"/>
      <c r="I123" s="78"/>
    </row>
    <row r="124" spans="7:9" ht="12.75" x14ac:dyDescent="0.2">
      <c r="G124" s="78"/>
      <c r="I124" s="78"/>
    </row>
    <row r="125" spans="7:9" ht="12.75" x14ac:dyDescent="0.2">
      <c r="G125" s="78"/>
      <c r="I125" s="78"/>
    </row>
    <row r="126" spans="7:9" ht="12.75" x14ac:dyDescent="0.2">
      <c r="G126" s="78"/>
      <c r="I126" s="78"/>
    </row>
    <row r="127" spans="7:9" ht="12.75" x14ac:dyDescent="0.2">
      <c r="G127" s="78"/>
      <c r="I127" s="78"/>
    </row>
    <row r="128" spans="7:9" ht="12.75" x14ac:dyDescent="0.2">
      <c r="G128" s="78"/>
      <c r="I128" s="78"/>
    </row>
    <row r="129" spans="7:9" ht="12.75" x14ac:dyDescent="0.2">
      <c r="G129" s="78"/>
      <c r="I129" s="78"/>
    </row>
    <row r="130" spans="7:9" ht="12.75" x14ac:dyDescent="0.2">
      <c r="G130" s="78"/>
      <c r="I130" s="78"/>
    </row>
    <row r="131" spans="7:9" ht="12.75" x14ac:dyDescent="0.2">
      <c r="G131" s="78"/>
      <c r="I131" s="78"/>
    </row>
    <row r="132" spans="7:9" ht="12.75" x14ac:dyDescent="0.2">
      <c r="G132" s="78"/>
      <c r="I132" s="78"/>
    </row>
    <row r="133" spans="7:9" ht="12.75" x14ac:dyDescent="0.2">
      <c r="G133" s="78"/>
      <c r="I133" s="78"/>
    </row>
    <row r="134" spans="7:9" ht="12.75" x14ac:dyDescent="0.2">
      <c r="G134" s="78"/>
      <c r="I134" s="78"/>
    </row>
    <row r="135" spans="7:9" ht="12.75" x14ac:dyDescent="0.2">
      <c r="G135" s="78"/>
      <c r="I135" s="78"/>
    </row>
    <row r="136" spans="7:9" ht="12.75" x14ac:dyDescent="0.2">
      <c r="G136" s="78"/>
      <c r="I136" s="78"/>
    </row>
    <row r="137" spans="7:9" ht="12.75" x14ac:dyDescent="0.2">
      <c r="G137" s="78"/>
      <c r="I137" s="78"/>
    </row>
    <row r="138" spans="7:9" ht="12.75" x14ac:dyDescent="0.2">
      <c r="G138" s="78"/>
      <c r="I138" s="78"/>
    </row>
    <row r="139" spans="7:9" ht="12.75" x14ac:dyDescent="0.2">
      <c r="G139" s="78"/>
      <c r="I139" s="78"/>
    </row>
    <row r="140" spans="7:9" ht="12.75" x14ac:dyDescent="0.2">
      <c r="G140" s="78"/>
      <c r="I140" s="78"/>
    </row>
    <row r="141" spans="7:9" ht="12.75" x14ac:dyDescent="0.2">
      <c r="G141" s="78"/>
      <c r="I141" s="78"/>
    </row>
    <row r="142" spans="7:9" ht="12.75" x14ac:dyDescent="0.2">
      <c r="G142" s="78"/>
      <c r="I142" s="78"/>
    </row>
    <row r="143" spans="7:9" ht="12.75" x14ac:dyDescent="0.2">
      <c r="G143" s="78"/>
      <c r="I143" s="78"/>
    </row>
    <row r="144" spans="7:9" ht="12.75" x14ac:dyDescent="0.2">
      <c r="G144" s="78"/>
      <c r="I144" s="78"/>
    </row>
    <row r="145" spans="7:9" ht="12.75" x14ac:dyDescent="0.2">
      <c r="G145" s="78"/>
      <c r="I145" s="78"/>
    </row>
    <row r="146" spans="7:9" ht="12.75" x14ac:dyDescent="0.2">
      <c r="G146" s="78"/>
      <c r="I146" s="78"/>
    </row>
    <row r="147" spans="7:9" ht="12.75" x14ac:dyDescent="0.2">
      <c r="G147" s="78"/>
      <c r="I147" s="78"/>
    </row>
    <row r="148" spans="7:9" ht="12.75" x14ac:dyDescent="0.2">
      <c r="G148" s="78"/>
      <c r="I148" s="78"/>
    </row>
    <row r="149" spans="7:9" ht="12.75" x14ac:dyDescent="0.2">
      <c r="G149" s="78"/>
      <c r="I149" s="78"/>
    </row>
    <row r="150" spans="7:9" ht="12.75" x14ac:dyDescent="0.2">
      <c r="G150" s="78"/>
      <c r="I150" s="78"/>
    </row>
    <row r="151" spans="7:9" ht="12.75" x14ac:dyDescent="0.2">
      <c r="G151" s="78"/>
      <c r="I151" s="78"/>
    </row>
    <row r="152" spans="7:9" ht="12.75" x14ac:dyDescent="0.2">
      <c r="G152" s="78"/>
      <c r="I152" s="78"/>
    </row>
    <row r="153" spans="7:9" ht="12.75" x14ac:dyDescent="0.2">
      <c r="G153" s="78"/>
      <c r="I153" s="78"/>
    </row>
    <row r="154" spans="7:9" ht="12.75" x14ac:dyDescent="0.2">
      <c r="G154" s="78"/>
      <c r="I154" s="78"/>
    </row>
    <row r="155" spans="7:9" ht="12.75" x14ac:dyDescent="0.2">
      <c r="G155" s="78"/>
      <c r="I155" s="78"/>
    </row>
    <row r="156" spans="7:9" ht="12.75" x14ac:dyDescent="0.2">
      <c r="G156" s="78"/>
      <c r="I156" s="78"/>
    </row>
    <row r="157" spans="7:9" ht="12.75" x14ac:dyDescent="0.2">
      <c r="G157" s="78"/>
      <c r="I157" s="78"/>
    </row>
    <row r="158" spans="7:9" ht="12.75" x14ac:dyDescent="0.2">
      <c r="G158" s="78"/>
      <c r="I158" s="78"/>
    </row>
    <row r="159" spans="7:9" ht="12.75" x14ac:dyDescent="0.2">
      <c r="G159" s="78"/>
      <c r="I159" s="78"/>
    </row>
    <row r="160" spans="7:9" ht="12.75" x14ac:dyDescent="0.2">
      <c r="G160" s="78"/>
      <c r="I160" s="78"/>
    </row>
    <row r="161" spans="7:9" ht="12.75" x14ac:dyDescent="0.2">
      <c r="G161" s="78"/>
      <c r="I161" s="78"/>
    </row>
    <row r="162" spans="7:9" ht="12.75" x14ac:dyDescent="0.2">
      <c r="G162" s="78"/>
      <c r="I162" s="78"/>
    </row>
    <row r="163" spans="7:9" ht="12.75" x14ac:dyDescent="0.2">
      <c r="G163" s="78"/>
      <c r="I163" s="78"/>
    </row>
    <row r="164" spans="7:9" ht="12.75" x14ac:dyDescent="0.2">
      <c r="G164" s="78"/>
      <c r="I164" s="78"/>
    </row>
    <row r="165" spans="7:9" ht="12.75" x14ac:dyDescent="0.2">
      <c r="G165" s="78"/>
      <c r="I165" s="78"/>
    </row>
    <row r="166" spans="7:9" ht="12.75" x14ac:dyDescent="0.2">
      <c r="G166" s="78"/>
      <c r="I166" s="78"/>
    </row>
    <row r="167" spans="7:9" ht="12.75" x14ac:dyDescent="0.2">
      <c r="G167" s="78"/>
      <c r="I167" s="78"/>
    </row>
    <row r="168" spans="7:9" ht="12.75" x14ac:dyDescent="0.2">
      <c r="G168" s="78"/>
      <c r="I168" s="78"/>
    </row>
    <row r="169" spans="7:9" ht="12.75" x14ac:dyDescent="0.2">
      <c r="G169" s="78"/>
      <c r="I169" s="78"/>
    </row>
    <row r="170" spans="7:9" ht="12.75" x14ac:dyDescent="0.2">
      <c r="G170" s="78"/>
      <c r="I170" s="78"/>
    </row>
    <row r="171" spans="7:9" ht="12.75" x14ac:dyDescent="0.2">
      <c r="G171" s="78"/>
      <c r="I171" s="78"/>
    </row>
    <row r="172" spans="7:9" ht="12.75" x14ac:dyDescent="0.2">
      <c r="G172" s="78"/>
      <c r="I172" s="78"/>
    </row>
    <row r="173" spans="7:9" ht="12.75" x14ac:dyDescent="0.2">
      <c r="G173" s="78"/>
      <c r="I173" s="78"/>
    </row>
    <row r="174" spans="7:9" ht="12.75" x14ac:dyDescent="0.2">
      <c r="G174" s="78"/>
      <c r="I174" s="78"/>
    </row>
    <row r="175" spans="7:9" ht="12.75" x14ac:dyDescent="0.2">
      <c r="G175" s="78"/>
      <c r="I175" s="78"/>
    </row>
    <row r="176" spans="7:9" ht="12.75" x14ac:dyDescent="0.2">
      <c r="G176" s="78"/>
      <c r="I176" s="78"/>
    </row>
    <row r="177" spans="7:9" ht="12.75" x14ac:dyDescent="0.2">
      <c r="G177" s="78"/>
      <c r="I177" s="78"/>
    </row>
    <row r="178" spans="7:9" ht="12.75" x14ac:dyDescent="0.2">
      <c r="G178" s="78"/>
      <c r="I178" s="78"/>
    </row>
    <row r="179" spans="7:9" ht="12.75" x14ac:dyDescent="0.2">
      <c r="G179" s="78"/>
      <c r="I179" s="78"/>
    </row>
    <row r="180" spans="7:9" ht="12.75" x14ac:dyDescent="0.2">
      <c r="G180" s="78"/>
      <c r="I180" s="78"/>
    </row>
    <row r="181" spans="7:9" ht="12.75" x14ac:dyDescent="0.2">
      <c r="G181" s="78"/>
      <c r="I181" s="78"/>
    </row>
    <row r="182" spans="7:9" ht="12.75" x14ac:dyDescent="0.2">
      <c r="G182" s="78"/>
      <c r="I182" s="78"/>
    </row>
    <row r="183" spans="7:9" ht="12.75" x14ac:dyDescent="0.2">
      <c r="G183" s="78"/>
      <c r="I183" s="78"/>
    </row>
    <row r="184" spans="7:9" ht="12.75" x14ac:dyDescent="0.2">
      <c r="G184" s="78"/>
      <c r="I184" s="78"/>
    </row>
    <row r="185" spans="7:9" ht="12.75" x14ac:dyDescent="0.2">
      <c r="G185" s="78"/>
      <c r="I185" s="78"/>
    </row>
    <row r="186" spans="7:9" ht="12.75" x14ac:dyDescent="0.2">
      <c r="G186" s="78"/>
      <c r="I186" s="78"/>
    </row>
    <row r="187" spans="7:9" ht="12.75" x14ac:dyDescent="0.2">
      <c r="G187" s="78"/>
      <c r="I187" s="78"/>
    </row>
    <row r="188" spans="7:9" ht="12.75" x14ac:dyDescent="0.2">
      <c r="G188" s="78"/>
      <c r="I188" s="78"/>
    </row>
    <row r="189" spans="7:9" ht="12.75" x14ac:dyDescent="0.2">
      <c r="G189" s="78"/>
      <c r="I189" s="78"/>
    </row>
    <row r="190" spans="7:9" ht="12.75" x14ac:dyDescent="0.2">
      <c r="G190" s="78"/>
      <c r="I190" s="78"/>
    </row>
    <row r="191" spans="7:9" ht="12.75" x14ac:dyDescent="0.2">
      <c r="G191" s="78"/>
      <c r="I191" s="78"/>
    </row>
    <row r="192" spans="7:9" ht="12.75" x14ac:dyDescent="0.2">
      <c r="G192" s="78"/>
      <c r="I192" s="78"/>
    </row>
    <row r="193" spans="7:9" ht="12.75" x14ac:dyDescent="0.2">
      <c r="G193" s="78"/>
      <c r="I193" s="78"/>
    </row>
    <row r="194" spans="7:9" ht="12.75" x14ac:dyDescent="0.2">
      <c r="G194" s="78"/>
      <c r="I194" s="78"/>
    </row>
    <row r="195" spans="7:9" ht="12.75" x14ac:dyDescent="0.2">
      <c r="G195" s="78"/>
      <c r="I195" s="78"/>
    </row>
    <row r="196" spans="7:9" ht="12.75" x14ac:dyDescent="0.2">
      <c r="G196" s="78"/>
      <c r="I196" s="78"/>
    </row>
    <row r="197" spans="7:9" ht="12.75" x14ac:dyDescent="0.2">
      <c r="G197" s="78"/>
      <c r="I197" s="78"/>
    </row>
    <row r="198" spans="7:9" ht="12.75" x14ac:dyDescent="0.2">
      <c r="G198" s="78"/>
      <c r="I198" s="78"/>
    </row>
    <row r="199" spans="7:9" ht="12.75" x14ac:dyDescent="0.2">
      <c r="G199" s="78"/>
      <c r="I199" s="78"/>
    </row>
    <row r="200" spans="7:9" ht="12.75" x14ac:dyDescent="0.2">
      <c r="G200" s="78"/>
      <c r="I200" s="78"/>
    </row>
    <row r="201" spans="7:9" ht="12.75" x14ac:dyDescent="0.2">
      <c r="G201" s="78"/>
      <c r="I201" s="78"/>
    </row>
    <row r="202" spans="7:9" ht="12.75" x14ac:dyDescent="0.2">
      <c r="G202" s="78"/>
      <c r="I202" s="78"/>
    </row>
    <row r="203" spans="7:9" ht="12.75" x14ac:dyDescent="0.2">
      <c r="G203" s="78"/>
      <c r="I203" s="78"/>
    </row>
    <row r="204" spans="7:9" ht="12.75" x14ac:dyDescent="0.2">
      <c r="G204" s="78"/>
      <c r="I204" s="78"/>
    </row>
    <row r="205" spans="7:9" ht="12.75" x14ac:dyDescent="0.2">
      <c r="G205" s="78"/>
      <c r="I205" s="78"/>
    </row>
    <row r="206" spans="7:9" ht="12.75" x14ac:dyDescent="0.2">
      <c r="G206" s="78"/>
      <c r="I206" s="78"/>
    </row>
    <row r="207" spans="7:9" ht="12.75" x14ac:dyDescent="0.2">
      <c r="G207" s="78"/>
      <c r="I207" s="78"/>
    </row>
    <row r="208" spans="7:9" ht="12.75" x14ac:dyDescent="0.2">
      <c r="G208" s="78"/>
      <c r="I208" s="78"/>
    </row>
    <row r="209" spans="7:9" ht="12.75" x14ac:dyDescent="0.2">
      <c r="G209" s="78"/>
      <c r="I209" s="78"/>
    </row>
    <row r="210" spans="7:9" ht="12.75" x14ac:dyDescent="0.2">
      <c r="G210" s="78"/>
      <c r="I210" s="78"/>
    </row>
    <row r="211" spans="7:9" ht="12.75" x14ac:dyDescent="0.2">
      <c r="G211" s="78"/>
      <c r="I211" s="78"/>
    </row>
    <row r="212" spans="7:9" ht="12.75" x14ac:dyDescent="0.2">
      <c r="G212" s="78"/>
      <c r="I212" s="78"/>
    </row>
    <row r="213" spans="7:9" ht="12.75" x14ac:dyDescent="0.2">
      <c r="G213" s="78"/>
      <c r="I213" s="78"/>
    </row>
    <row r="214" spans="7:9" ht="12.75" x14ac:dyDescent="0.2">
      <c r="G214" s="78"/>
      <c r="I214" s="78"/>
    </row>
    <row r="215" spans="7:9" ht="12.75" x14ac:dyDescent="0.2">
      <c r="G215" s="78"/>
      <c r="I215" s="78"/>
    </row>
    <row r="216" spans="7:9" ht="12.75" x14ac:dyDescent="0.2">
      <c r="G216" s="78"/>
      <c r="I216" s="78"/>
    </row>
    <row r="217" spans="7:9" ht="12.75" x14ac:dyDescent="0.2">
      <c r="G217" s="78"/>
      <c r="I217" s="78"/>
    </row>
    <row r="218" spans="7:9" ht="12.75" x14ac:dyDescent="0.2">
      <c r="G218" s="78"/>
      <c r="I218" s="78"/>
    </row>
    <row r="219" spans="7:9" ht="12.75" x14ac:dyDescent="0.2">
      <c r="G219" s="78"/>
      <c r="I219" s="78"/>
    </row>
    <row r="220" spans="7:9" ht="12.75" x14ac:dyDescent="0.2">
      <c r="G220" s="78"/>
      <c r="I220" s="78"/>
    </row>
    <row r="221" spans="7:9" ht="12.75" x14ac:dyDescent="0.2">
      <c r="G221" s="78"/>
      <c r="I221" s="78"/>
    </row>
    <row r="222" spans="7:9" ht="12.75" x14ac:dyDescent="0.2">
      <c r="G222" s="78"/>
      <c r="I222" s="78"/>
    </row>
    <row r="223" spans="7:9" ht="12.75" x14ac:dyDescent="0.2">
      <c r="G223" s="78"/>
      <c r="I223" s="78"/>
    </row>
    <row r="224" spans="7:9" ht="12.75" x14ac:dyDescent="0.2">
      <c r="G224" s="78"/>
      <c r="I224" s="78"/>
    </row>
    <row r="225" spans="7:9" ht="12.75" x14ac:dyDescent="0.2">
      <c r="G225" s="78"/>
      <c r="I225" s="78"/>
    </row>
    <row r="226" spans="7:9" ht="12.75" x14ac:dyDescent="0.2">
      <c r="G226" s="78"/>
      <c r="I226" s="78"/>
    </row>
    <row r="227" spans="7:9" ht="12.75" x14ac:dyDescent="0.2">
      <c r="G227" s="78"/>
      <c r="I227" s="78"/>
    </row>
    <row r="228" spans="7:9" ht="12.75" x14ac:dyDescent="0.2">
      <c r="G228" s="78"/>
      <c r="I228" s="78"/>
    </row>
    <row r="229" spans="7:9" ht="12.75" x14ac:dyDescent="0.2">
      <c r="G229" s="78"/>
      <c r="I229" s="78"/>
    </row>
    <row r="230" spans="7:9" ht="12.75" x14ac:dyDescent="0.2">
      <c r="G230" s="78"/>
      <c r="I230" s="78"/>
    </row>
    <row r="231" spans="7:9" ht="12.75" x14ac:dyDescent="0.2">
      <c r="G231" s="78"/>
      <c r="I231" s="78"/>
    </row>
    <row r="232" spans="7:9" ht="12.75" x14ac:dyDescent="0.2">
      <c r="G232" s="78"/>
      <c r="I232" s="78"/>
    </row>
    <row r="233" spans="7:9" ht="12.75" x14ac:dyDescent="0.2">
      <c r="G233" s="78"/>
      <c r="I233" s="78"/>
    </row>
    <row r="234" spans="7:9" ht="12.75" x14ac:dyDescent="0.2">
      <c r="G234" s="78"/>
      <c r="I234" s="78"/>
    </row>
    <row r="235" spans="7:9" ht="12.75" x14ac:dyDescent="0.2">
      <c r="G235" s="78"/>
      <c r="I235" s="78"/>
    </row>
    <row r="236" spans="7:9" ht="12.75" x14ac:dyDescent="0.2">
      <c r="G236" s="78"/>
      <c r="I236" s="78"/>
    </row>
    <row r="237" spans="7:9" ht="12.75" x14ac:dyDescent="0.2">
      <c r="G237" s="78"/>
      <c r="I237" s="78"/>
    </row>
    <row r="238" spans="7:9" ht="12.75" x14ac:dyDescent="0.2">
      <c r="G238" s="78"/>
      <c r="I238" s="78"/>
    </row>
    <row r="239" spans="7:9" ht="12.75" x14ac:dyDescent="0.2">
      <c r="G239" s="78"/>
      <c r="I239" s="78"/>
    </row>
    <row r="240" spans="7:9" ht="12.75" x14ac:dyDescent="0.2">
      <c r="G240" s="78"/>
      <c r="I240" s="78"/>
    </row>
    <row r="241" spans="7:9" ht="12.75" x14ac:dyDescent="0.2">
      <c r="G241" s="78"/>
      <c r="I241" s="78"/>
    </row>
    <row r="242" spans="7:9" ht="12.75" x14ac:dyDescent="0.2">
      <c r="G242" s="78"/>
      <c r="I242" s="78"/>
    </row>
    <row r="243" spans="7:9" ht="12.75" x14ac:dyDescent="0.2">
      <c r="G243" s="78"/>
      <c r="I243" s="78"/>
    </row>
    <row r="244" spans="7:9" ht="12.75" x14ac:dyDescent="0.2">
      <c r="G244" s="78"/>
      <c r="I244" s="78"/>
    </row>
    <row r="245" spans="7:9" ht="12.75" x14ac:dyDescent="0.2">
      <c r="G245" s="78"/>
      <c r="I245" s="78"/>
    </row>
    <row r="246" spans="7:9" ht="12.75" x14ac:dyDescent="0.2">
      <c r="G246" s="78"/>
      <c r="I246" s="78"/>
    </row>
    <row r="247" spans="7:9" ht="12.75" x14ac:dyDescent="0.2">
      <c r="G247" s="78"/>
      <c r="I247" s="78"/>
    </row>
    <row r="248" spans="7:9" ht="12.75" x14ac:dyDescent="0.2">
      <c r="G248" s="78"/>
      <c r="I248" s="78"/>
    </row>
    <row r="249" spans="7:9" ht="12.75" x14ac:dyDescent="0.2">
      <c r="G249" s="78"/>
      <c r="I249" s="78"/>
    </row>
    <row r="250" spans="7:9" ht="12.75" x14ac:dyDescent="0.2">
      <c r="G250" s="78"/>
      <c r="I250" s="78"/>
    </row>
    <row r="251" spans="7:9" ht="12.75" x14ac:dyDescent="0.2">
      <c r="G251" s="78"/>
      <c r="I251" s="78"/>
    </row>
    <row r="252" spans="7:9" ht="12.75" x14ac:dyDescent="0.2">
      <c r="G252" s="78"/>
      <c r="I252" s="78"/>
    </row>
    <row r="253" spans="7:9" ht="12.75" x14ac:dyDescent="0.2">
      <c r="G253" s="78"/>
      <c r="I253" s="78"/>
    </row>
    <row r="254" spans="7:9" ht="12.75" x14ac:dyDescent="0.2">
      <c r="G254" s="78"/>
      <c r="I254" s="78"/>
    </row>
    <row r="255" spans="7:9" ht="12.75" x14ac:dyDescent="0.2">
      <c r="G255" s="78"/>
      <c r="I255" s="78"/>
    </row>
    <row r="256" spans="7:9" ht="12.75" x14ac:dyDescent="0.2">
      <c r="G256" s="78"/>
      <c r="I256" s="78"/>
    </row>
    <row r="257" spans="7:9" ht="12.75" x14ac:dyDescent="0.2">
      <c r="G257" s="78"/>
      <c r="I257" s="78"/>
    </row>
    <row r="258" spans="7:9" ht="12.75" x14ac:dyDescent="0.2">
      <c r="G258" s="78"/>
      <c r="I258" s="78"/>
    </row>
    <row r="259" spans="7:9" ht="12.75" x14ac:dyDescent="0.2">
      <c r="G259" s="78"/>
      <c r="I259" s="78"/>
    </row>
    <row r="260" spans="7:9" ht="12.75" x14ac:dyDescent="0.2">
      <c r="G260" s="78"/>
      <c r="I260" s="78"/>
    </row>
    <row r="261" spans="7:9" ht="12.75" x14ac:dyDescent="0.2">
      <c r="G261" s="78"/>
      <c r="I261" s="78"/>
    </row>
    <row r="262" spans="7:9" ht="12.75" x14ac:dyDescent="0.2">
      <c r="G262" s="78"/>
      <c r="I262" s="78"/>
    </row>
    <row r="263" spans="7:9" ht="12.75" x14ac:dyDescent="0.2">
      <c r="G263" s="78"/>
      <c r="I263" s="78"/>
    </row>
    <row r="264" spans="7:9" ht="12.75" x14ac:dyDescent="0.2">
      <c r="G264" s="78"/>
      <c r="I264" s="78"/>
    </row>
    <row r="265" spans="7:9" ht="12.75" x14ac:dyDescent="0.2">
      <c r="G265" s="78"/>
      <c r="I265" s="78"/>
    </row>
    <row r="266" spans="7:9" ht="12.75" x14ac:dyDescent="0.2">
      <c r="G266" s="78"/>
      <c r="I266" s="78"/>
    </row>
    <row r="267" spans="7:9" ht="12.75" x14ac:dyDescent="0.2">
      <c r="G267" s="78"/>
      <c r="I267" s="78"/>
    </row>
    <row r="268" spans="7:9" ht="12.75" x14ac:dyDescent="0.2">
      <c r="G268" s="78"/>
      <c r="I268" s="78"/>
    </row>
    <row r="269" spans="7:9" ht="12.75" x14ac:dyDescent="0.2">
      <c r="G269" s="78"/>
      <c r="I269" s="78"/>
    </row>
    <row r="270" spans="7:9" ht="12.75" x14ac:dyDescent="0.2">
      <c r="G270" s="78"/>
      <c r="I270" s="78"/>
    </row>
    <row r="271" spans="7:9" ht="12.75" x14ac:dyDescent="0.2">
      <c r="G271" s="78"/>
      <c r="I271" s="78"/>
    </row>
    <row r="272" spans="7:9" ht="12.75" x14ac:dyDescent="0.2">
      <c r="G272" s="78"/>
      <c r="I272" s="78"/>
    </row>
    <row r="273" spans="7:9" ht="12.75" x14ac:dyDescent="0.2">
      <c r="G273" s="78"/>
      <c r="I273" s="78"/>
    </row>
    <row r="274" spans="7:9" ht="12.75" x14ac:dyDescent="0.2">
      <c r="G274" s="78"/>
      <c r="I274" s="78"/>
    </row>
    <row r="275" spans="7:9" ht="12.75" x14ac:dyDescent="0.2">
      <c r="G275" s="78"/>
      <c r="I275" s="78"/>
    </row>
    <row r="276" spans="7:9" ht="12.75" x14ac:dyDescent="0.2">
      <c r="G276" s="78"/>
      <c r="I276" s="78"/>
    </row>
    <row r="277" spans="7:9" ht="12.75" x14ac:dyDescent="0.2">
      <c r="G277" s="78"/>
      <c r="I277" s="78"/>
    </row>
    <row r="278" spans="7:9" ht="12.75" x14ac:dyDescent="0.2">
      <c r="G278" s="78"/>
      <c r="I278" s="78"/>
    </row>
    <row r="279" spans="7:9" ht="12.75" x14ac:dyDescent="0.2">
      <c r="G279" s="78"/>
      <c r="I279" s="78"/>
    </row>
    <row r="280" spans="7:9" ht="12.75" x14ac:dyDescent="0.2">
      <c r="G280" s="78"/>
      <c r="I280" s="78"/>
    </row>
    <row r="281" spans="7:9" ht="12.75" x14ac:dyDescent="0.2">
      <c r="G281" s="78"/>
      <c r="I281" s="78"/>
    </row>
    <row r="282" spans="7:9" ht="12.75" x14ac:dyDescent="0.2">
      <c r="G282" s="78"/>
      <c r="I282" s="78"/>
    </row>
    <row r="283" spans="7:9" ht="12.75" x14ac:dyDescent="0.2">
      <c r="G283" s="78"/>
      <c r="I283" s="78"/>
    </row>
    <row r="284" spans="7:9" ht="12.75" x14ac:dyDescent="0.2">
      <c r="G284" s="78"/>
      <c r="I284" s="78"/>
    </row>
    <row r="285" spans="7:9" ht="12.75" x14ac:dyDescent="0.2">
      <c r="G285" s="78"/>
      <c r="I285" s="78"/>
    </row>
    <row r="286" spans="7:9" ht="12.75" x14ac:dyDescent="0.2">
      <c r="G286" s="78"/>
      <c r="I286" s="78"/>
    </row>
    <row r="287" spans="7:9" ht="12.75" x14ac:dyDescent="0.2">
      <c r="G287" s="78"/>
      <c r="I287" s="78"/>
    </row>
    <row r="288" spans="7:9" ht="12.75" x14ac:dyDescent="0.2">
      <c r="G288" s="78"/>
      <c r="I288" s="78"/>
    </row>
    <row r="289" spans="7:9" ht="12.75" x14ac:dyDescent="0.2">
      <c r="G289" s="78"/>
      <c r="I289" s="78"/>
    </row>
    <row r="290" spans="7:9" ht="12.75" x14ac:dyDescent="0.2">
      <c r="G290" s="78"/>
      <c r="I290" s="78"/>
    </row>
    <row r="291" spans="7:9" ht="12.75" x14ac:dyDescent="0.2">
      <c r="G291" s="78"/>
      <c r="I291" s="78"/>
    </row>
    <row r="292" spans="7:9" ht="12.75" x14ac:dyDescent="0.2">
      <c r="G292" s="78"/>
      <c r="I292" s="78"/>
    </row>
    <row r="293" spans="7:9" ht="12.75" x14ac:dyDescent="0.2">
      <c r="G293" s="78"/>
      <c r="I293" s="78"/>
    </row>
    <row r="294" spans="7:9" ht="12.75" x14ac:dyDescent="0.2">
      <c r="G294" s="78"/>
      <c r="I294" s="78"/>
    </row>
    <row r="295" spans="7:9" ht="12.75" x14ac:dyDescent="0.2">
      <c r="G295" s="78"/>
      <c r="I295" s="78"/>
    </row>
    <row r="296" spans="7:9" ht="12.75" x14ac:dyDescent="0.2">
      <c r="G296" s="78"/>
      <c r="I296" s="78"/>
    </row>
    <row r="297" spans="7:9" ht="12.75" x14ac:dyDescent="0.2">
      <c r="G297" s="78"/>
      <c r="I297" s="78"/>
    </row>
    <row r="298" spans="7:9" ht="12.75" x14ac:dyDescent="0.2">
      <c r="G298" s="78"/>
      <c r="I298" s="78"/>
    </row>
    <row r="299" spans="7:9" ht="12.75" x14ac:dyDescent="0.2">
      <c r="G299" s="78"/>
      <c r="I299" s="78"/>
    </row>
    <row r="300" spans="7:9" ht="12.75" x14ac:dyDescent="0.2">
      <c r="G300" s="78"/>
      <c r="I300" s="78"/>
    </row>
    <row r="301" spans="7:9" ht="12.75" x14ac:dyDescent="0.2">
      <c r="G301" s="78"/>
      <c r="I301" s="78"/>
    </row>
    <row r="302" spans="7:9" ht="12.75" x14ac:dyDescent="0.2">
      <c r="G302" s="78"/>
      <c r="I302" s="78"/>
    </row>
    <row r="303" spans="7:9" ht="12.75" x14ac:dyDescent="0.2">
      <c r="G303" s="78"/>
      <c r="I303" s="78"/>
    </row>
    <row r="304" spans="7:9" ht="12.75" x14ac:dyDescent="0.2">
      <c r="G304" s="78"/>
      <c r="I304" s="78"/>
    </row>
    <row r="305" spans="7:9" ht="12.75" x14ac:dyDescent="0.2">
      <c r="G305" s="78"/>
      <c r="I305" s="78"/>
    </row>
    <row r="306" spans="7:9" ht="12.75" x14ac:dyDescent="0.2">
      <c r="G306" s="78"/>
      <c r="I306" s="78"/>
    </row>
    <row r="307" spans="7:9" ht="12.75" x14ac:dyDescent="0.2">
      <c r="G307" s="78"/>
      <c r="I307" s="78"/>
    </row>
    <row r="308" spans="7:9" ht="12.75" x14ac:dyDescent="0.2">
      <c r="G308" s="78"/>
      <c r="I308" s="78"/>
    </row>
    <row r="309" spans="7:9" ht="12.75" x14ac:dyDescent="0.2">
      <c r="G309" s="78"/>
      <c r="I309" s="78"/>
    </row>
    <row r="310" spans="7:9" ht="12.75" x14ac:dyDescent="0.2">
      <c r="G310" s="78"/>
      <c r="I310" s="78"/>
    </row>
    <row r="311" spans="7:9" ht="12.75" x14ac:dyDescent="0.2">
      <c r="G311" s="78"/>
      <c r="I311" s="78"/>
    </row>
    <row r="312" spans="7:9" ht="12.75" x14ac:dyDescent="0.2">
      <c r="G312" s="78"/>
      <c r="I312" s="78"/>
    </row>
    <row r="313" spans="7:9" ht="12.75" x14ac:dyDescent="0.2">
      <c r="G313" s="78"/>
      <c r="I313" s="78"/>
    </row>
    <row r="314" spans="7:9" ht="12.75" x14ac:dyDescent="0.2">
      <c r="G314" s="78"/>
      <c r="I314" s="78"/>
    </row>
    <row r="315" spans="7:9" ht="12.75" x14ac:dyDescent="0.2">
      <c r="G315" s="78"/>
      <c r="I315" s="78"/>
    </row>
    <row r="316" spans="7:9" ht="12.75" x14ac:dyDescent="0.2">
      <c r="G316" s="78"/>
      <c r="I316" s="78"/>
    </row>
    <row r="317" spans="7:9" ht="12.75" x14ac:dyDescent="0.2">
      <c r="G317" s="78"/>
      <c r="I317" s="78"/>
    </row>
    <row r="318" spans="7:9" ht="12.75" x14ac:dyDescent="0.2">
      <c r="G318" s="78"/>
      <c r="I318" s="78"/>
    </row>
    <row r="319" spans="7:9" ht="12.75" x14ac:dyDescent="0.2">
      <c r="G319" s="78"/>
      <c r="I319" s="78"/>
    </row>
    <row r="320" spans="7:9" ht="12.75" x14ac:dyDescent="0.2">
      <c r="G320" s="78"/>
      <c r="I320" s="78"/>
    </row>
    <row r="321" spans="7:9" ht="12.75" x14ac:dyDescent="0.2">
      <c r="G321" s="78"/>
      <c r="I321" s="78"/>
    </row>
    <row r="322" spans="7:9" ht="12.75" x14ac:dyDescent="0.2">
      <c r="G322" s="78"/>
      <c r="I322" s="78"/>
    </row>
    <row r="323" spans="7:9" ht="12.75" x14ac:dyDescent="0.2">
      <c r="G323" s="78"/>
      <c r="I323" s="78"/>
    </row>
    <row r="324" spans="7:9" ht="12.75" x14ac:dyDescent="0.2">
      <c r="G324" s="78"/>
      <c r="I324" s="78"/>
    </row>
    <row r="325" spans="7:9" ht="12.75" x14ac:dyDescent="0.2">
      <c r="G325" s="78"/>
      <c r="I325" s="78"/>
    </row>
    <row r="326" spans="7:9" ht="12.75" x14ac:dyDescent="0.2">
      <c r="G326" s="78"/>
      <c r="I326" s="78"/>
    </row>
    <row r="327" spans="7:9" ht="12.75" x14ac:dyDescent="0.2">
      <c r="G327" s="78"/>
      <c r="I327" s="78"/>
    </row>
    <row r="328" spans="7:9" ht="12.75" x14ac:dyDescent="0.2">
      <c r="G328" s="78"/>
      <c r="I328" s="78"/>
    </row>
    <row r="329" spans="7:9" ht="12.75" x14ac:dyDescent="0.2">
      <c r="G329" s="78"/>
      <c r="I329" s="78"/>
    </row>
    <row r="330" spans="7:9" ht="12.75" x14ac:dyDescent="0.2">
      <c r="G330" s="78"/>
      <c r="I330" s="78"/>
    </row>
    <row r="331" spans="7:9" ht="12.75" x14ac:dyDescent="0.2">
      <c r="G331" s="78"/>
      <c r="I331" s="78"/>
    </row>
    <row r="332" spans="7:9" ht="12.75" x14ac:dyDescent="0.2">
      <c r="G332" s="78"/>
      <c r="I332" s="78"/>
    </row>
    <row r="333" spans="7:9" ht="12.75" x14ac:dyDescent="0.2">
      <c r="G333" s="78"/>
      <c r="I333" s="78"/>
    </row>
    <row r="334" spans="7:9" ht="12.75" x14ac:dyDescent="0.2">
      <c r="G334" s="78"/>
      <c r="I334" s="78"/>
    </row>
    <row r="335" spans="7:9" ht="12.75" x14ac:dyDescent="0.2">
      <c r="G335" s="78"/>
      <c r="I335" s="78"/>
    </row>
    <row r="336" spans="7:9" ht="12.75" x14ac:dyDescent="0.2">
      <c r="G336" s="78"/>
      <c r="I336" s="78"/>
    </row>
    <row r="337" spans="7:9" ht="12.75" x14ac:dyDescent="0.2">
      <c r="G337" s="78"/>
      <c r="I337" s="78"/>
    </row>
    <row r="338" spans="7:9" ht="12.75" x14ac:dyDescent="0.2">
      <c r="G338" s="78"/>
      <c r="I338" s="78"/>
    </row>
    <row r="339" spans="7:9" ht="12.75" x14ac:dyDescent="0.2">
      <c r="G339" s="78"/>
      <c r="I339" s="78"/>
    </row>
    <row r="340" spans="7:9" ht="12.75" x14ac:dyDescent="0.2">
      <c r="G340" s="78"/>
      <c r="I340" s="78"/>
    </row>
    <row r="341" spans="7:9" ht="12.75" x14ac:dyDescent="0.2">
      <c r="G341" s="78"/>
      <c r="I341" s="78"/>
    </row>
    <row r="342" spans="7:9" ht="12.75" x14ac:dyDescent="0.2">
      <c r="G342" s="78"/>
      <c r="I342" s="78"/>
    </row>
    <row r="343" spans="7:9" ht="12.75" x14ac:dyDescent="0.2">
      <c r="G343" s="78"/>
      <c r="I343" s="78"/>
    </row>
    <row r="344" spans="7:9" ht="12.75" x14ac:dyDescent="0.2">
      <c r="G344" s="78"/>
      <c r="I344" s="78"/>
    </row>
    <row r="345" spans="7:9" ht="12.75" x14ac:dyDescent="0.2">
      <c r="G345" s="78"/>
      <c r="I345" s="78"/>
    </row>
    <row r="346" spans="7:9" ht="12.75" x14ac:dyDescent="0.2">
      <c r="G346" s="78"/>
      <c r="I346" s="78"/>
    </row>
    <row r="347" spans="7:9" ht="12.75" x14ac:dyDescent="0.2">
      <c r="G347" s="78"/>
      <c r="I347" s="78"/>
    </row>
    <row r="348" spans="7:9" ht="12.75" x14ac:dyDescent="0.2">
      <c r="G348" s="78"/>
      <c r="I348" s="78"/>
    </row>
    <row r="349" spans="7:9" ht="12.75" x14ac:dyDescent="0.2">
      <c r="G349" s="78"/>
      <c r="I349" s="78"/>
    </row>
    <row r="350" spans="7:9" ht="12.75" x14ac:dyDescent="0.2">
      <c r="G350" s="78"/>
      <c r="I350" s="78"/>
    </row>
    <row r="351" spans="7:9" ht="12.75" x14ac:dyDescent="0.2">
      <c r="G351" s="78"/>
      <c r="I351" s="78"/>
    </row>
    <row r="352" spans="7:9" ht="12.75" x14ac:dyDescent="0.2">
      <c r="G352" s="78"/>
      <c r="I352" s="78"/>
    </row>
    <row r="353" spans="7:9" ht="12.75" x14ac:dyDescent="0.2">
      <c r="G353" s="78"/>
      <c r="I353" s="78"/>
    </row>
    <row r="354" spans="7:9" ht="12.75" x14ac:dyDescent="0.2">
      <c r="G354" s="78"/>
      <c r="I354" s="78"/>
    </row>
    <row r="355" spans="7:9" ht="12.75" x14ac:dyDescent="0.2">
      <c r="G355" s="78"/>
      <c r="I355" s="78"/>
    </row>
    <row r="356" spans="7:9" ht="12.75" x14ac:dyDescent="0.2">
      <c r="G356" s="78"/>
      <c r="I356" s="78"/>
    </row>
    <row r="357" spans="7:9" ht="12.75" x14ac:dyDescent="0.2">
      <c r="G357" s="78"/>
      <c r="I357" s="78"/>
    </row>
    <row r="358" spans="7:9" ht="12.75" x14ac:dyDescent="0.2">
      <c r="G358" s="78"/>
      <c r="I358" s="78"/>
    </row>
    <row r="359" spans="7:9" ht="12.75" x14ac:dyDescent="0.2">
      <c r="G359" s="78"/>
      <c r="I359" s="78"/>
    </row>
    <row r="360" spans="7:9" ht="12.75" x14ac:dyDescent="0.2">
      <c r="G360" s="78"/>
      <c r="I360" s="78"/>
    </row>
    <row r="361" spans="7:9" ht="12.75" x14ac:dyDescent="0.2">
      <c r="G361" s="78"/>
      <c r="I361" s="78"/>
    </row>
    <row r="362" spans="7:9" ht="12.75" x14ac:dyDescent="0.2">
      <c r="G362" s="78"/>
      <c r="I362" s="78"/>
    </row>
    <row r="363" spans="7:9" ht="12.75" x14ac:dyDescent="0.2">
      <c r="G363" s="78"/>
      <c r="I363" s="78"/>
    </row>
    <row r="364" spans="7:9" ht="12.75" x14ac:dyDescent="0.2">
      <c r="G364" s="78"/>
      <c r="I364" s="78"/>
    </row>
    <row r="365" spans="7:9" ht="12.75" x14ac:dyDescent="0.2">
      <c r="G365" s="78"/>
      <c r="I365" s="78"/>
    </row>
    <row r="366" spans="7:9" ht="12.75" x14ac:dyDescent="0.2">
      <c r="G366" s="78"/>
      <c r="I366" s="78"/>
    </row>
    <row r="367" spans="7:9" ht="12.75" x14ac:dyDescent="0.2">
      <c r="G367" s="78"/>
      <c r="I367" s="78"/>
    </row>
    <row r="368" spans="7:9" ht="12.75" x14ac:dyDescent="0.2">
      <c r="G368" s="78"/>
      <c r="I368" s="78"/>
    </row>
    <row r="369" spans="7:9" ht="12.75" x14ac:dyDescent="0.2">
      <c r="G369" s="78"/>
      <c r="I369" s="78"/>
    </row>
    <row r="370" spans="7:9" ht="12.75" x14ac:dyDescent="0.2">
      <c r="G370" s="78"/>
      <c r="I370" s="78"/>
    </row>
    <row r="371" spans="7:9" ht="12.75" x14ac:dyDescent="0.2">
      <c r="G371" s="78"/>
      <c r="I371" s="78"/>
    </row>
    <row r="372" spans="7:9" ht="12.75" x14ac:dyDescent="0.2">
      <c r="G372" s="78"/>
      <c r="I372" s="78"/>
    </row>
    <row r="373" spans="7:9" ht="12.75" x14ac:dyDescent="0.2">
      <c r="G373" s="78"/>
      <c r="I373" s="78"/>
    </row>
    <row r="374" spans="7:9" ht="12.75" x14ac:dyDescent="0.2">
      <c r="G374" s="78"/>
      <c r="I374" s="78"/>
    </row>
    <row r="375" spans="7:9" ht="12.75" x14ac:dyDescent="0.2">
      <c r="G375" s="78"/>
      <c r="I375" s="78"/>
    </row>
    <row r="376" spans="7:9" ht="12.75" x14ac:dyDescent="0.2">
      <c r="G376" s="78"/>
      <c r="I376" s="78"/>
    </row>
    <row r="377" spans="7:9" ht="12.75" x14ac:dyDescent="0.2">
      <c r="G377" s="78"/>
      <c r="I377" s="78"/>
    </row>
    <row r="378" spans="7:9" ht="12.75" x14ac:dyDescent="0.2">
      <c r="G378" s="78"/>
      <c r="I378" s="78"/>
    </row>
    <row r="379" spans="7:9" ht="12.75" x14ac:dyDescent="0.2">
      <c r="G379" s="78"/>
      <c r="I379" s="78"/>
    </row>
    <row r="380" spans="7:9" ht="12.75" x14ac:dyDescent="0.2">
      <c r="G380" s="78"/>
      <c r="I380" s="78"/>
    </row>
    <row r="381" spans="7:9" ht="12.75" x14ac:dyDescent="0.2">
      <c r="G381" s="78"/>
      <c r="I381" s="78"/>
    </row>
    <row r="382" spans="7:9" ht="12.75" x14ac:dyDescent="0.2">
      <c r="G382" s="78"/>
      <c r="I382" s="78"/>
    </row>
    <row r="383" spans="7:9" ht="12.75" x14ac:dyDescent="0.2">
      <c r="G383" s="78"/>
      <c r="I383" s="78"/>
    </row>
    <row r="384" spans="7:9" ht="12.75" x14ac:dyDescent="0.2">
      <c r="G384" s="78"/>
      <c r="I384" s="78"/>
    </row>
    <row r="385" spans="7:9" ht="12.75" x14ac:dyDescent="0.2">
      <c r="G385" s="78"/>
      <c r="I385" s="78"/>
    </row>
    <row r="386" spans="7:9" ht="12.75" x14ac:dyDescent="0.2">
      <c r="G386" s="78"/>
      <c r="I386" s="78"/>
    </row>
    <row r="387" spans="7:9" ht="12.75" x14ac:dyDescent="0.2">
      <c r="G387" s="78"/>
      <c r="I387" s="78"/>
    </row>
    <row r="388" spans="7:9" ht="12.75" x14ac:dyDescent="0.2">
      <c r="G388" s="78"/>
      <c r="I388" s="78"/>
    </row>
    <row r="389" spans="7:9" ht="12.75" x14ac:dyDescent="0.2">
      <c r="G389" s="78"/>
      <c r="I389" s="78"/>
    </row>
    <row r="390" spans="7:9" ht="12.75" x14ac:dyDescent="0.2">
      <c r="G390" s="78"/>
      <c r="I390" s="78"/>
    </row>
    <row r="391" spans="7:9" ht="12.75" x14ac:dyDescent="0.2">
      <c r="G391" s="78"/>
      <c r="I391" s="78"/>
    </row>
    <row r="392" spans="7:9" ht="12.75" x14ac:dyDescent="0.2">
      <c r="G392" s="78"/>
      <c r="I392" s="78"/>
    </row>
    <row r="393" spans="7:9" ht="12.75" x14ac:dyDescent="0.2">
      <c r="G393" s="78"/>
      <c r="I393" s="78"/>
    </row>
    <row r="394" spans="7:9" ht="12.75" x14ac:dyDescent="0.2">
      <c r="G394" s="78"/>
      <c r="I394" s="78"/>
    </row>
    <row r="395" spans="7:9" ht="12.75" x14ac:dyDescent="0.2">
      <c r="G395" s="78"/>
      <c r="I395" s="78"/>
    </row>
    <row r="396" spans="7:9" ht="12.75" x14ac:dyDescent="0.2">
      <c r="G396" s="78"/>
      <c r="I396" s="78"/>
    </row>
    <row r="397" spans="7:9" ht="12.75" x14ac:dyDescent="0.2">
      <c r="G397" s="78"/>
      <c r="I397" s="78"/>
    </row>
    <row r="398" spans="7:9" ht="12.75" x14ac:dyDescent="0.2">
      <c r="G398" s="78"/>
      <c r="I398" s="78"/>
    </row>
    <row r="399" spans="7:9" ht="12.75" x14ac:dyDescent="0.2">
      <c r="G399" s="78"/>
      <c r="I399" s="78"/>
    </row>
    <row r="400" spans="7:9" ht="12.75" x14ac:dyDescent="0.2">
      <c r="G400" s="78"/>
      <c r="I400" s="78"/>
    </row>
    <row r="401" spans="7:9" ht="12.75" x14ac:dyDescent="0.2">
      <c r="G401" s="78"/>
      <c r="I401" s="78"/>
    </row>
    <row r="402" spans="7:9" ht="12.75" x14ac:dyDescent="0.2">
      <c r="G402" s="78"/>
      <c r="I402" s="78"/>
    </row>
    <row r="403" spans="7:9" ht="12.75" x14ac:dyDescent="0.2">
      <c r="G403" s="78"/>
      <c r="I403" s="78"/>
    </row>
    <row r="404" spans="7:9" ht="12.75" x14ac:dyDescent="0.2">
      <c r="G404" s="78"/>
      <c r="I404" s="78"/>
    </row>
    <row r="405" spans="7:9" ht="12.75" x14ac:dyDescent="0.2">
      <c r="G405" s="78"/>
      <c r="I405" s="78"/>
    </row>
    <row r="406" spans="7:9" ht="12.75" x14ac:dyDescent="0.2">
      <c r="G406" s="78"/>
      <c r="I406" s="78"/>
    </row>
    <row r="407" spans="7:9" ht="12.75" x14ac:dyDescent="0.2">
      <c r="G407" s="78"/>
      <c r="I407" s="78"/>
    </row>
    <row r="408" spans="7:9" ht="12.75" x14ac:dyDescent="0.2">
      <c r="G408" s="78"/>
      <c r="I408" s="78"/>
    </row>
    <row r="409" spans="7:9" ht="12.75" x14ac:dyDescent="0.2">
      <c r="G409" s="78"/>
      <c r="I409" s="78"/>
    </row>
    <row r="410" spans="7:9" ht="12.75" x14ac:dyDescent="0.2">
      <c r="G410" s="78"/>
      <c r="I410" s="78"/>
    </row>
    <row r="411" spans="7:9" ht="12.75" x14ac:dyDescent="0.2">
      <c r="G411" s="78"/>
      <c r="I411" s="78"/>
    </row>
    <row r="412" spans="7:9" ht="12.75" x14ac:dyDescent="0.2">
      <c r="G412" s="78"/>
      <c r="I412" s="78"/>
    </row>
    <row r="413" spans="7:9" ht="12.75" x14ac:dyDescent="0.2">
      <c r="G413" s="78"/>
      <c r="I413" s="78"/>
    </row>
    <row r="414" spans="7:9" ht="12.75" x14ac:dyDescent="0.2">
      <c r="G414" s="78"/>
      <c r="I414" s="78"/>
    </row>
    <row r="415" spans="7:9" ht="12.75" x14ac:dyDescent="0.2">
      <c r="G415" s="78"/>
      <c r="I415" s="78"/>
    </row>
    <row r="416" spans="7:9" ht="12.75" x14ac:dyDescent="0.2">
      <c r="G416" s="78"/>
      <c r="I416" s="78"/>
    </row>
    <row r="417" spans="7:9" ht="12.75" x14ac:dyDescent="0.2">
      <c r="G417" s="78"/>
      <c r="I417" s="78"/>
    </row>
    <row r="418" spans="7:9" ht="12.75" x14ac:dyDescent="0.2">
      <c r="G418" s="78"/>
      <c r="I418" s="78"/>
    </row>
    <row r="419" spans="7:9" ht="12.75" x14ac:dyDescent="0.2">
      <c r="G419" s="78"/>
      <c r="I419" s="78"/>
    </row>
    <row r="420" spans="7:9" ht="12.75" x14ac:dyDescent="0.2">
      <c r="G420" s="78"/>
      <c r="I420" s="78"/>
    </row>
    <row r="421" spans="7:9" ht="12.75" x14ac:dyDescent="0.2">
      <c r="G421" s="78"/>
      <c r="I421" s="78"/>
    </row>
    <row r="422" spans="7:9" ht="12.75" x14ac:dyDescent="0.2">
      <c r="G422" s="78"/>
      <c r="I422" s="78"/>
    </row>
    <row r="423" spans="7:9" ht="12.75" x14ac:dyDescent="0.2">
      <c r="G423" s="78"/>
      <c r="I423" s="78"/>
    </row>
    <row r="424" spans="7:9" ht="12.75" x14ac:dyDescent="0.2">
      <c r="G424" s="78"/>
      <c r="I424" s="78"/>
    </row>
    <row r="425" spans="7:9" ht="12.75" x14ac:dyDescent="0.2">
      <c r="G425" s="78"/>
      <c r="I425" s="78"/>
    </row>
    <row r="426" spans="7:9" ht="12.75" x14ac:dyDescent="0.2">
      <c r="G426" s="78"/>
      <c r="I426" s="78"/>
    </row>
    <row r="427" spans="7:9" ht="12.75" x14ac:dyDescent="0.2">
      <c r="G427" s="78"/>
      <c r="I427" s="78"/>
    </row>
    <row r="428" spans="7:9" ht="12.75" x14ac:dyDescent="0.2">
      <c r="G428" s="78"/>
      <c r="I428" s="78"/>
    </row>
    <row r="429" spans="7:9" ht="12.75" x14ac:dyDescent="0.2">
      <c r="G429" s="78"/>
      <c r="I429" s="78"/>
    </row>
    <row r="430" spans="7:9" ht="12.75" x14ac:dyDescent="0.2">
      <c r="G430" s="78"/>
      <c r="I430" s="78"/>
    </row>
    <row r="431" spans="7:9" ht="12.75" x14ac:dyDescent="0.2">
      <c r="G431" s="78"/>
      <c r="I431" s="78"/>
    </row>
    <row r="432" spans="7:9" ht="12.75" x14ac:dyDescent="0.2">
      <c r="G432" s="78"/>
      <c r="I432" s="78"/>
    </row>
    <row r="433" spans="7:9" ht="12.75" x14ac:dyDescent="0.2">
      <c r="G433" s="78"/>
      <c r="I433" s="78"/>
    </row>
    <row r="434" spans="7:9" ht="12.75" x14ac:dyDescent="0.2">
      <c r="G434" s="78"/>
      <c r="I434" s="78"/>
    </row>
    <row r="435" spans="7:9" ht="12.75" x14ac:dyDescent="0.2">
      <c r="G435" s="78"/>
      <c r="I435" s="78"/>
    </row>
    <row r="436" spans="7:9" ht="12.75" x14ac:dyDescent="0.2">
      <c r="G436" s="78"/>
      <c r="I436" s="78"/>
    </row>
    <row r="437" spans="7:9" ht="12.75" x14ac:dyDescent="0.2">
      <c r="G437" s="78"/>
      <c r="I437" s="78"/>
    </row>
    <row r="438" spans="7:9" ht="12.75" x14ac:dyDescent="0.2">
      <c r="G438" s="78"/>
      <c r="I438" s="78"/>
    </row>
    <row r="439" spans="7:9" ht="12.75" x14ac:dyDescent="0.2">
      <c r="G439" s="78"/>
      <c r="I439" s="78"/>
    </row>
    <row r="440" spans="7:9" ht="12.75" x14ac:dyDescent="0.2">
      <c r="G440" s="78"/>
      <c r="I440" s="78"/>
    </row>
    <row r="441" spans="7:9" ht="12.75" x14ac:dyDescent="0.2">
      <c r="G441" s="78"/>
      <c r="I441" s="78"/>
    </row>
    <row r="442" spans="7:9" ht="12.75" x14ac:dyDescent="0.2">
      <c r="G442" s="78"/>
      <c r="I442" s="78"/>
    </row>
    <row r="443" spans="7:9" ht="12.75" x14ac:dyDescent="0.2">
      <c r="G443" s="78"/>
      <c r="I443" s="78"/>
    </row>
    <row r="444" spans="7:9" ht="12.75" x14ac:dyDescent="0.2">
      <c r="G444" s="78"/>
      <c r="I444" s="78"/>
    </row>
    <row r="445" spans="7:9" ht="12.75" x14ac:dyDescent="0.2">
      <c r="G445" s="78"/>
      <c r="I445" s="78"/>
    </row>
    <row r="446" spans="7:9" ht="12.75" x14ac:dyDescent="0.2">
      <c r="G446" s="78"/>
      <c r="I446" s="78"/>
    </row>
    <row r="447" spans="7:9" ht="12.75" x14ac:dyDescent="0.2">
      <c r="G447" s="78"/>
      <c r="I447" s="78"/>
    </row>
    <row r="448" spans="7:9" ht="12.75" x14ac:dyDescent="0.2">
      <c r="G448" s="78"/>
      <c r="I448" s="78"/>
    </row>
    <row r="449" spans="7:9" ht="12.75" x14ac:dyDescent="0.2">
      <c r="G449" s="78"/>
      <c r="I449" s="78"/>
    </row>
    <row r="450" spans="7:9" ht="12.75" x14ac:dyDescent="0.2">
      <c r="G450" s="78"/>
      <c r="I450" s="78"/>
    </row>
    <row r="451" spans="7:9" ht="12.75" x14ac:dyDescent="0.2">
      <c r="G451" s="78"/>
      <c r="I451" s="78"/>
    </row>
    <row r="452" spans="7:9" ht="12.75" x14ac:dyDescent="0.2">
      <c r="G452" s="78"/>
      <c r="I452" s="78"/>
    </row>
    <row r="453" spans="7:9" ht="12.75" x14ac:dyDescent="0.2">
      <c r="G453" s="78"/>
      <c r="I453" s="78"/>
    </row>
    <row r="454" spans="7:9" ht="12.75" x14ac:dyDescent="0.2">
      <c r="G454" s="78"/>
      <c r="I454" s="78"/>
    </row>
    <row r="455" spans="7:9" ht="12.75" x14ac:dyDescent="0.2">
      <c r="G455" s="78"/>
      <c r="I455" s="78"/>
    </row>
    <row r="456" spans="7:9" ht="12.75" x14ac:dyDescent="0.2">
      <c r="G456" s="78"/>
      <c r="I456" s="78"/>
    </row>
    <row r="457" spans="7:9" ht="12.75" x14ac:dyDescent="0.2">
      <c r="G457" s="78"/>
      <c r="I457" s="78"/>
    </row>
    <row r="458" spans="7:9" ht="12.75" x14ac:dyDescent="0.2">
      <c r="G458" s="78"/>
      <c r="I458" s="78"/>
    </row>
    <row r="459" spans="7:9" ht="12.75" x14ac:dyDescent="0.2">
      <c r="G459" s="78"/>
      <c r="I459" s="78"/>
    </row>
    <row r="460" spans="7:9" ht="12.75" x14ac:dyDescent="0.2">
      <c r="G460" s="78"/>
      <c r="I460" s="78"/>
    </row>
    <row r="461" spans="7:9" ht="12.75" x14ac:dyDescent="0.2">
      <c r="G461" s="78"/>
      <c r="I461" s="78"/>
    </row>
    <row r="462" spans="7:9" ht="12.75" x14ac:dyDescent="0.2">
      <c r="G462" s="78"/>
      <c r="I462" s="78"/>
    </row>
    <row r="463" spans="7:9" ht="12.75" x14ac:dyDescent="0.2">
      <c r="G463" s="78"/>
      <c r="I463" s="78"/>
    </row>
    <row r="464" spans="7:9" ht="12.75" x14ac:dyDescent="0.2">
      <c r="G464" s="78"/>
      <c r="I464" s="78"/>
    </row>
    <row r="465" spans="7:9" ht="12.75" x14ac:dyDescent="0.2">
      <c r="G465" s="78"/>
      <c r="I465" s="78"/>
    </row>
    <row r="466" spans="7:9" ht="12.75" x14ac:dyDescent="0.2">
      <c r="G466" s="78"/>
      <c r="I466" s="78"/>
    </row>
    <row r="467" spans="7:9" ht="12.75" x14ac:dyDescent="0.2">
      <c r="G467" s="78"/>
      <c r="I467" s="78"/>
    </row>
    <row r="468" spans="7:9" ht="12.75" x14ac:dyDescent="0.2">
      <c r="G468" s="78"/>
      <c r="I468" s="78"/>
    </row>
    <row r="469" spans="7:9" ht="12.75" x14ac:dyDescent="0.2">
      <c r="G469" s="78"/>
      <c r="I469" s="78"/>
    </row>
    <row r="470" spans="7:9" ht="12.75" x14ac:dyDescent="0.2">
      <c r="G470" s="78"/>
      <c r="I470" s="78"/>
    </row>
    <row r="471" spans="7:9" ht="12.75" x14ac:dyDescent="0.2">
      <c r="G471" s="78"/>
      <c r="I471" s="78"/>
    </row>
    <row r="472" spans="7:9" ht="12.75" x14ac:dyDescent="0.2">
      <c r="G472" s="78"/>
      <c r="I472" s="78"/>
    </row>
    <row r="473" spans="7:9" ht="12.75" x14ac:dyDescent="0.2">
      <c r="G473" s="78"/>
      <c r="I473" s="78"/>
    </row>
    <row r="474" spans="7:9" ht="12.75" x14ac:dyDescent="0.2">
      <c r="G474" s="78"/>
      <c r="I474" s="78"/>
    </row>
    <row r="475" spans="7:9" ht="12.75" x14ac:dyDescent="0.2">
      <c r="G475" s="78"/>
      <c r="I475" s="78"/>
    </row>
    <row r="476" spans="7:9" ht="12.75" x14ac:dyDescent="0.2">
      <c r="G476" s="78"/>
      <c r="I476" s="78"/>
    </row>
    <row r="477" spans="7:9" ht="12.75" x14ac:dyDescent="0.2">
      <c r="G477" s="78"/>
      <c r="I477" s="78"/>
    </row>
    <row r="478" spans="7:9" ht="12.75" x14ac:dyDescent="0.2">
      <c r="G478" s="78"/>
      <c r="I478" s="78"/>
    </row>
    <row r="479" spans="7:9" ht="12.75" x14ac:dyDescent="0.2">
      <c r="G479" s="78"/>
      <c r="I479" s="78"/>
    </row>
    <row r="480" spans="7:9" ht="12.75" x14ac:dyDescent="0.2">
      <c r="G480" s="78"/>
      <c r="I480" s="78"/>
    </row>
    <row r="481" spans="7:9" ht="12.75" x14ac:dyDescent="0.2">
      <c r="G481" s="78"/>
      <c r="I481" s="78"/>
    </row>
    <row r="482" spans="7:9" ht="12.75" x14ac:dyDescent="0.2">
      <c r="G482" s="78"/>
      <c r="I482" s="78"/>
    </row>
    <row r="483" spans="7:9" ht="12.75" x14ac:dyDescent="0.2">
      <c r="G483" s="78"/>
      <c r="I483" s="78"/>
    </row>
    <row r="484" spans="7:9" ht="12.75" x14ac:dyDescent="0.2">
      <c r="G484" s="78"/>
      <c r="I484" s="78"/>
    </row>
    <row r="485" spans="7:9" ht="12.75" x14ac:dyDescent="0.2">
      <c r="G485" s="78"/>
      <c r="I485" s="78"/>
    </row>
    <row r="486" spans="7:9" ht="12.75" x14ac:dyDescent="0.2">
      <c r="G486" s="78"/>
      <c r="I486" s="78"/>
    </row>
    <row r="487" spans="7:9" ht="12.75" x14ac:dyDescent="0.2">
      <c r="G487" s="78"/>
      <c r="I487" s="78"/>
    </row>
    <row r="488" spans="7:9" ht="12.75" x14ac:dyDescent="0.2">
      <c r="G488" s="78"/>
      <c r="I488" s="78"/>
    </row>
    <row r="489" spans="7:9" ht="12.75" x14ac:dyDescent="0.2">
      <c r="G489" s="78"/>
      <c r="I489" s="78"/>
    </row>
    <row r="490" spans="7:9" ht="12.75" x14ac:dyDescent="0.2">
      <c r="G490" s="78"/>
      <c r="I490" s="78"/>
    </row>
    <row r="491" spans="7:9" ht="12.75" x14ac:dyDescent="0.2">
      <c r="G491" s="78"/>
      <c r="I491" s="78"/>
    </row>
    <row r="492" spans="7:9" ht="12.75" x14ac:dyDescent="0.2">
      <c r="G492" s="78"/>
      <c r="I492" s="78"/>
    </row>
    <row r="493" spans="7:9" ht="12.75" x14ac:dyDescent="0.2">
      <c r="G493" s="78"/>
      <c r="I493" s="78"/>
    </row>
    <row r="494" spans="7:9" ht="12.75" x14ac:dyDescent="0.2">
      <c r="G494" s="78"/>
      <c r="I494" s="78"/>
    </row>
    <row r="495" spans="7:9" ht="12.75" x14ac:dyDescent="0.2">
      <c r="G495" s="78"/>
      <c r="I495" s="78"/>
    </row>
    <row r="496" spans="7:9" ht="12.75" x14ac:dyDescent="0.2">
      <c r="G496" s="78"/>
      <c r="I496" s="78"/>
    </row>
    <row r="497" spans="7:9" ht="12.75" x14ac:dyDescent="0.2">
      <c r="G497" s="78"/>
      <c r="I497" s="78"/>
    </row>
    <row r="498" spans="7:9" ht="12.75" x14ac:dyDescent="0.2">
      <c r="G498" s="78"/>
      <c r="I498" s="78"/>
    </row>
    <row r="499" spans="7:9" ht="12.75" x14ac:dyDescent="0.2">
      <c r="G499" s="78"/>
      <c r="I499" s="78"/>
    </row>
    <row r="500" spans="7:9" ht="12.75" x14ac:dyDescent="0.2">
      <c r="G500" s="78"/>
      <c r="I500" s="78"/>
    </row>
    <row r="501" spans="7:9" ht="12.75" x14ac:dyDescent="0.2">
      <c r="G501" s="78"/>
      <c r="I501" s="78"/>
    </row>
    <row r="502" spans="7:9" ht="12.75" x14ac:dyDescent="0.2">
      <c r="G502" s="78"/>
      <c r="I502" s="78"/>
    </row>
    <row r="503" spans="7:9" ht="12.75" x14ac:dyDescent="0.2">
      <c r="G503" s="78"/>
      <c r="I503" s="78"/>
    </row>
    <row r="504" spans="7:9" ht="12.75" x14ac:dyDescent="0.2">
      <c r="G504" s="78"/>
      <c r="I504" s="78"/>
    </row>
    <row r="505" spans="7:9" ht="12.75" x14ac:dyDescent="0.2">
      <c r="G505" s="78"/>
      <c r="I505" s="78"/>
    </row>
    <row r="506" spans="7:9" ht="12.75" x14ac:dyDescent="0.2">
      <c r="G506" s="78"/>
      <c r="I506" s="78"/>
    </row>
    <row r="507" spans="7:9" ht="12.75" x14ac:dyDescent="0.2">
      <c r="G507" s="78"/>
      <c r="I507" s="78"/>
    </row>
    <row r="508" spans="7:9" ht="12.75" x14ac:dyDescent="0.2">
      <c r="G508" s="78"/>
      <c r="I508" s="78"/>
    </row>
    <row r="509" spans="7:9" ht="12.75" x14ac:dyDescent="0.2">
      <c r="G509" s="78"/>
      <c r="I509" s="78"/>
    </row>
    <row r="510" spans="7:9" ht="12.75" x14ac:dyDescent="0.2">
      <c r="G510" s="78"/>
      <c r="I510" s="78"/>
    </row>
    <row r="511" spans="7:9" ht="12.75" x14ac:dyDescent="0.2">
      <c r="G511" s="78"/>
      <c r="I511" s="78"/>
    </row>
    <row r="512" spans="7:9" ht="12.75" x14ac:dyDescent="0.2">
      <c r="G512" s="78"/>
      <c r="I512" s="78"/>
    </row>
    <row r="513" spans="7:9" ht="12.75" x14ac:dyDescent="0.2">
      <c r="G513" s="78"/>
      <c r="I513" s="78"/>
    </row>
    <row r="514" spans="7:9" ht="12.75" x14ac:dyDescent="0.2">
      <c r="G514" s="78"/>
      <c r="I514" s="78"/>
    </row>
    <row r="515" spans="7:9" ht="12.75" x14ac:dyDescent="0.2">
      <c r="G515" s="78"/>
      <c r="I515" s="78"/>
    </row>
    <row r="516" spans="7:9" ht="12.75" x14ac:dyDescent="0.2">
      <c r="G516" s="78"/>
      <c r="I516" s="78"/>
    </row>
    <row r="517" spans="7:9" ht="12.75" x14ac:dyDescent="0.2">
      <c r="G517" s="78"/>
      <c r="I517" s="78"/>
    </row>
    <row r="518" spans="7:9" ht="12.75" x14ac:dyDescent="0.2">
      <c r="G518" s="78"/>
      <c r="I518" s="78"/>
    </row>
    <row r="519" spans="7:9" ht="12.75" x14ac:dyDescent="0.2">
      <c r="G519" s="78"/>
      <c r="I519" s="78"/>
    </row>
    <row r="520" spans="7:9" ht="12.75" x14ac:dyDescent="0.2">
      <c r="G520" s="78"/>
      <c r="I520" s="78"/>
    </row>
    <row r="521" spans="7:9" ht="12.75" x14ac:dyDescent="0.2">
      <c r="G521" s="78"/>
      <c r="I521" s="78"/>
    </row>
    <row r="522" spans="7:9" ht="12.75" x14ac:dyDescent="0.2">
      <c r="G522" s="78"/>
      <c r="I522" s="78"/>
    </row>
    <row r="523" spans="7:9" ht="12.75" x14ac:dyDescent="0.2">
      <c r="G523" s="78"/>
      <c r="I523" s="78"/>
    </row>
    <row r="524" spans="7:9" ht="12.75" x14ac:dyDescent="0.2">
      <c r="G524" s="78"/>
      <c r="I524" s="78"/>
    </row>
    <row r="525" spans="7:9" ht="12.75" x14ac:dyDescent="0.2">
      <c r="G525" s="78"/>
      <c r="I525" s="78"/>
    </row>
    <row r="526" spans="7:9" ht="12.75" x14ac:dyDescent="0.2">
      <c r="G526" s="78"/>
      <c r="I526" s="78"/>
    </row>
    <row r="527" spans="7:9" ht="12.75" x14ac:dyDescent="0.2">
      <c r="G527" s="78"/>
      <c r="I527" s="78"/>
    </row>
    <row r="528" spans="7:9" ht="12.75" x14ac:dyDescent="0.2">
      <c r="G528" s="78"/>
      <c r="I528" s="78"/>
    </row>
    <row r="529" spans="7:9" ht="12.75" x14ac:dyDescent="0.2">
      <c r="G529" s="78"/>
      <c r="I529" s="78"/>
    </row>
    <row r="530" spans="7:9" ht="12.75" x14ac:dyDescent="0.2">
      <c r="G530" s="78"/>
      <c r="I530" s="78"/>
    </row>
    <row r="531" spans="7:9" ht="12.75" x14ac:dyDescent="0.2">
      <c r="G531" s="78"/>
      <c r="I531" s="78"/>
    </row>
    <row r="532" spans="7:9" ht="12.75" x14ac:dyDescent="0.2">
      <c r="G532" s="78"/>
      <c r="I532" s="78"/>
    </row>
    <row r="533" spans="7:9" ht="12.75" x14ac:dyDescent="0.2">
      <c r="G533" s="78"/>
      <c r="I533" s="78"/>
    </row>
    <row r="534" spans="7:9" ht="12.75" x14ac:dyDescent="0.2">
      <c r="G534" s="78"/>
      <c r="I534" s="78"/>
    </row>
    <row r="535" spans="7:9" ht="12.75" x14ac:dyDescent="0.2">
      <c r="G535" s="78"/>
      <c r="I535" s="78"/>
    </row>
    <row r="536" spans="7:9" ht="12.75" x14ac:dyDescent="0.2">
      <c r="G536" s="78"/>
      <c r="I536" s="78"/>
    </row>
    <row r="537" spans="7:9" ht="12.75" x14ac:dyDescent="0.2">
      <c r="G537" s="78"/>
      <c r="I537" s="78"/>
    </row>
    <row r="538" spans="7:9" ht="12.75" x14ac:dyDescent="0.2">
      <c r="G538" s="78"/>
      <c r="I538" s="78"/>
    </row>
    <row r="539" spans="7:9" ht="12.75" x14ac:dyDescent="0.2">
      <c r="G539" s="78"/>
      <c r="I539" s="78"/>
    </row>
    <row r="540" spans="7:9" ht="12.75" x14ac:dyDescent="0.2">
      <c r="G540" s="78"/>
      <c r="I540" s="78"/>
    </row>
    <row r="541" spans="7:9" ht="12.75" x14ac:dyDescent="0.2">
      <c r="G541" s="78"/>
      <c r="I541" s="78"/>
    </row>
    <row r="542" spans="7:9" ht="12.75" x14ac:dyDescent="0.2">
      <c r="G542" s="78"/>
      <c r="I542" s="78"/>
    </row>
    <row r="543" spans="7:9" ht="12.75" x14ac:dyDescent="0.2">
      <c r="G543" s="78"/>
      <c r="I543" s="78"/>
    </row>
    <row r="544" spans="7:9" ht="12.75" x14ac:dyDescent="0.2">
      <c r="G544" s="78"/>
      <c r="I544" s="78"/>
    </row>
    <row r="545" spans="7:9" ht="12.75" x14ac:dyDescent="0.2">
      <c r="G545" s="78"/>
      <c r="I545" s="78"/>
    </row>
    <row r="546" spans="7:9" ht="12.75" x14ac:dyDescent="0.2">
      <c r="G546" s="78"/>
      <c r="I546" s="78"/>
    </row>
    <row r="547" spans="7:9" ht="12.75" x14ac:dyDescent="0.2">
      <c r="G547" s="78"/>
      <c r="I547" s="78"/>
    </row>
    <row r="548" spans="7:9" ht="12.75" x14ac:dyDescent="0.2">
      <c r="G548" s="78"/>
      <c r="I548" s="78"/>
    </row>
    <row r="549" spans="7:9" ht="12.75" x14ac:dyDescent="0.2">
      <c r="G549" s="78"/>
      <c r="I549" s="78"/>
    </row>
    <row r="550" spans="7:9" ht="12.75" x14ac:dyDescent="0.2">
      <c r="G550" s="78"/>
      <c r="I550" s="78"/>
    </row>
    <row r="551" spans="7:9" ht="12.75" x14ac:dyDescent="0.2">
      <c r="G551" s="78"/>
      <c r="I551" s="78"/>
    </row>
    <row r="552" spans="7:9" ht="12.75" x14ac:dyDescent="0.2">
      <c r="G552" s="78"/>
      <c r="I552" s="78"/>
    </row>
    <row r="553" spans="7:9" ht="12.75" x14ac:dyDescent="0.2">
      <c r="G553" s="78"/>
      <c r="I553" s="78"/>
    </row>
    <row r="554" spans="7:9" ht="12.75" x14ac:dyDescent="0.2">
      <c r="G554" s="78"/>
      <c r="I554" s="78"/>
    </row>
    <row r="555" spans="7:9" ht="12.75" x14ac:dyDescent="0.2">
      <c r="G555" s="78"/>
      <c r="I555" s="78"/>
    </row>
    <row r="556" spans="7:9" ht="12.75" x14ac:dyDescent="0.2">
      <c r="G556" s="78"/>
      <c r="I556" s="78"/>
    </row>
    <row r="557" spans="7:9" ht="12.75" x14ac:dyDescent="0.2">
      <c r="G557" s="78"/>
      <c r="I557" s="78"/>
    </row>
    <row r="558" spans="7:9" ht="12.75" x14ac:dyDescent="0.2">
      <c r="G558" s="78"/>
      <c r="I558" s="78"/>
    </row>
    <row r="559" spans="7:9" ht="12.75" x14ac:dyDescent="0.2">
      <c r="G559" s="78"/>
      <c r="I559" s="78"/>
    </row>
    <row r="560" spans="7:9" ht="12.75" x14ac:dyDescent="0.2">
      <c r="G560" s="78"/>
      <c r="I560" s="78"/>
    </row>
    <row r="561" spans="7:9" ht="12.75" x14ac:dyDescent="0.2">
      <c r="G561" s="78"/>
      <c r="I561" s="78"/>
    </row>
    <row r="562" spans="7:9" ht="12.75" x14ac:dyDescent="0.2">
      <c r="G562" s="78"/>
      <c r="I562" s="78"/>
    </row>
    <row r="563" spans="7:9" ht="12.75" x14ac:dyDescent="0.2">
      <c r="G563" s="78"/>
      <c r="I563" s="78"/>
    </row>
    <row r="564" spans="7:9" ht="12.75" x14ac:dyDescent="0.2">
      <c r="G564" s="78"/>
      <c r="I564" s="78"/>
    </row>
    <row r="565" spans="7:9" ht="12.75" x14ac:dyDescent="0.2">
      <c r="G565" s="78"/>
      <c r="I565" s="78"/>
    </row>
    <row r="566" spans="7:9" ht="12.75" x14ac:dyDescent="0.2">
      <c r="G566" s="78"/>
      <c r="I566" s="78"/>
    </row>
    <row r="567" spans="7:9" ht="12.75" x14ac:dyDescent="0.2">
      <c r="G567" s="78"/>
      <c r="I567" s="78"/>
    </row>
    <row r="568" spans="7:9" ht="12.75" x14ac:dyDescent="0.2">
      <c r="G568" s="78"/>
      <c r="I568" s="78"/>
    </row>
    <row r="569" spans="7:9" ht="12.75" x14ac:dyDescent="0.2">
      <c r="G569" s="78"/>
      <c r="I569" s="78"/>
    </row>
    <row r="570" spans="7:9" ht="12.75" x14ac:dyDescent="0.2">
      <c r="G570" s="78"/>
      <c r="I570" s="78"/>
    </row>
    <row r="571" spans="7:9" ht="12.75" x14ac:dyDescent="0.2">
      <c r="G571" s="78"/>
      <c r="I571" s="78"/>
    </row>
    <row r="572" spans="7:9" ht="12.75" x14ac:dyDescent="0.2">
      <c r="G572" s="78"/>
      <c r="I572" s="78"/>
    </row>
    <row r="573" spans="7:9" ht="12.75" x14ac:dyDescent="0.2">
      <c r="G573" s="78"/>
      <c r="I573" s="78"/>
    </row>
    <row r="574" spans="7:9" ht="12.75" x14ac:dyDescent="0.2">
      <c r="G574" s="78"/>
      <c r="I574" s="78"/>
    </row>
    <row r="575" spans="7:9" ht="12.75" x14ac:dyDescent="0.2">
      <c r="G575" s="78"/>
      <c r="I575" s="78"/>
    </row>
    <row r="576" spans="7:9" ht="12.75" x14ac:dyDescent="0.2">
      <c r="G576" s="78"/>
      <c r="I576" s="78"/>
    </row>
    <row r="577" spans="7:9" ht="12.75" x14ac:dyDescent="0.2">
      <c r="G577" s="78"/>
      <c r="I577" s="78"/>
    </row>
    <row r="578" spans="7:9" ht="12.75" x14ac:dyDescent="0.2">
      <c r="G578" s="78"/>
      <c r="I578" s="78"/>
    </row>
    <row r="579" spans="7:9" ht="12.75" x14ac:dyDescent="0.2">
      <c r="G579" s="78"/>
      <c r="I579" s="78"/>
    </row>
    <row r="580" spans="7:9" ht="12.75" x14ac:dyDescent="0.2">
      <c r="G580" s="78"/>
      <c r="I580" s="78"/>
    </row>
    <row r="581" spans="7:9" ht="12.75" x14ac:dyDescent="0.2">
      <c r="G581" s="78"/>
      <c r="I581" s="78"/>
    </row>
    <row r="582" spans="7:9" ht="12.75" x14ac:dyDescent="0.2">
      <c r="G582" s="78"/>
      <c r="I582" s="78"/>
    </row>
    <row r="583" spans="7:9" ht="12.75" x14ac:dyDescent="0.2">
      <c r="G583" s="78"/>
      <c r="I583" s="78"/>
    </row>
    <row r="584" spans="7:9" ht="12.75" x14ac:dyDescent="0.2">
      <c r="G584" s="78"/>
      <c r="I584" s="78"/>
    </row>
    <row r="585" spans="7:9" ht="12.75" x14ac:dyDescent="0.2">
      <c r="G585" s="78"/>
      <c r="I585" s="78"/>
    </row>
    <row r="586" spans="7:9" ht="12.75" x14ac:dyDescent="0.2">
      <c r="G586" s="78"/>
      <c r="I586" s="78"/>
    </row>
    <row r="587" spans="7:9" ht="12.75" x14ac:dyDescent="0.2">
      <c r="G587" s="78"/>
      <c r="I587" s="78"/>
    </row>
    <row r="588" spans="7:9" ht="12.75" x14ac:dyDescent="0.2">
      <c r="G588" s="78"/>
      <c r="I588" s="78"/>
    </row>
    <row r="589" spans="7:9" ht="12.75" x14ac:dyDescent="0.2">
      <c r="G589" s="78"/>
      <c r="I589" s="78"/>
    </row>
    <row r="590" spans="7:9" ht="12.75" x14ac:dyDescent="0.2">
      <c r="G590" s="78"/>
      <c r="I590" s="78"/>
    </row>
    <row r="591" spans="7:9" ht="12.75" x14ac:dyDescent="0.2">
      <c r="G591" s="78"/>
      <c r="I591" s="78"/>
    </row>
    <row r="592" spans="7:9" ht="12.75" x14ac:dyDescent="0.2">
      <c r="G592" s="78"/>
      <c r="I592" s="78"/>
    </row>
    <row r="593" spans="7:9" ht="12.75" x14ac:dyDescent="0.2">
      <c r="G593" s="78"/>
      <c r="I593" s="78"/>
    </row>
    <row r="594" spans="7:9" ht="12.75" x14ac:dyDescent="0.2">
      <c r="G594" s="78"/>
      <c r="I594" s="78"/>
    </row>
    <row r="595" spans="7:9" ht="12.75" x14ac:dyDescent="0.2">
      <c r="G595" s="78"/>
      <c r="I595" s="78"/>
    </row>
    <row r="596" spans="7:9" ht="12.75" x14ac:dyDescent="0.2">
      <c r="G596" s="78"/>
      <c r="I596" s="78"/>
    </row>
    <row r="597" spans="7:9" ht="12.75" x14ac:dyDescent="0.2">
      <c r="G597" s="78"/>
      <c r="I597" s="78"/>
    </row>
    <row r="598" spans="7:9" ht="12.75" x14ac:dyDescent="0.2">
      <c r="G598" s="78"/>
      <c r="I598" s="78"/>
    </row>
    <row r="599" spans="7:9" ht="12.75" x14ac:dyDescent="0.2">
      <c r="G599" s="78"/>
      <c r="I599" s="78"/>
    </row>
    <row r="600" spans="7:9" ht="12.75" x14ac:dyDescent="0.2">
      <c r="G600" s="78"/>
      <c r="I600" s="78"/>
    </row>
    <row r="601" spans="7:9" ht="12.75" x14ac:dyDescent="0.2">
      <c r="G601" s="78"/>
      <c r="I601" s="78"/>
    </row>
    <row r="602" spans="7:9" ht="12.75" x14ac:dyDescent="0.2">
      <c r="G602" s="78"/>
      <c r="I602" s="78"/>
    </row>
    <row r="603" spans="7:9" ht="12.75" x14ac:dyDescent="0.2">
      <c r="G603" s="78"/>
      <c r="I603" s="78"/>
    </row>
    <row r="604" spans="7:9" ht="12.75" x14ac:dyDescent="0.2">
      <c r="G604" s="78"/>
      <c r="I604" s="78"/>
    </row>
    <row r="605" spans="7:9" ht="12.75" x14ac:dyDescent="0.2">
      <c r="G605" s="78"/>
      <c r="I605" s="78"/>
    </row>
    <row r="606" spans="7:9" ht="12.75" x14ac:dyDescent="0.2">
      <c r="G606" s="78"/>
      <c r="I606" s="78"/>
    </row>
    <row r="607" spans="7:9" ht="12.75" x14ac:dyDescent="0.2">
      <c r="G607" s="78"/>
      <c r="I607" s="78"/>
    </row>
    <row r="608" spans="7:9" ht="12.75" x14ac:dyDescent="0.2">
      <c r="G608" s="78"/>
      <c r="I608" s="78"/>
    </row>
    <row r="609" spans="7:9" ht="12.75" x14ac:dyDescent="0.2">
      <c r="G609" s="78"/>
      <c r="I609" s="78"/>
    </row>
    <row r="610" spans="7:9" ht="12.75" x14ac:dyDescent="0.2">
      <c r="G610" s="78"/>
      <c r="I610" s="78"/>
    </row>
    <row r="611" spans="7:9" ht="12.75" x14ac:dyDescent="0.2">
      <c r="G611" s="78"/>
      <c r="I611" s="78"/>
    </row>
    <row r="612" spans="7:9" ht="12.75" x14ac:dyDescent="0.2">
      <c r="G612" s="78"/>
      <c r="I612" s="78"/>
    </row>
    <row r="613" spans="7:9" ht="12.75" x14ac:dyDescent="0.2">
      <c r="G613" s="78"/>
      <c r="I613" s="78"/>
    </row>
    <row r="614" spans="7:9" ht="12.75" x14ac:dyDescent="0.2">
      <c r="G614" s="78"/>
      <c r="I614" s="78"/>
    </row>
    <row r="615" spans="7:9" ht="12.75" x14ac:dyDescent="0.2">
      <c r="G615" s="78"/>
      <c r="I615" s="78"/>
    </row>
    <row r="616" spans="7:9" ht="12.75" x14ac:dyDescent="0.2">
      <c r="G616" s="78"/>
      <c r="I616" s="78"/>
    </row>
    <row r="617" spans="7:9" ht="12.75" x14ac:dyDescent="0.2">
      <c r="G617" s="78"/>
      <c r="I617" s="78"/>
    </row>
    <row r="618" spans="7:9" ht="12.75" x14ac:dyDescent="0.2">
      <c r="G618" s="78"/>
      <c r="I618" s="78"/>
    </row>
    <row r="619" spans="7:9" ht="12.75" x14ac:dyDescent="0.2">
      <c r="G619" s="78"/>
      <c r="I619" s="78"/>
    </row>
    <row r="620" spans="7:9" ht="12.75" x14ac:dyDescent="0.2">
      <c r="G620" s="78"/>
      <c r="I620" s="78"/>
    </row>
    <row r="621" spans="7:9" ht="12.75" x14ac:dyDescent="0.2">
      <c r="G621" s="78"/>
      <c r="I621" s="78"/>
    </row>
    <row r="622" spans="7:9" ht="12.75" x14ac:dyDescent="0.2">
      <c r="G622" s="78"/>
      <c r="I622" s="78"/>
    </row>
    <row r="623" spans="7:9" ht="12.75" x14ac:dyDescent="0.2">
      <c r="G623" s="78"/>
      <c r="I623" s="78"/>
    </row>
    <row r="624" spans="7:9" ht="12.75" x14ac:dyDescent="0.2">
      <c r="G624" s="78"/>
      <c r="I624" s="78"/>
    </row>
    <row r="625" spans="7:9" ht="12.75" x14ac:dyDescent="0.2">
      <c r="G625" s="78"/>
      <c r="I625" s="78"/>
    </row>
    <row r="626" spans="7:9" ht="12.75" x14ac:dyDescent="0.2">
      <c r="G626" s="78"/>
      <c r="I626" s="78"/>
    </row>
    <row r="627" spans="7:9" ht="12.75" x14ac:dyDescent="0.2">
      <c r="G627" s="78"/>
      <c r="I627" s="78"/>
    </row>
    <row r="628" spans="7:9" ht="12.75" x14ac:dyDescent="0.2">
      <c r="G628" s="78"/>
      <c r="I628" s="78"/>
    </row>
    <row r="629" spans="7:9" ht="12.75" x14ac:dyDescent="0.2">
      <c r="G629" s="78"/>
      <c r="I629" s="78"/>
    </row>
    <row r="630" spans="7:9" ht="12.75" x14ac:dyDescent="0.2">
      <c r="G630" s="78"/>
      <c r="I630" s="78"/>
    </row>
    <row r="631" spans="7:9" ht="12.75" x14ac:dyDescent="0.2">
      <c r="G631" s="78"/>
      <c r="I631" s="78"/>
    </row>
    <row r="632" spans="7:9" ht="12.75" x14ac:dyDescent="0.2">
      <c r="G632" s="78"/>
      <c r="I632" s="78"/>
    </row>
    <row r="633" spans="7:9" ht="12.75" x14ac:dyDescent="0.2">
      <c r="G633" s="78"/>
      <c r="I633" s="78"/>
    </row>
    <row r="634" spans="7:9" ht="12.75" x14ac:dyDescent="0.2">
      <c r="G634" s="78"/>
      <c r="I634" s="78"/>
    </row>
    <row r="635" spans="7:9" ht="12.75" x14ac:dyDescent="0.2">
      <c r="G635" s="78"/>
      <c r="I635" s="78"/>
    </row>
    <row r="636" spans="7:9" ht="12.75" x14ac:dyDescent="0.2">
      <c r="G636" s="78"/>
      <c r="I636" s="78"/>
    </row>
    <row r="637" spans="7:9" ht="12.75" x14ac:dyDescent="0.2">
      <c r="G637" s="78"/>
      <c r="I637" s="78"/>
    </row>
    <row r="638" spans="7:9" ht="12.75" x14ac:dyDescent="0.2">
      <c r="G638" s="78"/>
      <c r="I638" s="78"/>
    </row>
    <row r="639" spans="7:9" ht="12.75" x14ac:dyDescent="0.2">
      <c r="G639" s="78"/>
      <c r="I639" s="78"/>
    </row>
    <row r="640" spans="7:9" ht="12.75" x14ac:dyDescent="0.2">
      <c r="G640" s="78"/>
      <c r="I640" s="78"/>
    </row>
    <row r="641" spans="7:9" ht="12.75" x14ac:dyDescent="0.2">
      <c r="G641" s="78"/>
      <c r="I641" s="78"/>
    </row>
    <row r="642" spans="7:9" ht="12.75" x14ac:dyDescent="0.2">
      <c r="G642" s="78"/>
      <c r="I642" s="78"/>
    </row>
    <row r="643" spans="7:9" ht="12.75" x14ac:dyDescent="0.2">
      <c r="G643" s="78"/>
      <c r="I643" s="78"/>
    </row>
    <row r="644" spans="7:9" ht="12.75" x14ac:dyDescent="0.2">
      <c r="G644" s="78"/>
      <c r="I644" s="78"/>
    </row>
    <row r="645" spans="7:9" ht="12.75" x14ac:dyDescent="0.2">
      <c r="G645" s="78"/>
      <c r="I645" s="78"/>
    </row>
    <row r="646" spans="7:9" ht="12.75" x14ac:dyDescent="0.2">
      <c r="G646" s="78"/>
      <c r="I646" s="78"/>
    </row>
    <row r="647" spans="7:9" ht="12.75" x14ac:dyDescent="0.2">
      <c r="G647" s="78"/>
      <c r="I647" s="78"/>
    </row>
    <row r="648" spans="7:9" ht="12.75" x14ac:dyDescent="0.2">
      <c r="G648" s="78"/>
      <c r="I648" s="78"/>
    </row>
    <row r="649" spans="7:9" ht="12.75" x14ac:dyDescent="0.2">
      <c r="G649" s="78"/>
      <c r="I649" s="78"/>
    </row>
    <row r="650" spans="7:9" ht="12.75" x14ac:dyDescent="0.2">
      <c r="G650" s="78"/>
      <c r="I650" s="78"/>
    </row>
    <row r="651" spans="7:9" ht="12.75" x14ac:dyDescent="0.2">
      <c r="G651" s="78"/>
      <c r="I651" s="78"/>
    </row>
    <row r="652" spans="7:9" ht="12.75" x14ac:dyDescent="0.2">
      <c r="G652" s="78"/>
      <c r="I652" s="78"/>
    </row>
    <row r="653" spans="7:9" ht="12.75" x14ac:dyDescent="0.2">
      <c r="G653" s="78"/>
      <c r="I653" s="78"/>
    </row>
    <row r="654" spans="7:9" ht="12.75" x14ac:dyDescent="0.2">
      <c r="G654" s="78"/>
      <c r="I654" s="78"/>
    </row>
    <row r="655" spans="7:9" ht="12.75" x14ac:dyDescent="0.2">
      <c r="G655" s="78"/>
      <c r="I655" s="78"/>
    </row>
    <row r="656" spans="7:9" ht="12.75" x14ac:dyDescent="0.2">
      <c r="G656" s="78"/>
      <c r="I656" s="78"/>
    </row>
    <row r="657" spans="7:9" ht="12.75" x14ac:dyDescent="0.2">
      <c r="G657" s="78"/>
      <c r="I657" s="78"/>
    </row>
    <row r="658" spans="7:9" ht="12.75" x14ac:dyDescent="0.2">
      <c r="G658" s="78"/>
      <c r="I658" s="78"/>
    </row>
    <row r="659" spans="7:9" ht="12.75" x14ac:dyDescent="0.2">
      <c r="G659" s="78"/>
      <c r="I659" s="78"/>
    </row>
    <row r="660" spans="7:9" ht="12.75" x14ac:dyDescent="0.2">
      <c r="G660" s="78"/>
      <c r="I660" s="78"/>
    </row>
    <row r="661" spans="7:9" ht="12.75" x14ac:dyDescent="0.2">
      <c r="G661" s="78"/>
      <c r="I661" s="78"/>
    </row>
    <row r="662" spans="7:9" ht="12.75" x14ac:dyDescent="0.2">
      <c r="G662" s="78"/>
      <c r="I662" s="78"/>
    </row>
    <row r="663" spans="7:9" ht="12.75" x14ac:dyDescent="0.2">
      <c r="G663" s="78"/>
      <c r="I663" s="78"/>
    </row>
    <row r="664" spans="7:9" ht="12.75" x14ac:dyDescent="0.2">
      <c r="G664" s="78"/>
      <c r="I664" s="78"/>
    </row>
    <row r="665" spans="7:9" ht="12.75" x14ac:dyDescent="0.2">
      <c r="G665" s="78"/>
      <c r="I665" s="78"/>
    </row>
    <row r="666" spans="7:9" ht="12.75" x14ac:dyDescent="0.2">
      <c r="G666" s="78"/>
      <c r="I666" s="78"/>
    </row>
    <row r="667" spans="7:9" ht="12.75" x14ac:dyDescent="0.2">
      <c r="G667" s="78"/>
      <c r="I667" s="78"/>
    </row>
    <row r="668" spans="7:9" ht="12.75" x14ac:dyDescent="0.2">
      <c r="G668" s="78"/>
      <c r="I668" s="78"/>
    </row>
    <row r="669" spans="7:9" ht="12.75" x14ac:dyDescent="0.2">
      <c r="G669" s="78"/>
      <c r="I669" s="78"/>
    </row>
    <row r="670" spans="7:9" ht="12.75" x14ac:dyDescent="0.2">
      <c r="G670" s="78"/>
      <c r="I670" s="78"/>
    </row>
    <row r="671" spans="7:9" ht="12.75" x14ac:dyDescent="0.2">
      <c r="G671" s="78"/>
      <c r="I671" s="78"/>
    </row>
    <row r="672" spans="7:9" ht="12.75" x14ac:dyDescent="0.2">
      <c r="G672" s="78"/>
      <c r="I672" s="78"/>
    </row>
    <row r="673" spans="7:9" ht="12.75" x14ac:dyDescent="0.2">
      <c r="G673" s="78"/>
      <c r="I673" s="78"/>
    </row>
    <row r="674" spans="7:9" ht="12.75" x14ac:dyDescent="0.2">
      <c r="G674" s="78"/>
      <c r="I674" s="78"/>
    </row>
    <row r="675" spans="7:9" ht="12.75" x14ac:dyDescent="0.2">
      <c r="G675" s="78"/>
      <c r="I675" s="78"/>
    </row>
    <row r="676" spans="7:9" ht="12.75" x14ac:dyDescent="0.2">
      <c r="G676" s="78"/>
      <c r="I676" s="78"/>
    </row>
    <row r="677" spans="7:9" ht="12.75" x14ac:dyDescent="0.2">
      <c r="G677" s="78"/>
      <c r="I677" s="78"/>
    </row>
    <row r="678" spans="7:9" ht="12.75" x14ac:dyDescent="0.2">
      <c r="G678" s="78"/>
      <c r="I678" s="78"/>
    </row>
    <row r="679" spans="7:9" ht="12.75" x14ac:dyDescent="0.2">
      <c r="G679" s="78"/>
      <c r="I679" s="78"/>
    </row>
    <row r="680" spans="7:9" ht="12.75" x14ac:dyDescent="0.2">
      <c r="G680" s="78"/>
      <c r="I680" s="78"/>
    </row>
    <row r="681" spans="7:9" ht="12.75" x14ac:dyDescent="0.2">
      <c r="G681" s="78"/>
      <c r="I681" s="78"/>
    </row>
    <row r="682" spans="7:9" ht="12.75" x14ac:dyDescent="0.2">
      <c r="G682" s="78"/>
      <c r="I682" s="78"/>
    </row>
    <row r="683" spans="7:9" ht="12.75" x14ac:dyDescent="0.2">
      <c r="G683" s="78"/>
      <c r="I683" s="78"/>
    </row>
    <row r="684" spans="7:9" ht="12.75" x14ac:dyDescent="0.2">
      <c r="G684" s="78"/>
      <c r="I684" s="78"/>
    </row>
    <row r="685" spans="7:9" ht="12.75" x14ac:dyDescent="0.2">
      <c r="G685" s="78"/>
      <c r="I685" s="78"/>
    </row>
    <row r="686" spans="7:9" ht="12.75" x14ac:dyDescent="0.2">
      <c r="G686" s="78"/>
      <c r="I686" s="78"/>
    </row>
    <row r="687" spans="7:9" ht="12.75" x14ac:dyDescent="0.2">
      <c r="G687" s="78"/>
      <c r="I687" s="78"/>
    </row>
    <row r="688" spans="7:9" ht="12.75" x14ac:dyDescent="0.2">
      <c r="G688" s="78"/>
      <c r="I688" s="78"/>
    </row>
    <row r="689" spans="7:9" ht="12.75" x14ac:dyDescent="0.2">
      <c r="G689" s="78"/>
      <c r="I689" s="78"/>
    </row>
    <row r="690" spans="7:9" ht="12.75" x14ac:dyDescent="0.2">
      <c r="G690" s="78"/>
      <c r="I690" s="78"/>
    </row>
    <row r="691" spans="7:9" ht="12.75" x14ac:dyDescent="0.2">
      <c r="G691" s="78"/>
      <c r="I691" s="78"/>
    </row>
    <row r="692" spans="7:9" ht="12.75" x14ac:dyDescent="0.2">
      <c r="G692" s="78"/>
      <c r="I692" s="78"/>
    </row>
    <row r="693" spans="7:9" ht="12.75" x14ac:dyDescent="0.2">
      <c r="G693" s="78"/>
      <c r="I693" s="78"/>
    </row>
    <row r="694" spans="7:9" ht="12.75" x14ac:dyDescent="0.2">
      <c r="G694" s="78"/>
      <c r="I694" s="78"/>
    </row>
    <row r="695" spans="7:9" ht="12.75" x14ac:dyDescent="0.2">
      <c r="G695" s="78"/>
      <c r="I695" s="78"/>
    </row>
    <row r="696" spans="7:9" ht="12.75" x14ac:dyDescent="0.2">
      <c r="G696" s="78"/>
      <c r="I696" s="78"/>
    </row>
    <row r="697" spans="7:9" ht="12.75" x14ac:dyDescent="0.2">
      <c r="G697" s="78"/>
      <c r="I697" s="78"/>
    </row>
    <row r="698" spans="7:9" ht="12.75" x14ac:dyDescent="0.2">
      <c r="G698" s="78"/>
      <c r="I698" s="78"/>
    </row>
    <row r="699" spans="7:9" ht="12.75" x14ac:dyDescent="0.2">
      <c r="G699" s="78"/>
      <c r="I699" s="78"/>
    </row>
    <row r="700" spans="7:9" ht="12.75" x14ac:dyDescent="0.2">
      <c r="G700" s="78"/>
      <c r="I700" s="78"/>
    </row>
    <row r="701" spans="7:9" ht="12.75" x14ac:dyDescent="0.2">
      <c r="G701" s="78"/>
      <c r="I701" s="78"/>
    </row>
    <row r="702" spans="7:9" ht="12.75" x14ac:dyDescent="0.2">
      <c r="G702" s="78"/>
      <c r="I702" s="78"/>
    </row>
    <row r="703" spans="7:9" ht="12.75" x14ac:dyDescent="0.2">
      <c r="G703" s="78"/>
      <c r="I703" s="78"/>
    </row>
    <row r="704" spans="7:9" ht="12.75" x14ac:dyDescent="0.2">
      <c r="G704" s="78"/>
      <c r="I704" s="78"/>
    </row>
    <row r="705" spans="7:9" ht="12.75" x14ac:dyDescent="0.2">
      <c r="G705" s="78"/>
      <c r="I705" s="78"/>
    </row>
    <row r="706" spans="7:9" ht="12.75" x14ac:dyDescent="0.2">
      <c r="G706" s="78"/>
      <c r="I706" s="78"/>
    </row>
    <row r="707" spans="7:9" ht="12.75" x14ac:dyDescent="0.2">
      <c r="G707" s="78"/>
      <c r="I707" s="78"/>
    </row>
    <row r="708" spans="7:9" ht="12.75" x14ac:dyDescent="0.2">
      <c r="G708" s="78"/>
      <c r="I708" s="78"/>
    </row>
    <row r="709" spans="7:9" ht="12.75" x14ac:dyDescent="0.2">
      <c r="G709" s="78"/>
      <c r="I709" s="78"/>
    </row>
    <row r="710" spans="7:9" ht="12.75" x14ac:dyDescent="0.2">
      <c r="G710" s="78"/>
      <c r="I710" s="78"/>
    </row>
    <row r="711" spans="7:9" ht="12.75" x14ac:dyDescent="0.2">
      <c r="G711" s="78"/>
      <c r="I711" s="78"/>
    </row>
    <row r="712" spans="7:9" ht="12.75" x14ac:dyDescent="0.2">
      <c r="G712" s="78"/>
      <c r="I712" s="78"/>
    </row>
    <row r="713" spans="7:9" ht="12.75" x14ac:dyDescent="0.2">
      <c r="G713" s="78"/>
      <c r="I713" s="78"/>
    </row>
    <row r="714" spans="7:9" ht="12.75" x14ac:dyDescent="0.2">
      <c r="G714" s="78"/>
      <c r="I714" s="78"/>
    </row>
    <row r="715" spans="7:9" ht="12.75" x14ac:dyDescent="0.2">
      <c r="G715" s="78"/>
      <c r="I715" s="78"/>
    </row>
    <row r="716" spans="7:9" ht="12.75" x14ac:dyDescent="0.2">
      <c r="G716" s="78"/>
      <c r="I716" s="78"/>
    </row>
    <row r="717" spans="7:9" ht="12.75" x14ac:dyDescent="0.2">
      <c r="G717" s="78"/>
      <c r="I717" s="78"/>
    </row>
    <row r="718" spans="7:9" ht="12.75" x14ac:dyDescent="0.2">
      <c r="G718" s="78"/>
      <c r="I718" s="78"/>
    </row>
    <row r="719" spans="7:9" ht="12.75" x14ac:dyDescent="0.2">
      <c r="G719" s="78"/>
      <c r="I719" s="78"/>
    </row>
    <row r="720" spans="7:9" ht="12.75" x14ac:dyDescent="0.2">
      <c r="G720" s="78"/>
      <c r="I720" s="78"/>
    </row>
    <row r="721" spans="7:9" ht="12.75" x14ac:dyDescent="0.2">
      <c r="G721" s="78"/>
      <c r="I721" s="78"/>
    </row>
    <row r="722" spans="7:9" ht="12.75" x14ac:dyDescent="0.2">
      <c r="G722" s="78"/>
      <c r="I722" s="78"/>
    </row>
    <row r="723" spans="7:9" ht="12.75" x14ac:dyDescent="0.2">
      <c r="G723" s="78"/>
      <c r="I723" s="78"/>
    </row>
    <row r="724" spans="7:9" ht="12.75" x14ac:dyDescent="0.2">
      <c r="G724" s="78"/>
      <c r="I724" s="78"/>
    </row>
    <row r="725" spans="7:9" ht="12.75" x14ac:dyDescent="0.2">
      <c r="G725" s="78"/>
      <c r="I725" s="78"/>
    </row>
    <row r="726" spans="7:9" ht="12.75" x14ac:dyDescent="0.2">
      <c r="G726" s="78"/>
      <c r="I726" s="78"/>
    </row>
    <row r="727" spans="7:9" ht="12.75" x14ac:dyDescent="0.2">
      <c r="G727" s="78"/>
      <c r="I727" s="78"/>
    </row>
    <row r="728" spans="7:9" ht="12.75" x14ac:dyDescent="0.2">
      <c r="G728" s="78"/>
      <c r="I728" s="78"/>
    </row>
    <row r="729" spans="7:9" ht="12.75" x14ac:dyDescent="0.2">
      <c r="G729" s="78"/>
      <c r="I729" s="78"/>
    </row>
    <row r="730" spans="7:9" ht="12.75" x14ac:dyDescent="0.2">
      <c r="G730" s="78"/>
      <c r="I730" s="78"/>
    </row>
    <row r="731" spans="7:9" ht="12.75" x14ac:dyDescent="0.2">
      <c r="G731" s="78"/>
      <c r="I731" s="78"/>
    </row>
    <row r="732" spans="7:9" ht="12.75" x14ac:dyDescent="0.2">
      <c r="G732" s="78"/>
      <c r="I732" s="78"/>
    </row>
    <row r="733" spans="7:9" ht="12.75" x14ac:dyDescent="0.2">
      <c r="G733" s="78"/>
      <c r="I733" s="78"/>
    </row>
    <row r="734" spans="7:9" ht="12.75" x14ac:dyDescent="0.2">
      <c r="G734" s="78"/>
      <c r="I734" s="78"/>
    </row>
    <row r="735" spans="7:9" ht="12.75" x14ac:dyDescent="0.2">
      <c r="G735" s="78"/>
      <c r="I735" s="78"/>
    </row>
    <row r="736" spans="7:9" ht="12.75" x14ac:dyDescent="0.2">
      <c r="G736" s="78"/>
      <c r="I736" s="78"/>
    </row>
    <row r="737" spans="7:9" ht="12.75" x14ac:dyDescent="0.2">
      <c r="G737" s="78"/>
      <c r="I737" s="78"/>
    </row>
    <row r="738" spans="7:9" ht="12.75" x14ac:dyDescent="0.2">
      <c r="G738" s="78"/>
      <c r="I738" s="78"/>
    </row>
    <row r="739" spans="7:9" ht="12.75" x14ac:dyDescent="0.2">
      <c r="G739" s="78"/>
      <c r="I739" s="78"/>
    </row>
    <row r="740" spans="7:9" ht="12.75" x14ac:dyDescent="0.2">
      <c r="G740" s="78"/>
      <c r="I740" s="78"/>
    </row>
    <row r="741" spans="7:9" ht="12.75" x14ac:dyDescent="0.2">
      <c r="G741" s="78"/>
      <c r="I741" s="78"/>
    </row>
    <row r="742" spans="7:9" ht="12.75" x14ac:dyDescent="0.2">
      <c r="G742" s="78"/>
      <c r="I742" s="78"/>
    </row>
    <row r="743" spans="7:9" ht="12.75" x14ac:dyDescent="0.2">
      <c r="G743" s="78"/>
      <c r="I743" s="78"/>
    </row>
    <row r="744" spans="7:9" ht="12.75" x14ac:dyDescent="0.2">
      <c r="G744" s="78"/>
      <c r="I744" s="78"/>
    </row>
    <row r="745" spans="7:9" ht="12.75" x14ac:dyDescent="0.2">
      <c r="G745" s="78"/>
      <c r="I745" s="78"/>
    </row>
    <row r="746" spans="7:9" ht="12.75" x14ac:dyDescent="0.2">
      <c r="G746" s="78"/>
      <c r="I746" s="78"/>
    </row>
    <row r="747" spans="7:9" ht="12.75" x14ac:dyDescent="0.2">
      <c r="G747" s="78"/>
      <c r="I747" s="78"/>
    </row>
    <row r="748" spans="7:9" ht="12.75" x14ac:dyDescent="0.2">
      <c r="G748" s="78"/>
      <c r="I748" s="78"/>
    </row>
    <row r="749" spans="7:9" ht="12.75" x14ac:dyDescent="0.2">
      <c r="G749" s="78"/>
      <c r="I749" s="78"/>
    </row>
    <row r="750" spans="7:9" ht="12.75" x14ac:dyDescent="0.2">
      <c r="G750" s="78"/>
      <c r="I750" s="78"/>
    </row>
    <row r="751" spans="7:9" ht="12.75" x14ac:dyDescent="0.2">
      <c r="G751" s="78"/>
      <c r="I751" s="78"/>
    </row>
    <row r="752" spans="7:9" ht="12.75" x14ac:dyDescent="0.2">
      <c r="G752" s="78"/>
      <c r="I752" s="78"/>
    </row>
    <row r="753" spans="7:9" ht="12.75" x14ac:dyDescent="0.2">
      <c r="G753" s="78"/>
      <c r="I753" s="78"/>
    </row>
    <row r="754" spans="7:9" ht="12.75" x14ac:dyDescent="0.2">
      <c r="G754" s="78"/>
      <c r="I754" s="78"/>
    </row>
    <row r="755" spans="7:9" ht="12.75" x14ac:dyDescent="0.2">
      <c r="G755" s="78"/>
      <c r="I755" s="78"/>
    </row>
    <row r="756" spans="7:9" ht="12.75" x14ac:dyDescent="0.2">
      <c r="G756" s="78"/>
      <c r="I756" s="78"/>
    </row>
    <row r="757" spans="7:9" ht="12.75" x14ac:dyDescent="0.2">
      <c r="G757" s="78"/>
      <c r="I757" s="78"/>
    </row>
    <row r="758" spans="7:9" ht="12.75" x14ac:dyDescent="0.2">
      <c r="G758" s="78"/>
      <c r="I758" s="78"/>
    </row>
    <row r="759" spans="7:9" ht="12.75" x14ac:dyDescent="0.2">
      <c r="G759" s="78"/>
      <c r="I759" s="78"/>
    </row>
    <row r="760" spans="7:9" ht="12.75" x14ac:dyDescent="0.2">
      <c r="G760" s="78"/>
      <c r="I760" s="78"/>
    </row>
    <row r="761" spans="7:9" ht="12.75" x14ac:dyDescent="0.2">
      <c r="G761" s="78"/>
      <c r="I761" s="78"/>
    </row>
    <row r="762" spans="7:9" ht="12.75" x14ac:dyDescent="0.2">
      <c r="G762" s="78"/>
      <c r="I762" s="78"/>
    </row>
    <row r="763" spans="7:9" ht="12.75" x14ac:dyDescent="0.2">
      <c r="G763" s="78"/>
      <c r="I763" s="78"/>
    </row>
    <row r="764" spans="7:9" ht="12.75" x14ac:dyDescent="0.2">
      <c r="G764" s="78"/>
      <c r="I764" s="78"/>
    </row>
    <row r="765" spans="7:9" ht="12.75" x14ac:dyDescent="0.2">
      <c r="G765" s="78"/>
      <c r="I765" s="78"/>
    </row>
    <row r="766" spans="7:9" ht="12.75" x14ac:dyDescent="0.2">
      <c r="G766" s="78"/>
      <c r="I766" s="78"/>
    </row>
    <row r="767" spans="7:9" ht="12.75" x14ac:dyDescent="0.2">
      <c r="G767" s="78"/>
      <c r="I767" s="78"/>
    </row>
    <row r="768" spans="7:9" ht="12.75" x14ac:dyDescent="0.2">
      <c r="G768" s="78"/>
      <c r="I768" s="78"/>
    </row>
    <row r="769" spans="7:9" ht="12.75" x14ac:dyDescent="0.2">
      <c r="G769" s="78"/>
      <c r="I769" s="78"/>
    </row>
    <row r="770" spans="7:9" ht="12.75" x14ac:dyDescent="0.2">
      <c r="G770" s="78"/>
      <c r="I770" s="78"/>
    </row>
    <row r="771" spans="7:9" ht="12.75" x14ac:dyDescent="0.2">
      <c r="G771" s="78"/>
      <c r="I771" s="78"/>
    </row>
    <row r="772" spans="7:9" ht="12.75" x14ac:dyDescent="0.2">
      <c r="G772" s="78"/>
      <c r="I772" s="78"/>
    </row>
    <row r="773" spans="7:9" ht="12.75" x14ac:dyDescent="0.2">
      <c r="G773" s="78"/>
      <c r="I773" s="78"/>
    </row>
    <row r="774" spans="7:9" ht="12.75" x14ac:dyDescent="0.2">
      <c r="G774" s="78"/>
      <c r="I774" s="78"/>
    </row>
    <row r="775" spans="7:9" ht="12.75" x14ac:dyDescent="0.2">
      <c r="G775" s="78"/>
      <c r="I775" s="78"/>
    </row>
    <row r="776" spans="7:9" ht="12.75" x14ac:dyDescent="0.2">
      <c r="G776" s="78"/>
      <c r="I776" s="78"/>
    </row>
    <row r="777" spans="7:9" ht="12.75" x14ac:dyDescent="0.2">
      <c r="G777" s="78"/>
      <c r="I777" s="78"/>
    </row>
    <row r="778" spans="7:9" ht="12.75" x14ac:dyDescent="0.2">
      <c r="G778" s="78"/>
      <c r="I778" s="78"/>
    </row>
    <row r="779" spans="7:9" ht="12.75" x14ac:dyDescent="0.2">
      <c r="G779" s="78"/>
      <c r="I779" s="78"/>
    </row>
    <row r="780" spans="7:9" ht="12.75" x14ac:dyDescent="0.2">
      <c r="G780" s="78"/>
      <c r="I780" s="78"/>
    </row>
    <row r="781" spans="7:9" ht="12.75" x14ac:dyDescent="0.2">
      <c r="G781" s="78"/>
      <c r="I781" s="78"/>
    </row>
    <row r="782" spans="7:9" ht="12.75" x14ac:dyDescent="0.2">
      <c r="G782" s="78"/>
      <c r="I782" s="78"/>
    </row>
    <row r="783" spans="7:9" ht="12.75" x14ac:dyDescent="0.2">
      <c r="G783" s="78"/>
      <c r="I783" s="78"/>
    </row>
    <row r="784" spans="7:9" ht="12.75" x14ac:dyDescent="0.2">
      <c r="G784" s="78"/>
      <c r="I784" s="78"/>
    </row>
    <row r="785" spans="7:9" ht="12.75" x14ac:dyDescent="0.2">
      <c r="G785" s="78"/>
      <c r="I785" s="78"/>
    </row>
    <row r="786" spans="7:9" ht="12.75" x14ac:dyDescent="0.2">
      <c r="G786" s="78"/>
      <c r="I786" s="78"/>
    </row>
    <row r="787" spans="7:9" ht="12.75" x14ac:dyDescent="0.2">
      <c r="G787" s="78"/>
      <c r="I787" s="78"/>
    </row>
    <row r="788" spans="7:9" ht="12.75" x14ac:dyDescent="0.2">
      <c r="G788" s="78"/>
      <c r="I788" s="78"/>
    </row>
    <row r="789" spans="7:9" ht="12.75" x14ac:dyDescent="0.2">
      <c r="G789" s="78"/>
      <c r="I789" s="78"/>
    </row>
    <row r="790" spans="7:9" ht="12.75" x14ac:dyDescent="0.2">
      <c r="G790" s="78"/>
      <c r="I790" s="78"/>
    </row>
    <row r="791" spans="7:9" ht="12.75" x14ac:dyDescent="0.2">
      <c r="G791" s="78"/>
      <c r="I791" s="78"/>
    </row>
    <row r="792" spans="7:9" ht="12.75" x14ac:dyDescent="0.2">
      <c r="G792" s="78"/>
      <c r="I792" s="78"/>
    </row>
    <row r="793" spans="7:9" ht="12.75" x14ac:dyDescent="0.2">
      <c r="G793" s="78"/>
      <c r="I793" s="78"/>
    </row>
    <row r="794" spans="7:9" ht="12.75" x14ac:dyDescent="0.2">
      <c r="G794" s="78"/>
      <c r="I794" s="78"/>
    </row>
    <row r="795" spans="7:9" ht="12.75" x14ac:dyDescent="0.2">
      <c r="G795" s="78"/>
      <c r="I795" s="78"/>
    </row>
    <row r="796" spans="7:9" ht="12.75" x14ac:dyDescent="0.2">
      <c r="G796" s="78"/>
      <c r="I796" s="78"/>
    </row>
    <row r="797" spans="7:9" ht="12.75" x14ac:dyDescent="0.2">
      <c r="G797" s="78"/>
      <c r="I797" s="78"/>
    </row>
    <row r="798" spans="7:9" ht="12.75" x14ac:dyDescent="0.2">
      <c r="G798" s="78"/>
      <c r="I798" s="78"/>
    </row>
    <row r="799" spans="7:9" ht="12.75" x14ac:dyDescent="0.2">
      <c r="G799" s="78"/>
      <c r="I799" s="78"/>
    </row>
    <row r="800" spans="7:9" ht="12.75" x14ac:dyDescent="0.2">
      <c r="G800" s="78"/>
      <c r="I800" s="78"/>
    </row>
    <row r="801" spans="7:9" ht="12.75" x14ac:dyDescent="0.2">
      <c r="G801" s="78"/>
      <c r="I801" s="78"/>
    </row>
    <row r="802" spans="7:9" ht="12.75" x14ac:dyDescent="0.2">
      <c r="G802" s="78"/>
      <c r="I802" s="78"/>
    </row>
    <row r="803" spans="7:9" ht="12.75" x14ac:dyDescent="0.2">
      <c r="G803" s="78"/>
      <c r="I803" s="78"/>
    </row>
    <row r="804" spans="7:9" ht="12.75" x14ac:dyDescent="0.2">
      <c r="G804" s="78"/>
      <c r="I804" s="78"/>
    </row>
    <row r="805" spans="7:9" ht="12.75" x14ac:dyDescent="0.2">
      <c r="G805" s="78"/>
      <c r="I805" s="78"/>
    </row>
    <row r="806" spans="7:9" ht="12.75" x14ac:dyDescent="0.2">
      <c r="G806" s="78"/>
      <c r="I806" s="78"/>
    </row>
    <row r="807" spans="7:9" ht="12.75" x14ac:dyDescent="0.2">
      <c r="G807" s="78"/>
      <c r="I807" s="78"/>
    </row>
    <row r="808" spans="7:9" ht="12.75" x14ac:dyDescent="0.2">
      <c r="G808" s="78"/>
      <c r="I808" s="78"/>
    </row>
    <row r="809" spans="7:9" ht="12.75" x14ac:dyDescent="0.2">
      <c r="G809" s="78"/>
      <c r="I809" s="78"/>
    </row>
    <row r="810" spans="7:9" ht="12.75" x14ac:dyDescent="0.2">
      <c r="G810" s="78"/>
      <c r="I810" s="78"/>
    </row>
    <row r="811" spans="7:9" ht="12.75" x14ac:dyDescent="0.2">
      <c r="G811" s="78"/>
      <c r="I811" s="78"/>
    </row>
    <row r="812" spans="7:9" ht="12.75" x14ac:dyDescent="0.2">
      <c r="G812" s="78"/>
      <c r="I812" s="78"/>
    </row>
    <row r="813" spans="7:9" ht="12.75" x14ac:dyDescent="0.2">
      <c r="G813" s="78"/>
      <c r="I813" s="78"/>
    </row>
    <row r="814" spans="7:9" ht="12.75" x14ac:dyDescent="0.2">
      <c r="G814" s="78"/>
      <c r="I814" s="78"/>
    </row>
    <row r="815" spans="7:9" ht="12.75" x14ac:dyDescent="0.2">
      <c r="G815" s="78"/>
      <c r="I815" s="78"/>
    </row>
    <row r="816" spans="7:9" ht="12.75" x14ac:dyDescent="0.2">
      <c r="G816" s="78"/>
      <c r="I816" s="78"/>
    </row>
    <row r="817" spans="7:9" ht="12.75" x14ac:dyDescent="0.2">
      <c r="G817" s="78"/>
      <c r="I817" s="78"/>
    </row>
    <row r="818" spans="7:9" ht="12.75" x14ac:dyDescent="0.2">
      <c r="G818" s="78"/>
      <c r="I818" s="78"/>
    </row>
    <row r="819" spans="7:9" ht="12.75" x14ac:dyDescent="0.2">
      <c r="G819" s="78"/>
      <c r="I819" s="78"/>
    </row>
    <row r="820" spans="7:9" ht="12.75" x14ac:dyDescent="0.2">
      <c r="G820" s="78"/>
      <c r="I820" s="78"/>
    </row>
    <row r="821" spans="7:9" ht="12.75" x14ac:dyDescent="0.2">
      <c r="G821" s="78"/>
      <c r="I821" s="78"/>
    </row>
    <row r="822" spans="7:9" ht="12.75" x14ac:dyDescent="0.2">
      <c r="G822" s="78"/>
      <c r="I822" s="78"/>
    </row>
    <row r="823" spans="7:9" ht="12.75" x14ac:dyDescent="0.2">
      <c r="G823" s="78"/>
      <c r="I823" s="78"/>
    </row>
    <row r="824" spans="7:9" ht="12.75" x14ac:dyDescent="0.2">
      <c r="G824" s="78"/>
      <c r="I824" s="78"/>
    </row>
    <row r="825" spans="7:9" ht="12.75" x14ac:dyDescent="0.2">
      <c r="G825" s="78"/>
      <c r="I825" s="78"/>
    </row>
    <row r="826" spans="7:9" ht="12.75" x14ac:dyDescent="0.2">
      <c r="G826" s="78"/>
      <c r="I826" s="78"/>
    </row>
    <row r="827" spans="7:9" ht="12.75" x14ac:dyDescent="0.2">
      <c r="G827" s="78"/>
      <c r="I827" s="78"/>
    </row>
    <row r="828" spans="7:9" ht="12.75" x14ac:dyDescent="0.2">
      <c r="G828" s="78"/>
      <c r="I828" s="78"/>
    </row>
    <row r="829" spans="7:9" ht="12.75" x14ac:dyDescent="0.2">
      <c r="G829" s="78"/>
      <c r="I829" s="78"/>
    </row>
    <row r="830" spans="7:9" ht="12.75" x14ac:dyDescent="0.2">
      <c r="G830" s="78"/>
      <c r="I830" s="78"/>
    </row>
    <row r="831" spans="7:9" ht="12.75" x14ac:dyDescent="0.2">
      <c r="G831" s="78"/>
      <c r="I831" s="78"/>
    </row>
    <row r="832" spans="7:9" ht="12.75" x14ac:dyDescent="0.2">
      <c r="G832" s="78"/>
      <c r="I832" s="78"/>
    </row>
    <row r="833" spans="7:9" ht="12.75" x14ac:dyDescent="0.2">
      <c r="G833" s="78"/>
      <c r="I833" s="78"/>
    </row>
    <row r="834" spans="7:9" ht="12.75" x14ac:dyDescent="0.2">
      <c r="G834" s="78"/>
      <c r="I834" s="78"/>
    </row>
    <row r="835" spans="7:9" ht="12.75" x14ac:dyDescent="0.2">
      <c r="G835" s="78"/>
      <c r="I835" s="78"/>
    </row>
    <row r="836" spans="7:9" ht="12.75" x14ac:dyDescent="0.2">
      <c r="G836" s="78"/>
      <c r="I836" s="78"/>
    </row>
    <row r="837" spans="7:9" ht="12.75" x14ac:dyDescent="0.2">
      <c r="G837" s="78"/>
      <c r="I837" s="78"/>
    </row>
    <row r="838" spans="7:9" ht="12.75" x14ac:dyDescent="0.2">
      <c r="G838" s="78"/>
      <c r="I838" s="78"/>
    </row>
    <row r="839" spans="7:9" ht="12.75" x14ac:dyDescent="0.2">
      <c r="G839" s="78"/>
      <c r="I839" s="78"/>
    </row>
    <row r="840" spans="7:9" ht="12.75" x14ac:dyDescent="0.2">
      <c r="G840" s="78"/>
      <c r="I840" s="78"/>
    </row>
    <row r="841" spans="7:9" ht="12.75" x14ac:dyDescent="0.2">
      <c r="G841" s="78"/>
      <c r="I841" s="78"/>
    </row>
    <row r="842" spans="7:9" ht="12.75" x14ac:dyDescent="0.2">
      <c r="G842" s="78"/>
      <c r="I842" s="78"/>
    </row>
    <row r="843" spans="7:9" ht="12.75" x14ac:dyDescent="0.2">
      <c r="G843" s="78"/>
      <c r="I843" s="78"/>
    </row>
    <row r="844" spans="7:9" ht="12.75" x14ac:dyDescent="0.2">
      <c r="G844" s="78"/>
      <c r="I844" s="78"/>
    </row>
    <row r="845" spans="7:9" ht="12.75" x14ac:dyDescent="0.2">
      <c r="G845" s="78"/>
      <c r="I845" s="78"/>
    </row>
    <row r="846" spans="7:9" ht="12.75" x14ac:dyDescent="0.2">
      <c r="G846" s="78"/>
      <c r="I846" s="78"/>
    </row>
    <row r="847" spans="7:9" ht="12.75" x14ac:dyDescent="0.2">
      <c r="G847" s="78"/>
      <c r="I847" s="78"/>
    </row>
    <row r="848" spans="7:9" ht="12.75" x14ac:dyDescent="0.2">
      <c r="G848" s="78"/>
      <c r="I848" s="78"/>
    </row>
    <row r="849" spans="7:9" ht="12.75" x14ac:dyDescent="0.2">
      <c r="G849" s="78"/>
      <c r="I849" s="78"/>
    </row>
    <row r="850" spans="7:9" ht="12.75" x14ac:dyDescent="0.2">
      <c r="G850" s="78"/>
      <c r="I850" s="78"/>
    </row>
    <row r="851" spans="7:9" ht="12.75" x14ac:dyDescent="0.2">
      <c r="G851" s="78"/>
      <c r="I851" s="78"/>
    </row>
    <row r="852" spans="7:9" ht="12.75" x14ac:dyDescent="0.2">
      <c r="G852" s="78"/>
      <c r="I852" s="78"/>
    </row>
    <row r="853" spans="7:9" ht="12.75" x14ac:dyDescent="0.2">
      <c r="G853" s="78"/>
      <c r="I853" s="78"/>
    </row>
    <row r="854" spans="7:9" ht="12.75" x14ac:dyDescent="0.2">
      <c r="G854" s="78"/>
      <c r="I854" s="78"/>
    </row>
    <row r="855" spans="7:9" ht="12.75" x14ac:dyDescent="0.2">
      <c r="G855" s="78"/>
      <c r="I855" s="78"/>
    </row>
    <row r="856" spans="7:9" ht="12.75" x14ac:dyDescent="0.2">
      <c r="G856" s="78"/>
      <c r="I856" s="78"/>
    </row>
    <row r="857" spans="7:9" ht="12.75" x14ac:dyDescent="0.2">
      <c r="G857" s="78"/>
      <c r="I857" s="78"/>
    </row>
    <row r="858" spans="7:9" ht="12.75" x14ac:dyDescent="0.2">
      <c r="G858" s="78"/>
      <c r="I858" s="78"/>
    </row>
    <row r="859" spans="7:9" ht="12.75" x14ac:dyDescent="0.2">
      <c r="G859" s="78"/>
      <c r="I859" s="78"/>
    </row>
    <row r="860" spans="7:9" ht="12.75" x14ac:dyDescent="0.2">
      <c r="G860" s="78"/>
      <c r="I860" s="78"/>
    </row>
    <row r="861" spans="7:9" ht="12.75" x14ac:dyDescent="0.2">
      <c r="G861" s="78"/>
      <c r="I861" s="78"/>
    </row>
    <row r="862" spans="7:9" ht="12.75" x14ac:dyDescent="0.2">
      <c r="G862" s="78"/>
      <c r="I862" s="78"/>
    </row>
    <row r="863" spans="7:9" ht="12.75" x14ac:dyDescent="0.2">
      <c r="G863" s="78"/>
      <c r="I863" s="78"/>
    </row>
    <row r="864" spans="7:9" ht="12.75" x14ac:dyDescent="0.2">
      <c r="G864" s="78"/>
      <c r="I864" s="78"/>
    </row>
    <row r="865" spans="7:9" ht="12.75" x14ac:dyDescent="0.2">
      <c r="G865" s="78"/>
      <c r="I865" s="78"/>
    </row>
    <row r="866" spans="7:9" ht="12.75" x14ac:dyDescent="0.2">
      <c r="G866" s="78"/>
      <c r="I866" s="78"/>
    </row>
    <row r="867" spans="7:9" ht="12.75" x14ac:dyDescent="0.2">
      <c r="G867" s="78"/>
      <c r="I867" s="78"/>
    </row>
    <row r="868" spans="7:9" ht="12.75" x14ac:dyDescent="0.2">
      <c r="G868" s="78"/>
      <c r="I868" s="78"/>
    </row>
    <row r="869" spans="7:9" ht="12.75" x14ac:dyDescent="0.2">
      <c r="G869" s="78"/>
      <c r="I869" s="78"/>
    </row>
    <row r="870" spans="7:9" ht="12.75" x14ac:dyDescent="0.2">
      <c r="G870" s="78"/>
      <c r="I870" s="78"/>
    </row>
    <row r="871" spans="7:9" ht="12.75" x14ac:dyDescent="0.2">
      <c r="G871" s="78"/>
      <c r="I871" s="78"/>
    </row>
    <row r="872" spans="7:9" ht="12.75" x14ac:dyDescent="0.2">
      <c r="G872" s="78"/>
      <c r="I872" s="78"/>
    </row>
    <row r="873" spans="7:9" ht="12.75" x14ac:dyDescent="0.2">
      <c r="G873" s="78"/>
      <c r="I873" s="78"/>
    </row>
    <row r="874" spans="7:9" ht="12.75" x14ac:dyDescent="0.2">
      <c r="G874" s="78"/>
      <c r="I874" s="78"/>
    </row>
    <row r="875" spans="7:9" ht="12.75" x14ac:dyDescent="0.2">
      <c r="G875" s="78"/>
      <c r="I875" s="78"/>
    </row>
    <row r="876" spans="7:9" ht="12.75" x14ac:dyDescent="0.2">
      <c r="G876" s="78"/>
      <c r="I876" s="78"/>
    </row>
    <row r="877" spans="7:9" ht="12.75" x14ac:dyDescent="0.2">
      <c r="G877" s="78"/>
      <c r="I877" s="78"/>
    </row>
    <row r="878" spans="7:9" ht="12.75" x14ac:dyDescent="0.2">
      <c r="G878" s="78"/>
      <c r="I878" s="78"/>
    </row>
    <row r="879" spans="7:9" ht="12.75" x14ac:dyDescent="0.2">
      <c r="G879" s="78"/>
      <c r="I879" s="78"/>
    </row>
    <row r="880" spans="7:9" ht="12.75" x14ac:dyDescent="0.2">
      <c r="G880" s="78"/>
      <c r="I880" s="78"/>
    </row>
    <row r="881" spans="7:9" ht="12.75" x14ac:dyDescent="0.2">
      <c r="G881" s="78"/>
      <c r="I881" s="78"/>
    </row>
    <row r="882" spans="7:9" ht="12.75" x14ac:dyDescent="0.2">
      <c r="G882" s="78"/>
      <c r="I882" s="78"/>
    </row>
    <row r="883" spans="7:9" ht="12.75" x14ac:dyDescent="0.2">
      <c r="G883" s="78"/>
      <c r="I883" s="78"/>
    </row>
    <row r="884" spans="7:9" ht="12.75" x14ac:dyDescent="0.2">
      <c r="G884" s="78"/>
      <c r="I884" s="78"/>
    </row>
    <row r="885" spans="7:9" ht="12.75" x14ac:dyDescent="0.2">
      <c r="G885" s="78"/>
      <c r="I885" s="78"/>
    </row>
    <row r="886" spans="7:9" ht="12.75" x14ac:dyDescent="0.2">
      <c r="G886" s="78"/>
      <c r="I886" s="78"/>
    </row>
    <row r="887" spans="7:9" ht="12.75" x14ac:dyDescent="0.2">
      <c r="G887" s="78"/>
      <c r="I887" s="78"/>
    </row>
    <row r="888" spans="7:9" ht="12.75" x14ac:dyDescent="0.2">
      <c r="G888" s="78"/>
      <c r="I888" s="78"/>
    </row>
    <row r="889" spans="7:9" ht="12.75" x14ac:dyDescent="0.2">
      <c r="G889" s="78"/>
      <c r="I889" s="78"/>
    </row>
    <row r="890" spans="7:9" ht="12.75" x14ac:dyDescent="0.2">
      <c r="G890" s="78"/>
      <c r="I890" s="78"/>
    </row>
    <row r="891" spans="7:9" ht="12.75" x14ac:dyDescent="0.2">
      <c r="G891" s="78"/>
      <c r="I891" s="78"/>
    </row>
    <row r="892" spans="7:9" ht="12.75" x14ac:dyDescent="0.2">
      <c r="G892" s="78"/>
      <c r="I892" s="78"/>
    </row>
    <row r="893" spans="7:9" ht="12.75" x14ac:dyDescent="0.2">
      <c r="G893" s="78"/>
      <c r="I893" s="78"/>
    </row>
    <row r="894" spans="7:9" ht="12.75" x14ac:dyDescent="0.2">
      <c r="G894" s="78"/>
      <c r="I894" s="78"/>
    </row>
    <row r="895" spans="7:9" ht="12.75" x14ac:dyDescent="0.2">
      <c r="G895" s="78"/>
      <c r="I895" s="78"/>
    </row>
    <row r="896" spans="7:9" ht="12.75" x14ac:dyDescent="0.2">
      <c r="G896" s="78"/>
      <c r="I896" s="78"/>
    </row>
    <row r="897" spans="7:9" ht="12.75" x14ac:dyDescent="0.2">
      <c r="G897" s="78"/>
      <c r="I897" s="78"/>
    </row>
    <row r="898" spans="7:9" ht="12.75" x14ac:dyDescent="0.2">
      <c r="G898" s="78"/>
      <c r="I898" s="78"/>
    </row>
    <row r="899" spans="7:9" ht="12.75" x14ac:dyDescent="0.2">
      <c r="G899" s="78"/>
      <c r="I899" s="78"/>
    </row>
    <row r="900" spans="7:9" ht="12.75" x14ac:dyDescent="0.2">
      <c r="G900" s="78"/>
      <c r="I900" s="78"/>
    </row>
    <row r="901" spans="7:9" ht="12.75" x14ac:dyDescent="0.2">
      <c r="G901" s="78"/>
      <c r="I901" s="78"/>
    </row>
    <row r="902" spans="7:9" ht="12.75" x14ac:dyDescent="0.2">
      <c r="G902" s="78"/>
      <c r="I902" s="78"/>
    </row>
    <row r="903" spans="7:9" ht="12.75" x14ac:dyDescent="0.2">
      <c r="G903" s="78"/>
      <c r="I903" s="78"/>
    </row>
    <row r="904" spans="7:9" ht="12.75" x14ac:dyDescent="0.2">
      <c r="G904" s="78"/>
      <c r="I904" s="78"/>
    </row>
    <row r="905" spans="7:9" ht="12.75" x14ac:dyDescent="0.2">
      <c r="G905" s="78"/>
      <c r="I905" s="78"/>
    </row>
    <row r="906" spans="7:9" ht="12.75" x14ac:dyDescent="0.2">
      <c r="G906" s="78"/>
      <c r="I906" s="78"/>
    </row>
    <row r="907" spans="7:9" ht="12.75" x14ac:dyDescent="0.2">
      <c r="G907" s="78"/>
      <c r="I907" s="78"/>
    </row>
    <row r="908" spans="7:9" ht="12.75" x14ac:dyDescent="0.2">
      <c r="G908" s="78"/>
      <c r="I908" s="78"/>
    </row>
    <row r="909" spans="7:9" ht="12.75" x14ac:dyDescent="0.2">
      <c r="G909" s="78"/>
      <c r="I909" s="78"/>
    </row>
    <row r="910" spans="7:9" ht="12.75" x14ac:dyDescent="0.2">
      <c r="G910" s="78"/>
      <c r="I910" s="78"/>
    </row>
    <row r="911" spans="7:9" ht="12.75" x14ac:dyDescent="0.2">
      <c r="G911" s="78"/>
      <c r="I911" s="78"/>
    </row>
    <row r="912" spans="7:9" ht="12.75" x14ac:dyDescent="0.2">
      <c r="G912" s="78"/>
      <c r="I912" s="78"/>
    </row>
    <row r="913" spans="7:9" ht="12.75" x14ac:dyDescent="0.2">
      <c r="G913" s="78"/>
      <c r="I913" s="78"/>
    </row>
    <row r="914" spans="7:9" ht="12.75" x14ac:dyDescent="0.2">
      <c r="G914" s="78"/>
      <c r="I914" s="78"/>
    </row>
    <row r="915" spans="7:9" ht="12.75" x14ac:dyDescent="0.2">
      <c r="G915" s="78"/>
      <c r="I915" s="78"/>
    </row>
    <row r="916" spans="7:9" ht="12.75" x14ac:dyDescent="0.2">
      <c r="G916" s="78"/>
      <c r="I916" s="78"/>
    </row>
    <row r="917" spans="7:9" ht="12.75" x14ac:dyDescent="0.2">
      <c r="G917" s="78"/>
      <c r="I917" s="78"/>
    </row>
    <row r="918" spans="7:9" ht="12.75" x14ac:dyDescent="0.2">
      <c r="G918" s="78"/>
      <c r="I918" s="78"/>
    </row>
    <row r="919" spans="7:9" ht="12.75" x14ac:dyDescent="0.2">
      <c r="G919" s="78"/>
      <c r="I919" s="78"/>
    </row>
    <row r="920" spans="7:9" ht="12.75" x14ac:dyDescent="0.2">
      <c r="G920" s="78"/>
      <c r="I920" s="78"/>
    </row>
    <row r="921" spans="7:9" ht="12.75" x14ac:dyDescent="0.2">
      <c r="G921" s="78"/>
      <c r="I921" s="78"/>
    </row>
    <row r="922" spans="7:9" ht="12.75" x14ac:dyDescent="0.2">
      <c r="G922" s="78"/>
      <c r="I922" s="78"/>
    </row>
    <row r="923" spans="7:9" ht="12.75" x14ac:dyDescent="0.2">
      <c r="G923" s="78"/>
      <c r="I923" s="78"/>
    </row>
    <row r="924" spans="7:9" ht="12.75" x14ac:dyDescent="0.2">
      <c r="G924" s="78"/>
      <c r="I924" s="78"/>
    </row>
    <row r="925" spans="7:9" ht="12.75" x14ac:dyDescent="0.2">
      <c r="G925" s="78"/>
      <c r="I925" s="78"/>
    </row>
    <row r="926" spans="7:9" ht="12.75" x14ac:dyDescent="0.2">
      <c r="G926" s="78"/>
      <c r="I926" s="78"/>
    </row>
    <row r="927" spans="7:9" ht="12.75" x14ac:dyDescent="0.2">
      <c r="G927" s="78"/>
      <c r="I927" s="78"/>
    </row>
    <row r="928" spans="7:9" ht="12.75" x14ac:dyDescent="0.2">
      <c r="G928" s="78"/>
      <c r="I928" s="78"/>
    </row>
    <row r="929" spans="7:9" ht="12.75" x14ac:dyDescent="0.2">
      <c r="G929" s="78"/>
      <c r="I929" s="78"/>
    </row>
    <row r="930" spans="7:9" ht="12.75" x14ac:dyDescent="0.2">
      <c r="G930" s="78"/>
      <c r="I930" s="78"/>
    </row>
    <row r="931" spans="7:9" ht="12.75" x14ac:dyDescent="0.2">
      <c r="G931" s="78"/>
      <c r="I931" s="78"/>
    </row>
    <row r="932" spans="7:9" ht="12.75" x14ac:dyDescent="0.2">
      <c r="G932" s="78"/>
      <c r="I932" s="78"/>
    </row>
    <row r="933" spans="7:9" ht="12.75" x14ac:dyDescent="0.2">
      <c r="G933" s="78"/>
      <c r="I933" s="78"/>
    </row>
    <row r="934" spans="7:9" ht="12.75" x14ac:dyDescent="0.2">
      <c r="G934" s="78"/>
      <c r="I934" s="78"/>
    </row>
    <row r="935" spans="7:9" ht="12.75" x14ac:dyDescent="0.2">
      <c r="G935" s="78"/>
      <c r="I935" s="78"/>
    </row>
    <row r="936" spans="7:9" ht="12.75" x14ac:dyDescent="0.2">
      <c r="G936" s="78"/>
      <c r="I936" s="78"/>
    </row>
    <row r="937" spans="7:9" ht="12.75" x14ac:dyDescent="0.2">
      <c r="G937" s="78"/>
      <c r="I937" s="78"/>
    </row>
    <row r="938" spans="7:9" ht="12.75" x14ac:dyDescent="0.2">
      <c r="G938" s="78"/>
      <c r="I938" s="78"/>
    </row>
    <row r="939" spans="7:9" ht="12.75" x14ac:dyDescent="0.2">
      <c r="G939" s="78"/>
      <c r="I939" s="78"/>
    </row>
    <row r="940" spans="7:9" ht="12.75" x14ac:dyDescent="0.2">
      <c r="G940" s="78"/>
      <c r="I940" s="78"/>
    </row>
    <row r="941" spans="7:9" ht="12.75" x14ac:dyDescent="0.2">
      <c r="G941" s="78"/>
      <c r="I941" s="78"/>
    </row>
    <row r="942" spans="7:9" ht="12.75" x14ac:dyDescent="0.2">
      <c r="G942" s="78"/>
      <c r="I942" s="78"/>
    </row>
    <row r="943" spans="7:9" ht="12.75" x14ac:dyDescent="0.2">
      <c r="G943" s="78"/>
      <c r="I943" s="78"/>
    </row>
    <row r="944" spans="7:9" ht="12.75" x14ac:dyDescent="0.2">
      <c r="G944" s="78"/>
      <c r="I944" s="78"/>
    </row>
    <row r="945" spans="7:9" ht="12.75" x14ac:dyDescent="0.2">
      <c r="G945" s="78"/>
      <c r="I945" s="78"/>
    </row>
    <row r="946" spans="7:9" ht="12.75" x14ac:dyDescent="0.2">
      <c r="G946" s="78"/>
      <c r="I946" s="78"/>
    </row>
    <row r="947" spans="7:9" ht="12.75" x14ac:dyDescent="0.2">
      <c r="G947" s="78"/>
      <c r="I947" s="78"/>
    </row>
    <row r="948" spans="7:9" ht="12.75" x14ac:dyDescent="0.2">
      <c r="G948" s="78"/>
      <c r="I948" s="78"/>
    </row>
    <row r="949" spans="7:9" ht="12.75" x14ac:dyDescent="0.2">
      <c r="G949" s="78"/>
      <c r="I949" s="78"/>
    </row>
    <row r="950" spans="7:9" ht="12.75" x14ac:dyDescent="0.2">
      <c r="G950" s="78"/>
      <c r="I950" s="78"/>
    </row>
    <row r="951" spans="7:9" ht="12.75" x14ac:dyDescent="0.2">
      <c r="G951" s="78"/>
      <c r="I951" s="78"/>
    </row>
    <row r="952" spans="7:9" ht="12.75" x14ac:dyDescent="0.2">
      <c r="G952" s="78"/>
      <c r="I952" s="78"/>
    </row>
    <row r="953" spans="7:9" ht="12.75" x14ac:dyDescent="0.2">
      <c r="G953" s="78"/>
      <c r="I953" s="78"/>
    </row>
    <row r="954" spans="7:9" ht="12.75" x14ac:dyDescent="0.2">
      <c r="G954" s="78"/>
      <c r="I954" s="78"/>
    </row>
    <row r="955" spans="7:9" ht="12.75" x14ac:dyDescent="0.2">
      <c r="G955" s="78"/>
      <c r="I955" s="78"/>
    </row>
    <row r="956" spans="7:9" ht="12.75" x14ac:dyDescent="0.2">
      <c r="G956" s="78"/>
      <c r="I956" s="78"/>
    </row>
    <row r="957" spans="7:9" ht="12.75" x14ac:dyDescent="0.2">
      <c r="G957" s="78"/>
      <c r="I957" s="78"/>
    </row>
    <row r="958" spans="7:9" ht="12.75" x14ac:dyDescent="0.2">
      <c r="G958" s="78"/>
      <c r="I958" s="78"/>
    </row>
    <row r="959" spans="7:9" ht="12.75" x14ac:dyDescent="0.2">
      <c r="G959" s="78"/>
      <c r="I959" s="78"/>
    </row>
    <row r="960" spans="7:9" ht="12.75" x14ac:dyDescent="0.2">
      <c r="G960" s="78"/>
      <c r="I960" s="78"/>
    </row>
    <row r="961" spans="7:9" ht="12.75" x14ac:dyDescent="0.2">
      <c r="G961" s="78"/>
      <c r="I961" s="78"/>
    </row>
    <row r="962" spans="7:9" ht="12.75" x14ac:dyDescent="0.2">
      <c r="G962" s="78"/>
      <c r="I962" s="78"/>
    </row>
    <row r="963" spans="7:9" ht="12.75" x14ac:dyDescent="0.2">
      <c r="G963" s="78"/>
      <c r="I963" s="78"/>
    </row>
    <row r="964" spans="7:9" ht="12.75" x14ac:dyDescent="0.2">
      <c r="G964" s="78"/>
      <c r="I964" s="78"/>
    </row>
    <row r="965" spans="7:9" ht="12.75" x14ac:dyDescent="0.2">
      <c r="G965" s="78"/>
      <c r="I965" s="78"/>
    </row>
    <row r="966" spans="7:9" ht="12.75" x14ac:dyDescent="0.2">
      <c r="G966" s="78"/>
      <c r="I966" s="78"/>
    </row>
    <row r="967" spans="7:9" ht="12.75" x14ac:dyDescent="0.2">
      <c r="G967" s="78"/>
      <c r="I967" s="78"/>
    </row>
    <row r="968" spans="7:9" ht="12.75" x14ac:dyDescent="0.2">
      <c r="G968" s="78"/>
      <c r="I968" s="78"/>
    </row>
    <row r="969" spans="7:9" ht="12.75" x14ac:dyDescent="0.2">
      <c r="G969" s="78"/>
      <c r="I969" s="78"/>
    </row>
    <row r="970" spans="7:9" ht="12.75" x14ac:dyDescent="0.2">
      <c r="G970" s="78"/>
      <c r="I970" s="78"/>
    </row>
    <row r="971" spans="7:9" ht="12.75" x14ac:dyDescent="0.2">
      <c r="G971" s="78"/>
      <c r="I971" s="78"/>
    </row>
    <row r="972" spans="7:9" ht="12.75" x14ac:dyDescent="0.2">
      <c r="G972" s="78"/>
      <c r="I972" s="78"/>
    </row>
    <row r="973" spans="7:9" ht="12.75" x14ac:dyDescent="0.2">
      <c r="G973" s="78"/>
      <c r="I973" s="78"/>
    </row>
    <row r="974" spans="7:9" ht="12.75" x14ac:dyDescent="0.2">
      <c r="G974" s="78"/>
      <c r="I974" s="78"/>
    </row>
    <row r="975" spans="7:9" ht="12.75" x14ac:dyDescent="0.2">
      <c r="G975" s="78"/>
      <c r="I975" s="78"/>
    </row>
    <row r="976" spans="7:9" ht="12.75" x14ac:dyDescent="0.2">
      <c r="G976" s="78"/>
      <c r="I976" s="78"/>
    </row>
    <row r="977" spans="7:9" ht="12.75" x14ac:dyDescent="0.2">
      <c r="G977" s="78"/>
      <c r="I977" s="78"/>
    </row>
    <row r="978" spans="7:9" ht="12.75" x14ac:dyDescent="0.2">
      <c r="G978" s="78"/>
      <c r="I978" s="78"/>
    </row>
    <row r="979" spans="7:9" ht="12.75" x14ac:dyDescent="0.2">
      <c r="G979" s="78"/>
      <c r="I979" s="78"/>
    </row>
    <row r="980" spans="7:9" ht="12.75" x14ac:dyDescent="0.2">
      <c r="G980" s="78"/>
      <c r="I980" s="78"/>
    </row>
    <row r="981" spans="7:9" ht="12.75" x14ac:dyDescent="0.2">
      <c r="G981" s="78"/>
      <c r="I981" s="78"/>
    </row>
    <row r="982" spans="7:9" ht="12.75" x14ac:dyDescent="0.2">
      <c r="G982" s="78"/>
      <c r="I982" s="78"/>
    </row>
    <row r="983" spans="7:9" ht="12.75" x14ac:dyDescent="0.2">
      <c r="G983" s="78"/>
      <c r="I983" s="78"/>
    </row>
    <row r="984" spans="7:9" ht="12.75" x14ac:dyDescent="0.2">
      <c r="G984" s="78"/>
      <c r="I984" s="78"/>
    </row>
    <row r="985" spans="7:9" ht="12.75" x14ac:dyDescent="0.2">
      <c r="G985" s="78"/>
      <c r="I985" s="78"/>
    </row>
    <row r="986" spans="7:9" ht="12.75" x14ac:dyDescent="0.2">
      <c r="G986" s="78"/>
      <c r="I986" s="78"/>
    </row>
    <row r="987" spans="7:9" ht="12.75" x14ac:dyDescent="0.2">
      <c r="G987" s="78"/>
      <c r="I987" s="78"/>
    </row>
    <row r="988" spans="7:9" ht="12.75" x14ac:dyDescent="0.2">
      <c r="G988" s="78"/>
      <c r="I988" s="78"/>
    </row>
    <row r="989" spans="7:9" ht="12.75" x14ac:dyDescent="0.2">
      <c r="G989" s="78"/>
      <c r="I989" s="78"/>
    </row>
    <row r="990" spans="7:9" ht="12.75" x14ac:dyDescent="0.2">
      <c r="G990" s="78"/>
      <c r="I990" s="78"/>
    </row>
    <row r="991" spans="7:9" ht="12.75" x14ac:dyDescent="0.2">
      <c r="G991" s="78"/>
      <c r="I991" s="78"/>
    </row>
  </sheetData>
  <mergeCells count="54">
    <mergeCell ref="B59:C59"/>
    <mergeCell ref="B60:C60"/>
    <mergeCell ref="B49:D49"/>
    <mergeCell ref="B50:D50"/>
    <mergeCell ref="B51:C51"/>
    <mergeCell ref="B52:D52"/>
    <mergeCell ref="B53:C53"/>
    <mergeCell ref="B54:C54"/>
    <mergeCell ref="B55:C55"/>
    <mergeCell ref="B47:D47"/>
    <mergeCell ref="B48:C48"/>
    <mergeCell ref="B56:C56"/>
    <mergeCell ref="B57:C57"/>
    <mergeCell ref="B58:D58"/>
    <mergeCell ref="B42:F42"/>
    <mergeCell ref="B43:C43"/>
    <mergeCell ref="B44:C44"/>
    <mergeCell ref="B45:C45"/>
    <mergeCell ref="B46:D46"/>
    <mergeCell ref="B37:E37"/>
    <mergeCell ref="B38:F38"/>
    <mergeCell ref="B39:E39"/>
    <mergeCell ref="B40:E40"/>
    <mergeCell ref="B41:E41"/>
    <mergeCell ref="B32:D32"/>
    <mergeCell ref="B33:E33"/>
    <mergeCell ref="B34:D34"/>
    <mergeCell ref="B35:E35"/>
    <mergeCell ref="B36:D36"/>
    <mergeCell ref="B27:D27"/>
    <mergeCell ref="B28:E28"/>
    <mergeCell ref="B29:E29"/>
    <mergeCell ref="B30:E30"/>
    <mergeCell ref="B31:E31"/>
    <mergeCell ref="B22:D22"/>
    <mergeCell ref="B23:E23"/>
    <mergeCell ref="B24:E24"/>
    <mergeCell ref="B25:E25"/>
    <mergeCell ref="B26:E26"/>
    <mergeCell ref="B17:E17"/>
    <mergeCell ref="B18:E18"/>
    <mergeCell ref="B19:E19"/>
    <mergeCell ref="B20:E20"/>
    <mergeCell ref="B21:E21"/>
    <mergeCell ref="B12:F12"/>
    <mergeCell ref="B13:E13"/>
    <mergeCell ref="B14:E14"/>
    <mergeCell ref="B15:E15"/>
    <mergeCell ref="B16:E16"/>
    <mergeCell ref="B7:E7"/>
    <mergeCell ref="B8:E8"/>
    <mergeCell ref="B9:E9"/>
    <mergeCell ref="B10:F10"/>
    <mergeCell ref="B11:E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BP1001"/>
  <sheetViews>
    <sheetView tabSelected="1" workbookViewId="0">
      <pane ySplit="2" topLeftCell="A3" activePane="bottomLeft" state="frozen"/>
      <selection pane="bottomLeft" activeCell="N10" sqref="N10"/>
    </sheetView>
  </sheetViews>
  <sheetFormatPr baseColWidth="10" defaultColWidth="12.5703125" defaultRowHeight="15.75" customHeight="1" x14ac:dyDescent="0.2"/>
  <cols>
    <col min="1" max="1" width="6.42578125" customWidth="1"/>
    <col min="2" max="2" width="47.42578125" customWidth="1"/>
    <col min="3" max="3" width="4.42578125" customWidth="1"/>
    <col min="4" max="4" width="8.7109375" hidden="1" customWidth="1"/>
    <col min="5" max="5" width="30.7109375" hidden="1" customWidth="1"/>
    <col min="6" max="6" width="8.28515625" hidden="1" customWidth="1"/>
    <col min="7" max="7" width="29.42578125" hidden="1" customWidth="1"/>
    <col min="8" max="8" width="9.140625" hidden="1" customWidth="1"/>
    <col min="9" max="9" width="9.85546875" customWidth="1"/>
    <col min="10" max="10" width="10.140625" bestFit="1" customWidth="1"/>
    <col min="11" max="11" width="10.42578125" customWidth="1"/>
    <col min="12" max="12" width="9.28515625" customWidth="1"/>
    <col min="13" max="15" width="11.7109375" customWidth="1"/>
    <col min="16" max="16" width="9.42578125" customWidth="1"/>
    <col min="17" max="17" width="9.28515625" customWidth="1"/>
    <col min="18" max="18" width="12.5703125" customWidth="1"/>
    <col min="19" max="19" width="9.42578125" customWidth="1"/>
    <col min="20" max="20" width="9.28515625" customWidth="1"/>
    <col min="21" max="21" width="11.7109375" customWidth="1"/>
    <col min="22" max="22" width="9.42578125" customWidth="1"/>
    <col min="23" max="24" width="8" customWidth="1"/>
    <col min="25" max="25" width="10.42578125" hidden="1" customWidth="1"/>
    <col min="26" max="26" width="10.42578125" customWidth="1"/>
    <col min="27" max="27" width="13.5703125" hidden="1" customWidth="1"/>
    <col min="28" max="28" width="13.5703125" customWidth="1"/>
    <col min="29" max="29" width="9.42578125" hidden="1" customWidth="1"/>
    <col min="30" max="31" width="10.42578125" hidden="1" customWidth="1"/>
    <col min="32" max="32" width="11.7109375" hidden="1" customWidth="1"/>
    <col min="33" max="33" width="13.28515625" hidden="1" customWidth="1"/>
    <col min="34" max="34" width="9.42578125" hidden="1" customWidth="1"/>
    <col min="35" max="36" width="10.42578125" hidden="1" customWidth="1"/>
    <col min="37" max="37" width="11.7109375" hidden="1" customWidth="1"/>
    <col min="38" max="38" width="13.28515625" hidden="1" customWidth="1"/>
    <col min="39" max="39" width="9.42578125" hidden="1" customWidth="1"/>
    <col min="40" max="41" width="10.42578125" hidden="1" customWidth="1"/>
    <col min="42" max="42" width="11.7109375" hidden="1" customWidth="1"/>
    <col min="43" max="43" width="13.28515625" hidden="1" customWidth="1"/>
    <col min="44" max="44" width="9.42578125" hidden="1" customWidth="1"/>
    <col min="45" max="46" width="10.42578125" hidden="1" customWidth="1"/>
    <col min="47" max="47" width="11.7109375" hidden="1" customWidth="1"/>
    <col min="48" max="48" width="13.28515625" hidden="1" customWidth="1"/>
    <col min="49" max="49" width="9.42578125" hidden="1" customWidth="1"/>
    <col min="50" max="51" width="10.42578125" hidden="1" customWidth="1"/>
    <col min="52" max="52" width="11.7109375" hidden="1" customWidth="1"/>
    <col min="53" max="53" width="13.28515625" hidden="1" customWidth="1"/>
    <col min="54" max="54" width="9.42578125" hidden="1" customWidth="1"/>
    <col min="55" max="56" width="10.42578125" hidden="1" customWidth="1"/>
    <col min="57" max="57" width="11.7109375" hidden="1" customWidth="1"/>
    <col min="58" max="58" width="13.28515625" hidden="1" customWidth="1"/>
    <col min="59" max="59" width="9.42578125" hidden="1" customWidth="1"/>
    <col min="60" max="61" width="10.42578125" hidden="1" customWidth="1"/>
    <col min="62" max="62" width="11.7109375" hidden="1" customWidth="1"/>
    <col min="63" max="63" width="13.28515625" hidden="1" customWidth="1"/>
    <col min="64" max="64" width="9.42578125" hidden="1" customWidth="1"/>
    <col min="65" max="66" width="10.42578125" hidden="1" customWidth="1"/>
    <col min="67" max="67" width="11.7109375" hidden="1" customWidth="1"/>
    <col min="68" max="68" width="13.28515625" hidden="1" customWidth="1"/>
  </cols>
  <sheetData>
    <row r="1" spans="1:68" x14ac:dyDescent="0.2">
      <c r="A1" s="1"/>
      <c r="B1" s="56"/>
      <c r="C1" s="1"/>
      <c r="D1" s="1"/>
      <c r="E1" s="1"/>
      <c r="F1" s="1"/>
      <c r="G1" s="1"/>
      <c r="H1" s="2"/>
      <c r="I1" s="2"/>
      <c r="J1" s="3" t="e">
        <f t="shared" ref="J1:K1" si="0">SUM(J3:J94)</f>
        <v>#VALUE!</v>
      </c>
      <c r="K1" s="4" t="e">
        <f t="shared" si="0"/>
        <v>#VALUE!</v>
      </c>
      <c r="L1" s="1"/>
      <c r="M1" s="1"/>
      <c r="N1" s="1"/>
      <c r="O1" s="1"/>
      <c r="P1" s="5" t="e">
        <f>SUM(P3:P41)</f>
        <v>#VALUE!</v>
      </c>
      <c r="Q1" s="1"/>
      <c r="R1" s="1"/>
      <c r="S1" s="5">
        <f>SUM(S3:S34)</f>
        <v>139</v>
      </c>
      <c r="T1" s="1"/>
      <c r="U1" s="1"/>
      <c r="V1" s="5">
        <f>SUM(V3:V41)</f>
        <v>126</v>
      </c>
      <c r="W1" s="6"/>
      <c r="X1" s="6" t="e">
        <f>AB1/Z1</f>
        <v>#VALUE!</v>
      </c>
      <c r="Y1" s="62"/>
      <c r="Z1" s="11" t="e">
        <f>SUM(Z3:Z94)</f>
        <v>#VALUE!</v>
      </c>
      <c r="AA1" s="62"/>
      <c r="AB1" s="11" t="e">
        <f>SUM(AB3:AB94)</f>
        <v>#VALUE!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68" x14ac:dyDescent="0.2">
      <c r="A2" s="12" t="s">
        <v>0</v>
      </c>
      <c r="B2" s="12" t="s">
        <v>1</v>
      </c>
      <c r="C2" s="12" t="s">
        <v>2</v>
      </c>
      <c r="D2" s="12" t="s">
        <v>4</v>
      </c>
      <c r="E2" s="12" t="s">
        <v>5</v>
      </c>
      <c r="F2" s="12" t="s">
        <v>6</v>
      </c>
      <c r="G2" s="12" t="s">
        <v>7</v>
      </c>
      <c r="H2" s="13" t="s">
        <v>8</v>
      </c>
      <c r="I2" s="13" t="s">
        <v>9</v>
      </c>
      <c r="J2" s="3" t="s">
        <v>10</v>
      </c>
      <c r="K2" s="4" t="s">
        <v>11</v>
      </c>
      <c r="L2" s="12" t="s">
        <v>12</v>
      </c>
      <c r="M2" s="12" t="s">
        <v>186</v>
      </c>
      <c r="N2" s="12" t="s">
        <v>221</v>
      </c>
      <c r="O2" s="12" t="s">
        <v>188</v>
      </c>
      <c r="P2" s="5" t="s">
        <v>14</v>
      </c>
      <c r="Q2" s="12" t="s">
        <v>15</v>
      </c>
      <c r="R2" s="12" t="s">
        <v>16</v>
      </c>
      <c r="S2" s="5" t="s">
        <v>17</v>
      </c>
      <c r="T2" s="12" t="s">
        <v>18</v>
      </c>
      <c r="U2" s="12" t="s">
        <v>19</v>
      </c>
      <c r="V2" s="5" t="s">
        <v>20</v>
      </c>
      <c r="W2" s="12"/>
      <c r="X2" s="12" t="s">
        <v>21</v>
      </c>
      <c r="Y2" s="33"/>
      <c r="Z2" s="13" t="s">
        <v>22</v>
      </c>
      <c r="AA2" s="33"/>
      <c r="AB2" s="13" t="s">
        <v>23</v>
      </c>
      <c r="AC2" s="12" t="s">
        <v>24</v>
      </c>
      <c r="AD2" s="12" t="s">
        <v>25</v>
      </c>
      <c r="AE2" s="12" t="s">
        <v>26</v>
      </c>
      <c r="AF2" s="12" t="s">
        <v>27</v>
      </c>
      <c r="AG2" s="12" t="s">
        <v>28</v>
      </c>
      <c r="AH2" s="12" t="s">
        <v>29</v>
      </c>
      <c r="AI2" s="12" t="s">
        <v>30</v>
      </c>
      <c r="AJ2" s="12" t="s">
        <v>31</v>
      </c>
      <c r="AK2" s="12" t="s">
        <v>32</v>
      </c>
      <c r="AL2" s="12" t="s">
        <v>33</v>
      </c>
      <c r="AM2" s="12" t="s">
        <v>34</v>
      </c>
      <c r="AN2" s="12" t="s">
        <v>35</v>
      </c>
      <c r="AO2" s="12" t="s">
        <v>36</v>
      </c>
      <c r="AP2" s="12" t="s">
        <v>37</v>
      </c>
      <c r="AQ2" s="12" t="s">
        <v>38</v>
      </c>
      <c r="AR2" s="12" t="s">
        <v>39</v>
      </c>
      <c r="AS2" s="12" t="s">
        <v>40</v>
      </c>
      <c r="AT2" s="12" t="s">
        <v>41</v>
      </c>
      <c r="AU2" s="12" t="s">
        <v>42</v>
      </c>
      <c r="AV2" s="12" t="s">
        <v>43</v>
      </c>
      <c r="AW2" s="12" t="s">
        <v>44</v>
      </c>
      <c r="AX2" s="12" t="s">
        <v>45</v>
      </c>
      <c r="AY2" s="12" t="s">
        <v>46</v>
      </c>
      <c r="AZ2" s="12" t="s">
        <v>47</v>
      </c>
      <c r="BA2" s="12" t="s">
        <v>48</v>
      </c>
      <c r="BB2" s="12" t="s">
        <v>49</v>
      </c>
      <c r="BC2" s="12" t="s">
        <v>50</v>
      </c>
      <c r="BD2" s="12" t="s">
        <v>51</v>
      </c>
      <c r="BE2" s="12" t="s">
        <v>52</v>
      </c>
      <c r="BF2" s="12" t="s">
        <v>53</v>
      </c>
      <c r="BG2" s="12" t="s">
        <v>54</v>
      </c>
      <c r="BH2" s="12" t="s">
        <v>55</v>
      </c>
      <c r="BI2" s="12" t="s">
        <v>56</v>
      </c>
      <c r="BJ2" s="12" t="s">
        <v>57</v>
      </c>
      <c r="BK2" s="12" t="s">
        <v>58</v>
      </c>
      <c r="BL2" s="12" t="s">
        <v>59</v>
      </c>
      <c r="BM2" s="12" t="s">
        <v>60</v>
      </c>
      <c r="BN2" s="12" t="s">
        <v>61</v>
      </c>
      <c r="BO2" s="12" t="s">
        <v>62</v>
      </c>
      <c r="BP2" s="12" t="s">
        <v>63</v>
      </c>
    </row>
    <row r="3" spans="1:68" x14ac:dyDescent="0.2">
      <c r="A3" s="1">
        <v>47005</v>
      </c>
      <c r="B3" s="1" t="s">
        <v>68</v>
      </c>
      <c r="C3" s="1">
        <v>24</v>
      </c>
      <c r="D3" s="1">
        <v>677</v>
      </c>
      <c r="E3" s="1" t="s">
        <v>64</v>
      </c>
      <c r="F3" s="1">
        <v>61</v>
      </c>
      <c r="G3" s="1" t="s">
        <v>66</v>
      </c>
      <c r="H3" s="2">
        <v>22.315999999999999</v>
      </c>
      <c r="I3" s="2">
        <v>535.58399999999995</v>
      </c>
      <c r="J3" s="14">
        <f t="shared" ref="J3:J94" si="1">K3*I3</f>
        <v>37490.879999999997</v>
      </c>
      <c r="K3" s="15">
        <f t="shared" ref="K3:K94" si="2">SUM(P3+S3+V3)</f>
        <v>70</v>
      </c>
      <c r="L3" s="1">
        <v>14.31</v>
      </c>
      <c r="M3" s="1">
        <f>IFERROR(VLOOKUP(A3:A94,'280726 ph.k.'!$A$2:$S$62,19,FALSE),"")</f>
        <v>5</v>
      </c>
      <c r="N3" s="1">
        <f t="shared" ref="N3:N94" si="3">L3+M3</f>
        <v>19.310000000000002</v>
      </c>
      <c r="O3" s="1">
        <f>IFERROR(VLOOKUP(A3:A94,'280726 ph.k.'!$A$2:$N$62,14,FALSE),"")</f>
        <v>3.21</v>
      </c>
      <c r="P3" s="5">
        <v>20</v>
      </c>
      <c r="Q3" s="1">
        <v>63.96</v>
      </c>
      <c r="R3" s="1">
        <v>18.170000000000002</v>
      </c>
      <c r="S3" s="5">
        <v>30</v>
      </c>
      <c r="T3" s="1">
        <v>56.79</v>
      </c>
      <c r="U3" s="1">
        <v>32.42</v>
      </c>
      <c r="V3" s="5">
        <v>20</v>
      </c>
      <c r="W3" s="1"/>
      <c r="X3" s="1">
        <v>0</v>
      </c>
      <c r="Y3" s="34">
        <f t="shared" ref="Y3:Y94" si="4">N3+Q3+T3</f>
        <v>140.06</v>
      </c>
      <c r="Z3" s="18">
        <f t="shared" ref="Z3:Z94" si="5">Y3*I3</f>
        <v>75013.895039999989</v>
      </c>
      <c r="AA3" s="34">
        <f t="shared" ref="AA3:AA94" si="6">O3+R3+U3</f>
        <v>53.800000000000004</v>
      </c>
      <c r="AB3" s="2">
        <f t="shared" ref="AB3:AB94" si="7">AA3*I3</f>
        <v>28814.4192</v>
      </c>
      <c r="AC3" s="1">
        <v>0</v>
      </c>
      <c r="AD3" s="1">
        <v>0</v>
      </c>
      <c r="AE3" s="1">
        <v>226</v>
      </c>
      <c r="AF3" s="1">
        <v>235</v>
      </c>
      <c r="AG3" s="1">
        <v>6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698</v>
      </c>
      <c r="AX3" s="1">
        <v>476</v>
      </c>
      <c r="AY3" s="1">
        <v>451</v>
      </c>
      <c r="AZ3" s="1">
        <v>296</v>
      </c>
      <c r="BA3" s="1">
        <v>436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364</v>
      </c>
      <c r="BH3" s="1">
        <v>394</v>
      </c>
      <c r="BI3" s="1">
        <v>651</v>
      </c>
      <c r="BJ3" s="1">
        <v>302</v>
      </c>
      <c r="BK3" s="1">
        <v>778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</row>
    <row r="4" spans="1:68" x14ac:dyDescent="0.2">
      <c r="A4" s="1">
        <v>47023</v>
      </c>
      <c r="B4" s="1" t="s">
        <v>76</v>
      </c>
      <c r="C4" s="1">
        <v>8</v>
      </c>
      <c r="D4" s="1">
        <v>677</v>
      </c>
      <c r="E4" s="1" t="s">
        <v>64</v>
      </c>
      <c r="F4" s="1">
        <v>61</v>
      </c>
      <c r="G4" s="1" t="s">
        <v>66</v>
      </c>
      <c r="H4" s="2">
        <v>105.55</v>
      </c>
      <c r="I4" s="2">
        <v>844.4</v>
      </c>
      <c r="J4" s="14">
        <f t="shared" si="1"/>
        <v>50664</v>
      </c>
      <c r="K4" s="15">
        <f t="shared" si="2"/>
        <v>60</v>
      </c>
      <c r="L4" s="1">
        <v>20.059999999999999</v>
      </c>
      <c r="M4" s="1">
        <f>IFERROR(VLOOKUP(A4:A95,'280726 ph.k.'!$A$2:$S$62,19,FALSE),"")</f>
        <v>5</v>
      </c>
      <c r="N4" s="1">
        <f t="shared" si="3"/>
        <v>25.06</v>
      </c>
      <c r="O4" s="1">
        <f>IFERROR(VLOOKUP(A4:A95,'280726 ph.k.'!$A$2:$N$62,14,FALSE),"")</f>
        <v>10</v>
      </c>
      <c r="P4" s="5">
        <v>20</v>
      </c>
      <c r="Q4" s="1">
        <v>43.75</v>
      </c>
      <c r="R4" s="1">
        <v>15</v>
      </c>
      <c r="S4" s="5">
        <v>25</v>
      </c>
      <c r="T4" s="1">
        <v>26.38</v>
      </c>
      <c r="U4" s="1">
        <v>14</v>
      </c>
      <c r="V4" s="5">
        <v>15</v>
      </c>
      <c r="W4" s="1"/>
      <c r="X4" s="1">
        <v>0</v>
      </c>
      <c r="Y4" s="34">
        <f t="shared" si="4"/>
        <v>95.19</v>
      </c>
      <c r="Z4" s="18">
        <f t="shared" si="5"/>
        <v>80378.436000000002</v>
      </c>
      <c r="AA4" s="34">
        <f t="shared" si="6"/>
        <v>39</v>
      </c>
      <c r="AB4" s="2">
        <f t="shared" si="7"/>
        <v>32931.599999999999</v>
      </c>
      <c r="AC4" s="1">
        <v>0</v>
      </c>
      <c r="AD4" s="1">
        <v>0</v>
      </c>
      <c r="AE4" s="1">
        <v>84</v>
      </c>
      <c r="AF4" s="1">
        <v>153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94</v>
      </c>
      <c r="AX4" s="1">
        <v>128</v>
      </c>
      <c r="AY4" s="1">
        <v>115</v>
      </c>
      <c r="AZ4" s="1">
        <v>154</v>
      </c>
      <c r="BA4" s="1">
        <v>120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48</v>
      </c>
      <c r="BH4" s="1">
        <v>51</v>
      </c>
      <c r="BI4" s="1">
        <v>88</v>
      </c>
      <c r="BJ4" s="1">
        <v>99</v>
      </c>
      <c r="BK4" s="1">
        <v>112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</row>
    <row r="5" spans="1:68" x14ac:dyDescent="0.2">
      <c r="A5" s="1">
        <v>47000</v>
      </c>
      <c r="B5" s="1" t="s">
        <v>85</v>
      </c>
      <c r="C5" s="1">
        <v>16</v>
      </c>
      <c r="D5" s="1">
        <v>677</v>
      </c>
      <c r="E5" s="1" t="s">
        <v>64</v>
      </c>
      <c r="F5" s="1">
        <v>61</v>
      </c>
      <c r="G5" s="1" t="s">
        <v>66</v>
      </c>
      <c r="H5" s="2">
        <v>56.59</v>
      </c>
      <c r="I5" s="2">
        <v>905.44</v>
      </c>
      <c r="J5" s="14">
        <f t="shared" si="1"/>
        <v>27163.200000000001</v>
      </c>
      <c r="K5" s="15">
        <f t="shared" si="2"/>
        <v>30</v>
      </c>
      <c r="L5" s="1">
        <v>4.59</v>
      </c>
      <c r="M5" s="1">
        <f>IFERROR(VLOOKUP(A5:A96,'280726 ph.k.'!$A$2:$S$62,19,FALSE),"")</f>
        <v>2.6</v>
      </c>
      <c r="N5" s="1">
        <f t="shared" si="3"/>
        <v>7.1899999999999995</v>
      </c>
      <c r="O5" s="1">
        <f>IFERROR(VLOOKUP(A5:A96,'280726 ph.k.'!$A$2:$N$62,14,FALSE),"")</f>
        <v>3.75</v>
      </c>
      <c r="P5" s="5">
        <v>5</v>
      </c>
      <c r="Q5" s="1">
        <v>25.25</v>
      </c>
      <c r="R5" s="1">
        <v>11.25</v>
      </c>
      <c r="S5" s="5">
        <v>15</v>
      </c>
      <c r="T5" s="1">
        <v>19.559999999999999</v>
      </c>
      <c r="U5" s="1">
        <v>6.44</v>
      </c>
      <c r="V5" s="5">
        <v>10</v>
      </c>
      <c r="W5" s="1"/>
      <c r="X5" s="1">
        <v>0</v>
      </c>
      <c r="Y5" s="34">
        <f t="shared" si="4"/>
        <v>52</v>
      </c>
      <c r="Z5" s="18">
        <f t="shared" si="5"/>
        <v>47082.880000000005</v>
      </c>
      <c r="AA5" s="34">
        <f t="shared" si="6"/>
        <v>21.44</v>
      </c>
      <c r="AB5" s="2">
        <f t="shared" si="7"/>
        <v>19412.633600000001</v>
      </c>
      <c r="AC5" s="1">
        <v>0</v>
      </c>
      <c r="AD5" s="1">
        <v>0</v>
      </c>
      <c r="AE5" s="1">
        <v>60</v>
      </c>
      <c r="AF5" s="1">
        <v>27</v>
      </c>
      <c r="AG5" s="1">
        <v>40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85</v>
      </c>
      <c r="AX5" s="1">
        <v>62</v>
      </c>
      <c r="AY5" s="1">
        <v>209</v>
      </c>
      <c r="AZ5" s="1">
        <v>158</v>
      </c>
      <c r="BA5" s="1">
        <v>180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117</v>
      </c>
      <c r="BH5" s="1">
        <v>152</v>
      </c>
      <c r="BI5" s="1">
        <v>71</v>
      </c>
      <c r="BJ5" s="1">
        <v>98</v>
      </c>
      <c r="BK5" s="1">
        <v>103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</row>
    <row r="6" spans="1:68" x14ac:dyDescent="0.2">
      <c r="A6" s="1">
        <v>47002</v>
      </c>
      <c r="B6" s="1" t="s">
        <v>89</v>
      </c>
      <c r="C6" s="1">
        <v>24</v>
      </c>
      <c r="D6" s="1">
        <v>677</v>
      </c>
      <c r="E6" s="1" t="s">
        <v>64</v>
      </c>
      <c r="F6" s="1">
        <v>61</v>
      </c>
      <c r="G6" s="1" t="s">
        <v>66</v>
      </c>
      <c r="H6" s="2">
        <v>22.315999999999999</v>
      </c>
      <c r="I6" s="2">
        <v>535.58399999999995</v>
      </c>
      <c r="J6" s="14">
        <f t="shared" si="1"/>
        <v>10711.679999999998</v>
      </c>
      <c r="K6" s="15">
        <f t="shared" si="2"/>
        <v>20</v>
      </c>
      <c r="L6" s="1">
        <v>5.0999999999999996</v>
      </c>
      <c r="M6" s="1">
        <f>IFERROR(VLOOKUP(A6:A97,'280726 ph.k.'!$A$2:$S$62,19,FALSE),"")</f>
        <v>2.1</v>
      </c>
      <c r="N6" s="1">
        <f t="shared" si="3"/>
        <v>7.1999999999999993</v>
      </c>
      <c r="O6" s="1">
        <f>IFERROR(VLOOKUP(A6:A97,'280726 ph.k.'!$A$2:$N$62,14,FALSE),"")</f>
        <v>0.08</v>
      </c>
      <c r="P6" s="5">
        <v>10</v>
      </c>
      <c r="Q6" s="1">
        <v>6.62</v>
      </c>
      <c r="R6" s="1">
        <v>7.71</v>
      </c>
      <c r="S6" s="5">
        <v>0</v>
      </c>
      <c r="T6" s="1">
        <v>3.42</v>
      </c>
      <c r="U6" s="1">
        <v>0</v>
      </c>
      <c r="V6" s="5">
        <v>10</v>
      </c>
      <c r="W6" s="1"/>
      <c r="X6" s="1">
        <v>0</v>
      </c>
      <c r="Y6" s="34">
        <f t="shared" si="4"/>
        <v>17.240000000000002</v>
      </c>
      <c r="Z6" s="22">
        <f t="shared" si="5"/>
        <v>9233.4681600000004</v>
      </c>
      <c r="AA6" s="34">
        <f t="shared" si="6"/>
        <v>7.79</v>
      </c>
      <c r="AB6" s="2">
        <f t="shared" si="7"/>
        <v>4172.1993599999996</v>
      </c>
      <c r="AC6" s="1">
        <v>0</v>
      </c>
      <c r="AD6" s="1">
        <v>0</v>
      </c>
      <c r="AE6" s="1">
        <v>80</v>
      </c>
      <c r="AF6" s="1">
        <v>85</v>
      </c>
      <c r="AG6" s="1">
        <v>1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63</v>
      </c>
      <c r="AX6" s="1">
        <v>84</v>
      </c>
      <c r="AY6" s="1">
        <v>48</v>
      </c>
      <c r="AZ6" s="1">
        <v>12</v>
      </c>
      <c r="BA6" s="1">
        <v>185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6</v>
      </c>
      <c r="BI6" s="1">
        <v>55</v>
      </c>
      <c r="BJ6" s="1">
        <v>48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</row>
    <row r="7" spans="1:68" x14ac:dyDescent="0.2">
      <c r="A7" s="1">
        <v>47038</v>
      </c>
      <c r="B7" s="1" t="s">
        <v>90</v>
      </c>
      <c r="C7" s="1">
        <v>28</v>
      </c>
      <c r="D7" s="1">
        <v>677</v>
      </c>
      <c r="E7" s="1" t="s">
        <v>64</v>
      </c>
      <c r="F7" s="1">
        <v>61</v>
      </c>
      <c r="G7" s="1" t="s">
        <v>66</v>
      </c>
      <c r="H7" s="2">
        <v>26.59</v>
      </c>
      <c r="I7" s="2">
        <v>744.52</v>
      </c>
      <c r="J7" s="14">
        <f t="shared" si="1"/>
        <v>14890.4</v>
      </c>
      <c r="K7" s="15">
        <f t="shared" si="2"/>
        <v>20</v>
      </c>
      <c r="L7" s="1">
        <v>6.45</v>
      </c>
      <c r="M7" s="1">
        <f>IFERROR(VLOOKUP(A7:A98,'280726 ph.k.'!$A$2:$S$62,19,FALSE),"")</f>
        <v>0.9</v>
      </c>
      <c r="N7" s="1">
        <f t="shared" si="3"/>
        <v>7.3500000000000005</v>
      </c>
      <c r="O7" s="1">
        <f>IFERROR(VLOOKUP(A7:A98,'280726 ph.k.'!$A$2:$N$62,14,FALSE),"")</f>
        <v>9.89</v>
      </c>
      <c r="P7" s="17">
        <f>MAX(0,(TRUNC((N7*0.8)-O7)))</f>
        <v>0</v>
      </c>
      <c r="Q7" s="1">
        <v>21.18</v>
      </c>
      <c r="R7" s="1">
        <v>12.25</v>
      </c>
      <c r="S7" s="5">
        <v>10</v>
      </c>
      <c r="T7" s="1">
        <v>14.16</v>
      </c>
      <c r="U7" s="1">
        <v>5.64</v>
      </c>
      <c r="V7" s="5">
        <v>10</v>
      </c>
      <c r="W7" s="1"/>
      <c r="X7" s="1">
        <v>0</v>
      </c>
      <c r="Y7" s="34">
        <f t="shared" si="4"/>
        <v>42.69</v>
      </c>
      <c r="Z7" s="18">
        <f t="shared" si="5"/>
        <v>31783.558799999999</v>
      </c>
      <c r="AA7" s="34">
        <f t="shared" si="6"/>
        <v>27.78</v>
      </c>
      <c r="AB7" s="2">
        <f t="shared" si="7"/>
        <v>20682.765599999999</v>
      </c>
      <c r="AC7" s="1">
        <v>0</v>
      </c>
      <c r="AD7" s="1">
        <v>0</v>
      </c>
      <c r="AE7" s="1">
        <v>83</v>
      </c>
      <c r="AF7" s="1">
        <v>195</v>
      </c>
      <c r="AG7" s="1">
        <v>-1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130</v>
      </c>
      <c r="AX7" s="1">
        <v>283</v>
      </c>
      <c r="AY7" s="1">
        <v>191</v>
      </c>
      <c r="AZ7" s="1">
        <v>261</v>
      </c>
      <c r="BA7" s="1">
        <v>343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122</v>
      </c>
      <c r="BH7" s="1">
        <v>48</v>
      </c>
      <c r="BI7" s="1">
        <v>207</v>
      </c>
      <c r="BJ7" s="1">
        <v>87</v>
      </c>
      <c r="BK7" s="1">
        <v>158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</row>
    <row r="8" spans="1:68" x14ac:dyDescent="0.2">
      <c r="A8" s="1">
        <v>47003</v>
      </c>
      <c r="B8" s="1" t="s">
        <v>91</v>
      </c>
      <c r="C8" s="1">
        <v>24</v>
      </c>
      <c r="D8" s="1">
        <v>677</v>
      </c>
      <c r="E8" s="1" t="s">
        <v>64</v>
      </c>
      <c r="F8" s="1">
        <v>61</v>
      </c>
      <c r="G8" s="1" t="s">
        <v>66</v>
      </c>
      <c r="H8" s="2">
        <v>22.315999999999999</v>
      </c>
      <c r="I8" s="2">
        <v>535.58399999999995</v>
      </c>
      <c r="J8" s="14">
        <f t="shared" si="1"/>
        <v>10711.679999999998</v>
      </c>
      <c r="K8" s="15">
        <f t="shared" si="2"/>
        <v>20</v>
      </c>
      <c r="L8" s="1">
        <v>4.6500000000000004</v>
      </c>
      <c r="M8" s="1">
        <f>IFERROR(VLOOKUP(A8:A99,'280726 ph.k.'!$A$2:$S$62,19,FALSE),"")</f>
        <v>2.5</v>
      </c>
      <c r="N8" s="1">
        <f t="shared" si="3"/>
        <v>7.15</v>
      </c>
      <c r="O8" s="1">
        <f>IFERROR(VLOOKUP(A8:A99,'280726 ph.k.'!$A$2:$N$62,14,FALSE),"")</f>
        <v>1.08</v>
      </c>
      <c r="P8" s="5">
        <v>10</v>
      </c>
      <c r="Q8" s="1">
        <v>10.08</v>
      </c>
      <c r="R8" s="1">
        <v>7.54</v>
      </c>
      <c r="S8" s="5">
        <v>0</v>
      </c>
      <c r="T8" s="1">
        <v>5.75</v>
      </c>
      <c r="U8" s="1">
        <v>0</v>
      </c>
      <c r="V8" s="5">
        <v>10</v>
      </c>
      <c r="W8" s="1"/>
      <c r="X8" s="1">
        <v>0</v>
      </c>
      <c r="Y8" s="34">
        <f t="shared" si="4"/>
        <v>22.98</v>
      </c>
      <c r="Z8" s="18">
        <f t="shared" si="5"/>
        <v>12307.720319999999</v>
      </c>
      <c r="AA8" s="34">
        <f t="shared" si="6"/>
        <v>8.620000000000001</v>
      </c>
      <c r="AB8" s="2">
        <f t="shared" si="7"/>
        <v>4616.7340800000002</v>
      </c>
      <c r="AC8" s="1">
        <v>0</v>
      </c>
      <c r="AD8" s="1">
        <v>0</v>
      </c>
      <c r="AE8" s="1">
        <v>61</v>
      </c>
      <c r="AF8" s="1">
        <v>101</v>
      </c>
      <c r="AG8" s="1">
        <v>3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68</v>
      </c>
      <c r="AX8" s="1">
        <v>154</v>
      </c>
      <c r="AY8" s="1">
        <v>63</v>
      </c>
      <c r="AZ8" s="1">
        <v>68</v>
      </c>
      <c r="BA8" s="1">
        <v>181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9</v>
      </c>
      <c r="BH8" s="1">
        <v>51</v>
      </c>
      <c r="BI8" s="1">
        <v>73</v>
      </c>
      <c r="BJ8" s="1">
        <v>61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</row>
    <row r="9" spans="1:68" x14ac:dyDescent="0.2">
      <c r="A9" s="1">
        <v>47004</v>
      </c>
      <c r="B9" s="1" t="s">
        <v>86</v>
      </c>
      <c r="C9" s="1">
        <v>24</v>
      </c>
      <c r="D9" s="1">
        <v>677</v>
      </c>
      <c r="E9" s="1" t="s">
        <v>64</v>
      </c>
      <c r="F9" s="1">
        <v>61</v>
      </c>
      <c r="G9" s="1" t="s">
        <v>66</v>
      </c>
      <c r="H9" s="2">
        <v>22.315999999999999</v>
      </c>
      <c r="I9" s="2">
        <v>535.58399999999995</v>
      </c>
      <c r="J9" s="14">
        <f t="shared" si="1"/>
        <v>10711.679999999998</v>
      </c>
      <c r="K9" s="15">
        <f t="shared" si="2"/>
        <v>20</v>
      </c>
      <c r="L9" s="1">
        <v>5.46</v>
      </c>
      <c r="M9" s="1">
        <f>IFERROR(VLOOKUP(A9:A100,'280726 ph.k.'!$A$2:$S$62,19,FALSE),"")</f>
        <v>2.9</v>
      </c>
      <c r="N9" s="1">
        <f t="shared" si="3"/>
        <v>8.36</v>
      </c>
      <c r="O9" s="1">
        <f>IFERROR(VLOOKUP(A9:A100,'280726 ph.k.'!$A$2:$N$62,14,FALSE),"")</f>
        <v>3.33</v>
      </c>
      <c r="P9" s="5">
        <v>5</v>
      </c>
      <c r="Q9" s="1">
        <v>11.25</v>
      </c>
      <c r="R9" s="1">
        <v>7</v>
      </c>
      <c r="S9" s="5">
        <v>10</v>
      </c>
      <c r="T9" s="1">
        <v>11.19</v>
      </c>
      <c r="U9" s="1">
        <v>7.71</v>
      </c>
      <c r="V9" s="5">
        <v>5</v>
      </c>
      <c r="W9" s="1"/>
      <c r="X9" s="1">
        <v>0</v>
      </c>
      <c r="Y9" s="34">
        <f t="shared" si="4"/>
        <v>30.799999999999997</v>
      </c>
      <c r="Z9" s="18">
        <f t="shared" si="5"/>
        <v>16495.987199999996</v>
      </c>
      <c r="AA9" s="34">
        <f t="shared" si="6"/>
        <v>18.04</v>
      </c>
      <c r="AB9" s="2">
        <f t="shared" si="7"/>
        <v>9661.9353599999977</v>
      </c>
      <c r="AC9" s="1">
        <v>0</v>
      </c>
      <c r="AD9" s="1">
        <v>0</v>
      </c>
      <c r="AE9" s="1">
        <v>82</v>
      </c>
      <c r="AF9" s="1">
        <v>98</v>
      </c>
      <c r="AG9" s="1">
        <v>-1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100</v>
      </c>
      <c r="AX9" s="1">
        <v>98</v>
      </c>
      <c r="AY9" s="1">
        <v>94</v>
      </c>
      <c r="AZ9" s="1">
        <v>54</v>
      </c>
      <c r="BA9" s="1">
        <v>168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73</v>
      </c>
      <c r="BH9" s="1">
        <v>124</v>
      </c>
      <c r="BI9" s="1">
        <v>101</v>
      </c>
      <c r="BJ9" s="1">
        <v>65</v>
      </c>
      <c r="BK9" s="1">
        <v>185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</row>
    <row r="10" spans="1:68" x14ac:dyDescent="0.2">
      <c r="A10" s="1">
        <v>47029</v>
      </c>
      <c r="B10" s="1" t="s">
        <v>94</v>
      </c>
      <c r="C10" s="1">
        <v>24</v>
      </c>
      <c r="D10" s="1">
        <v>677</v>
      </c>
      <c r="E10" s="1" t="s">
        <v>64</v>
      </c>
      <c r="F10" s="1">
        <v>61</v>
      </c>
      <c r="G10" s="1" t="s">
        <v>66</v>
      </c>
      <c r="H10" s="2">
        <v>41.26</v>
      </c>
      <c r="I10" s="2">
        <v>990.24</v>
      </c>
      <c r="J10" s="14">
        <f t="shared" si="1"/>
        <v>19804.8</v>
      </c>
      <c r="K10" s="15">
        <f t="shared" si="2"/>
        <v>20</v>
      </c>
      <c r="L10" s="1">
        <v>2.77</v>
      </c>
      <c r="M10" s="1">
        <f>IFERROR(VLOOKUP(A10:A101,'280726 ph.k.'!$A$2:$S$62,19,FALSE),"")</f>
        <v>0.1</v>
      </c>
      <c r="N10" s="1">
        <f t="shared" si="3"/>
        <v>2.87</v>
      </c>
      <c r="O10" s="1">
        <f>IFERROR(VLOOKUP(A10:A101,'280726 ph.k.'!$A$2:$N$62,14,FALSE),"")</f>
        <v>5.13</v>
      </c>
      <c r="P10" s="17">
        <f t="shared" ref="P10:P11" si="8">MAX(0,(TRUNC((N10*0.8)-O10)))</f>
        <v>0</v>
      </c>
      <c r="Q10" s="1">
        <v>9.25</v>
      </c>
      <c r="R10" s="1">
        <v>3.29</v>
      </c>
      <c r="S10" s="5">
        <v>10</v>
      </c>
      <c r="T10" s="1">
        <v>6.31</v>
      </c>
      <c r="U10" s="1">
        <v>1.92</v>
      </c>
      <c r="V10" s="5">
        <v>10</v>
      </c>
      <c r="W10" s="1"/>
      <c r="X10" s="1">
        <v>0</v>
      </c>
      <c r="Y10" s="34">
        <f t="shared" si="4"/>
        <v>18.43</v>
      </c>
      <c r="Z10" s="18">
        <f t="shared" si="5"/>
        <v>18250.123199999998</v>
      </c>
      <c r="AA10" s="34">
        <f t="shared" si="6"/>
        <v>10.34</v>
      </c>
      <c r="AB10" s="2">
        <f t="shared" si="7"/>
        <v>10239.0816</v>
      </c>
      <c r="AC10" s="1">
        <v>0</v>
      </c>
      <c r="AD10" s="1">
        <v>0</v>
      </c>
      <c r="AE10" s="1">
        <v>33</v>
      </c>
      <c r="AF10" s="1">
        <v>67</v>
      </c>
      <c r="AG10" s="1">
        <v>43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23</v>
      </c>
      <c r="AX10" s="1">
        <v>138</v>
      </c>
      <c r="AY10" s="1">
        <v>96</v>
      </c>
      <c r="AZ10" s="1">
        <v>68</v>
      </c>
      <c r="BA10" s="1">
        <v>79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11</v>
      </c>
      <c r="BH10" s="1">
        <v>63</v>
      </c>
      <c r="BI10" s="1">
        <v>97</v>
      </c>
      <c r="BJ10" s="1">
        <v>24</v>
      </c>
      <c r="BK10" s="1">
        <v>46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</row>
    <row r="11" spans="1:68" x14ac:dyDescent="0.2">
      <c r="A11" s="1">
        <v>47039</v>
      </c>
      <c r="B11" s="1" t="s">
        <v>79</v>
      </c>
      <c r="C11" s="1">
        <v>24</v>
      </c>
      <c r="D11" s="1">
        <v>677</v>
      </c>
      <c r="E11" s="1" t="s">
        <v>64</v>
      </c>
      <c r="F11" s="1">
        <v>61</v>
      </c>
      <c r="G11" s="1" t="s">
        <v>66</v>
      </c>
      <c r="H11" s="2">
        <v>52.259</v>
      </c>
      <c r="I11" s="2">
        <v>1254.2159999999999</v>
      </c>
      <c r="J11" s="14">
        <f t="shared" si="1"/>
        <v>12542.16</v>
      </c>
      <c r="K11" s="15">
        <f t="shared" si="2"/>
        <v>10</v>
      </c>
      <c r="L11" s="1">
        <v>2.46</v>
      </c>
      <c r="M11" s="1">
        <f>IFERROR(VLOOKUP(A11:A102,'280726 ph.k.'!$A$2:$S$62,19,FALSE),"")</f>
        <v>0.9</v>
      </c>
      <c r="N11" s="1">
        <f t="shared" si="3"/>
        <v>3.36</v>
      </c>
      <c r="O11" s="1">
        <f>IFERROR(VLOOKUP(A11:A102,'280726 ph.k.'!$A$2:$N$62,14,FALSE),"")</f>
        <v>13.58</v>
      </c>
      <c r="P11" s="17">
        <f t="shared" si="8"/>
        <v>0</v>
      </c>
      <c r="Q11" s="1">
        <v>17.059999999999999</v>
      </c>
      <c r="R11" s="1">
        <v>7.83</v>
      </c>
      <c r="S11" s="5">
        <v>10</v>
      </c>
      <c r="T11" s="1">
        <v>7.38</v>
      </c>
      <c r="U11" s="1">
        <v>12.42</v>
      </c>
      <c r="V11" s="17">
        <f>MAX(0,(TRUNC((T11*0.8)-U11)))</f>
        <v>0</v>
      </c>
      <c r="W11" s="1"/>
      <c r="X11" s="1">
        <v>0</v>
      </c>
      <c r="Y11" s="34">
        <f t="shared" si="4"/>
        <v>27.799999999999997</v>
      </c>
      <c r="Z11" s="18">
        <f t="shared" si="5"/>
        <v>34867.204799999992</v>
      </c>
      <c r="AA11" s="34">
        <f t="shared" si="6"/>
        <v>33.83</v>
      </c>
      <c r="AB11" s="2">
        <f t="shared" si="7"/>
        <v>42430.127279999993</v>
      </c>
      <c r="AC11" s="1">
        <v>0</v>
      </c>
      <c r="AD11" s="1">
        <v>0</v>
      </c>
      <c r="AE11" s="1">
        <v>29</v>
      </c>
      <c r="AF11" s="1">
        <v>60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83</v>
      </c>
      <c r="AX11" s="1">
        <v>128</v>
      </c>
      <c r="AY11" s="1">
        <v>204</v>
      </c>
      <c r="AZ11" s="1">
        <v>117</v>
      </c>
      <c r="BA11" s="1">
        <v>188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50</v>
      </c>
      <c r="BH11" s="1">
        <v>132</v>
      </c>
      <c r="BI11" s="1">
        <v>35</v>
      </c>
      <c r="BJ11" s="1">
        <v>52</v>
      </c>
      <c r="BK11" s="1">
        <v>298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</row>
    <row r="12" spans="1:68" x14ac:dyDescent="0.2">
      <c r="A12" s="1">
        <v>48091</v>
      </c>
      <c r="B12" s="1" t="s">
        <v>103</v>
      </c>
      <c r="C12" s="1">
        <v>12</v>
      </c>
      <c r="D12" s="1">
        <v>677</v>
      </c>
      <c r="E12" s="1" t="s">
        <v>64</v>
      </c>
      <c r="F12" s="1">
        <v>690</v>
      </c>
      <c r="G12" s="1" t="s">
        <v>101</v>
      </c>
      <c r="H12" s="2">
        <v>42.332000000000001</v>
      </c>
      <c r="I12" s="2">
        <v>507.98399999999998</v>
      </c>
      <c r="J12" s="14">
        <f t="shared" si="1"/>
        <v>5079.84</v>
      </c>
      <c r="K12" s="15">
        <f t="shared" si="2"/>
        <v>10</v>
      </c>
      <c r="L12" s="1">
        <v>4.46</v>
      </c>
      <c r="M12" s="1">
        <f>IFERROR(VLOOKUP(A12:A103,'280726 ph.k.'!$A$2:$S$62,19,FALSE),"")</f>
        <v>1.1000000000000001</v>
      </c>
      <c r="N12" s="1">
        <f t="shared" si="3"/>
        <v>5.5600000000000005</v>
      </c>
      <c r="O12" s="1">
        <f>IFERROR(VLOOKUP(A12:A103,'280726 ph.k.'!$A$2:$N$62,14,FALSE),"")</f>
        <v>0.08</v>
      </c>
      <c r="P12" s="5">
        <v>5</v>
      </c>
      <c r="Q12" s="1">
        <v>1.92</v>
      </c>
      <c r="R12" s="1">
        <v>2.83</v>
      </c>
      <c r="S12" s="5">
        <v>0</v>
      </c>
      <c r="T12" s="1">
        <v>7.46</v>
      </c>
      <c r="U12" s="1">
        <v>1</v>
      </c>
      <c r="V12" s="5">
        <v>5</v>
      </c>
      <c r="W12" s="1"/>
      <c r="X12" s="1">
        <v>0</v>
      </c>
      <c r="Y12" s="34">
        <f t="shared" si="4"/>
        <v>14.940000000000001</v>
      </c>
      <c r="Z12" s="22">
        <f t="shared" si="5"/>
        <v>7589.2809600000001</v>
      </c>
      <c r="AA12" s="34">
        <f t="shared" si="6"/>
        <v>3.91</v>
      </c>
      <c r="AB12" s="2">
        <f t="shared" si="7"/>
        <v>1986.2174399999999</v>
      </c>
      <c r="AC12" s="1">
        <v>0</v>
      </c>
      <c r="AD12" s="1">
        <v>0</v>
      </c>
      <c r="AE12" s="1">
        <v>33</v>
      </c>
      <c r="AF12" s="1">
        <v>41</v>
      </c>
      <c r="AG12" s="1">
        <v>-1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14</v>
      </c>
      <c r="AX12" s="1">
        <v>0</v>
      </c>
      <c r="AY12" s="1">
        <v>9</v>
      </c>
      <c r="AZ12" s="1">
        <v>0</v>
      </c>
      <c r="BA12" s="1">
        <v>34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36</v>
      </c>
      <c r="BH12" s="1">
        <v>0</v>
      </c>
      <c r="BI12" s="1">
        <v>36</v>
      </c>
      <c r="BJ12" s="1">
        <v>35</v>
      </c>
      <c r="BK12" s="1">
        <v>12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</row>
    <row r="13" spans="1:68" x14ac:dyDescent="0.2">
      <c r="A13" s="1">
        <v>48081</v>
      </c>
      <c r="B13" s="1" t="s">
        <v>104</v>
      </c>
      <c r="C13" s="1">
        <v>12</v>
      </c>
      <c r="D13" s="1">
        <v>677</v>
      </c>
      <c r="E13" s="1" t="s">
        <v>64</v>
      </c>
      <c r="F13" s="1">
        <v>690</v>
      </c>
      <c r="G13" s="1" t="s">
        <v>101</v>
      </c>
      <c r="H13" s="2">
        <v>42.332000000000001</v>
      </c>
      <c r="I13" s="2">
        <v>507.98399999999998</v>
      </c>
      <c r="J13" s="14">
        <f t="shared" si="1"/>
        <v>4063.8719999999998</v>
      </c>
      <c r="K13" s="15">
        <f t="shared" si="2"/>
        <v>8</v>
      </c>
      <c r="L13" s="1">
        <v>3.25</v>
      </c>
      <c r="M13" s="1">
        <f>IFERROR(VLOOKUP(A13:A104,'280726 ph.k.'!$A$2:$S$62,19,FALSE),"")</f>
        <v>0.6</v>
      </c>
      <c r="N13" s="1">
        <f t="shared" si="3"/>
        <v>3.85</v>
      </c>
      <c r="O13" s="1">
        <f>IFERROR(VLOOKUP(A13:A104,'280726 ph.k.'!$A$2:$N$62,14,FALSE),"")</f>
        <v>0.31</v>
      </c>
      <c r="P13" s="17">
        <f t="shared" ref="P13:P17" si="9">MAX(0,(TRUNC((N13*0.8)-O13)))</f>
        <v>2</v>
      </c>
      <c r="Q13" s="1">
        <v>3.54</v>
      </c>
      <c r="R13" s="1">
        <v>0.83</v>
      </c>
      <c r="S13" s="5">
        <v>3</v>
      </c>
      <c r="T13" s="1">
        <v>6.67</v>
      </c>
      <c r="U13" s="1">
        <v>2</v>
      </c>
      <c r="V13" s="17">
        <f t="shared" ref="V13:V15" si="10">MAX(0,(TRUNC((T13*0.8)-U13)))</f>
        <v>3</v>
      </c>
      <c r="W13" s="1"/>
      <c r="X13" s="1">
        <v>0</v>
      </c>
      <c r="Y13" s="34">
        <f t="shared" si="4"/>
        <v>14.06</v>
      </c>
      <c r="Z13" s="22">
        <f t="shared" si="5"/>
        <v>7142.25504</v>
      </c>
      <c r="AA13" s="34">
        <f t="shared" si="6"/>
        <v>3.1399999999999997</v>
      </c>
      <c r="AB13" s="2">
        <f t="shared" si="7"/>
        <v>1595.0697599999999</v>
      </c>
      <c r="AC13" s="1">
        <v>0</v>
      </c>
      <c r="AD13" s="1">
        <v>0</v>
      </c>
      <c r="AE13" s="1">
        <v>19</v>
      </c>
      <c r="AF13" s="1">
        <v>40</v>
      </c>
      <c r="AG13" s="1">
        <v>-1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22</v>
      </c>
      <c r="AX13" s="1">
        <v>10</v>
      </c>
      <c r="AY13" s="1">
        <v>12</v>
      </c>
      <c r="AZ13" s="1">
        <v>7</v>
      </c>
      <c r="BA13" s="1">
        <v>10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36</v>
      </c>
      <c r="BH13" s="1">
        <v>0</v>
      </c>
      <c r="BI13" s="1">
        <v>33</v>
      </c>
      <c r="BJ13" s="1">
        <v>22</v>
      </c>
      <c r="BK13" s="1">
        <v>24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</row>
    <row r="14" spans="1:68" x14ac:dyDescent="0.2">
      <c r="A14" s="1">
        <v>47008</v>
      </c>
      <c r="B14" s="1" t="s">
        <v>93</v>
      </c>
      <c r="C14" s="1">
        <v>24</v>
      </c>
      <c r="D14" s="1">
        <v>677</v>
      </c>
      <c r="E14" s="1" t="s">
        <v>64</v>
      </c>
      <c r="F14" s="1">
        <v>61</v>
      </c>
      <c r="G14" s="1" t="s">
        <v>66</v>
      </c>
      <c r="H14" s="2">
        <v>35.74</v>
      </c>
      <c r="I14" s="2">
        <v>857.76</v>
      </c>
      <c r="J14" s="14">
        <f t="shared" si="1"/>
        <v>6004.32</v>
      </c>
      <c r="K14" s="15">
        <f t="shared" si="2"/>
        <v>7</v>
      </c>
      <c r="L14" s="1">
        <v>5.81</v>
      </c>
      <c r="M14" s="1">
        <f>IFERROR(VLOOKUP(A14:A105,'280726 ph.k.'!$A$2:$S$62,19,FALSE),"")</f>
        <v>1.5</v>
      </c>
      <c r="N14" s="1">
        <f t="shared" si="3"/>
        <v>7.31</v>
      </c>
      <c r="O14" s="1">
        <f>IFERROR(VLOOKUP(A14:A105,'280726 ph.k.'!$A$2:$N$62,14,FALSE),"")</f>
        <v>11.96</v>
      </c>
      <c r="P14" s="17">
        <f t="shared" si="9"/>
        <v>0</v>
      </c>
      <c r="Q14" s="1">
        <v>16.559999999999999</v>
      </c>
      <c r="R14" s="1">
        <v>15.17</v>
      </c>
      <c r="S14" s="5">
        <v>0</v>
      </c>
      <c r="T14" s="1">
        <v>22.96</v>
      </c>
      <c r="U14" s="1">
        <v>10.58</v>
      </c>
      <c r="V14" s="17">
        <f t="shared" si="10"/>
        <v>7</v>
      </c>
      <c r="W14" s="1"/>
      <c r="X14" s="1">
        <v>0</v>
      </c>
      <c r="Y14" s="34">
        <f t="shared" si="4"/>
        <v>46.83</v>
      </c>
      <c r="Z14" s="18">
        <f t="shared" si="5"/>
        <v>40168.900799999996</v>
      </c>
      <c r="AA14" s="34">
        <f t="shared" si="6"/>
        <v>37.71</v>
      </c>
      <c r="AB14" s="2">
        <f t="shared" si="7"/>
        <v>32346.1296</v>
      </c>
      <c r="AC14" s="1">
        <v>0</v>
      </c>
      <c r="AD14" s="1">
        <v>0</v>
      </c>
      <c r="AE14" s="1">
        <v>111</v>
      </c>
      <c r="AF14" s="1">
        <v>57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85</v>
      </c>
      <c r="AX14" s="1">
        <v>88</v>
      </c>
      <c r="AY14" s="1">
        <v>187</v>
      </c>
      <c r="AZ14" s="1">
        <v>163</v>
      </c>
      <c r="BA14" s="1">
        <v>364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138</v>
      </c>
      <c r="BH14" s="1">
        <v>215</v>
      </c>
      <c r="BI14" s="1">
        <v>222</v>
      </c>
      <c r="BJ14" s="1">
        <v>167</v>
      </c>
      <c r="BK14" s="1">
        <v>254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</row>
    <row r="15" spans="1:68" x14ac:dyDescent="0.2">
      <c r="A15" s="1">
        <v>48085</v>
      </c>
      <c r="B15" s="1" t="s">
        <v>105</v>
      </c>
      <c r="C15" s="1">
        <v>12</v>
      </c>
      <c r="D15" s="1">
        <v>677</v>
      </c>
      <c r="E15" s="1" t="s">
        <v>64</v>
      </c>
      <c r="F15" s="1">
        <v>690</v>
      </c>
      <c r="G15" s="1" t="s">
        <v>101</v>
      </c>
      <c r="H15" s="2">
        <v>42.332000000000001</v>
      </c>
      <c r="I15" s="2">
        <v>507.98399999999998</v>
      </c>
      <c r="J15" s="14">
        <f t="shared" si="1"/>
        <v>3555.8879999999999</v>
      </c>
      <c r="K15" s="15">
        <f t="shared" si="2"/>
        <v>7</v>
      </c>
      <c r="L15" s="1">
        <v>1.25</v>
      </c>
      <c r="M15" s="1">
        <f>IFERROR(VLOOKUP(A15:A106,'280726 ph.k.'!$A$2:$S$62,19,FALSE),"")</f>
        <v>0.4</v>
      </c>
      <c r="N15" s="1">
        <f t="shared" si="3"/>
        <v>1.65</v>
      </c>
      <c r="O15" s="1">
        <f>IFERROR(VLOOKUP(A15:A106,'280726 ph.k.'!$A$2:$N$62,14,FALSE),"")</f>
        <v>0</v>
      </c>
      <c r="P15" s="17">
        <f t="shared" si="9"/>
        <v>1</v>
      </c>
      <c r="Q15" s="1">
        <v>1.58</v>
      </c>
      <c r="R15" s="1">
        <v>0.75</v>
      </c>
      <c r="S15" s="5">
        <v>2</v>
      </c>
      <c r="T15" s="1">
        <v>5.67</v>
      </c>
      <c r="U15" s="1">
        <v>0</v>
      </c>
      <c r="V15" s="17">
        <f t="shared" si="10"/>
        <v>4</v>
      </c>
      <c r="W15" s="1"/>
      <c r="X15" s="1">
        <v>0</v>
      </c>
      <c r="Y15" s="34">
        <f t="shared" si="4"/>
        <v>8.9</v>
      </c>
      <c r="Z15" s="20">
        <f t="shared" si="5"/>
        <v>4521.0576000000001</v>
      </c>
      <c r="AA15" s="34">
        <f t="shared" si="6"/>
        <v>0.75</v>
      </c>
      <c r="AB15" s="2">
        <f t="shared" si="7"/>
        <v>380.988</v>
      </c>
      <c r="AC15" s="1">
        <v>0</v>
      </c>
      <c r="AD15" s="1">
        <v>0</v>
      </c>
      <c r="AE15" s="1">
        <v>15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3</v>
      </c>
      <c r="AX15" s="1">
        <v>0</v>
      </c>
      <c r="AY15" s="1">
        <v>11</v>
      </c>
      <c r="AZ15" s="1">
        <v>10</v>
      </c>
      <c r="BA15" s="1">
        <v>9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36</v>
      </c>
      <c r="BH15" s="1">
        <v>0</v>
      </c>
      <c r="BI15" s="1">
        <v>26</v>
      </c>
      <c r="BJ15" s="1">
        <v>12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</row>
    <row r="16" spans="1:68" x14ac:dyDescent="0.2">
      <c r="A16" s="1">
        <v>47046</v>
      </c>
      <c r="B16" s="1" t="s">
        <v>78</v>
      </c>
      <c r="C16" s="1">
        <v>24</v>
      </c>
      <c r="D16" s="1">
        <v>677</v>
      </c>
      <c r="E16" s="1" t="s">
        <v>64</v>
      </c>
      <c r="F16" s="1">
        <v>61</v>
      </c>
      <c r="G16" s="1" t="s">
        <v>66</v>
      </c>
      <c r="H16" s="2">
        <v>39.11</v>
      </c>
      <c r="I16" s="2">
        <v>938.64</v>
      </c>
      <c r="J16" s="14">
        <f t="shared" si="1"/>
        <v>4693.2</v>
      </c>
      <c r="K16" s="15">
        <f t="shared" si="2"/>
        <v>5</v>
      </c>
      <c r="L16" s="1">
        <v>5.6</v>
      </c>
      <c r="M16" s="1">
        <f>IFERROR(VLOOKUP(A16:A107,'280726 ph.k.'!$A$2:$S$62,19,FALSE),"")</f>
        <v>0.8</v>
      </c>
      <c r="N16" s="1">
        <f t="shared" si="3"/>
        <v>6.3999999999999995</v>
      </c>
      <c r="O16" s="1">
        <f>IFERROR(VLOOKUP(A16:A107,'280726 ph.k.'!$A$2:$N$62,14,FALSE),"")</f>
        <v>4.54</v>
      </c>
      <c r="P16" s="17">
        <f t="shared" si="9"/>
        <v>0</v>
      </c>
      <c r="Q16" s="1">
        <v>17.62</v>
      </c>
      <c r="R16" s="1">
        <v>22.92</v>
      </c>
      <c r="S16" s="5">
        <v>0</v>
      </c>
      <c r="T16" s="1">
        <v>18.98</v>
      </c>
      <c r="U16" s="1">
        <v>8.58</v>
      </c>
      <c r="V16" s="5">
        <v>5</v>
      </c>
      <c r="W16" s="1"/>
      <c r="X16" s="1">
        <v>0</v>
      </c>
      <c r="Y16" s="34">
        <f t="shared" si="4"/>
        <v>43</v>
      </c>
      <c r="Z16" s="18">
        <f t="shared" si="5"/>
        <v>40361.519999999997</v>
      </c>
      <c r="AA16" s="34">
        <f t="shared" si="6"/>
        <v>36.04</v>
      </c>
      <c r="AB16" s="2">
        <f t="shared" si="7"/>
        <v>33828.585599999999</v>
      </c>
      <c r="AC16" s="1">
        <v>0</v>
      </c>
      <c r="AD16" s="1">
        <v>0</v>
      </c>
      <c r="AE16" s="1">
        <v>101</v>
      </c>
      <c r="AF16" s="1">
        <v>67</v>
      </c>
      <c r="AG16" s="1">
        <v>121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141</v>
      </c>
      <c r="AX16" s="1">
        <v>168</v>
      </c>
      <c r="AY16" s="1">
        <v>131</v>
      </c>
      <c r="AZ16" s="1">
        <v>134</v>
      </c>
      <c r="BA16" s="1">
        <v>550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190</v>
      </c>
      <c r="BH16" s="1">
        <v>127</v>
      </c>
      <c r="BI16" s="1">
        <v>140</v>
      </c>
      <c r="BJ16" s="1">
        <v>124</v>
      </c>
      <c r="BK16" s="1">
        <v>206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</row>
    <row r="17" spans="1:68" x14ac:dyDescent="0.2">
      <c r="A17" s="1">
        <v>47024</v>
      </c>
      <c r="B17" s="1" t="s">
        <v>88</v>
      </c>
      <c r="C17" s="1">
        <v>12</v>
      </c>
      <c r="D17" s="1">
        <v>677</v>
      </c>
      <c r="E17" s="1" t="s">
        <v>64</v>
      </c>
      <c r="F17" s="1">
        <v>61</v>
      </c>
      <c r="G17" s="1" t="s">
        <v>66</v>
      </c>
      <c r="H17" s="2">
        <v>135.38999999999999</v>
      </c>
      <c r="I17" s="2">
        <v>1624.68</v>
      </c>
      <c r="J17" s="14">
        <f t="shared" si="1"/>
        <v>8123.4000000000005</v>
      </c>
      <c r="K17" s="15">
        <f t="shared" si="2"/>
        <v>5</v>
      </c>
      <c r="L17" s="1">
        <v>4.83</v>
      </c>
      <c r="M17" s="1">
        <f>IFERROR(VLOOKUP(A17:A108,'280726 ph.k.'!$A$2:$S$62,19,FALSE),"")</f>
        <v>0.4</v>
      </c>
      <c r="N17" s="1">
        <f t="shared" si="3"/>
        <v>5.23</v>
      </c>
      <c r="O17" s="1">
        <f>IFERROR(VLOOKUP(A17:A108,'280726 ph.k.'!$A$2:$N$62,14,FALSE),"")</f>
        <v>3.5</v>
      </c>
      <c r="P17" s="17">
        <f t="shared" si="9"/>
        <v>0</v>
      </c>
      <c r="Q17" s="1">
        <v>5.29</v>
      </c>
      <c r="R17" s="1">
        <v>1.67</v>
      </c>
      <c r="S17" s="5">
        <v>5</v>
      </c>
      <c r="T17" s="1">
        <v>6.83</v>
      </c>
      <c r="U17" s="1">
        <v>5</v>
      </c>
      <c r="V17" s="17">
        <f t="shared" ref="V17:V18" si="11">MAX(0,(TRUNC((T17*0.8)-U17)))</f>
        <v>0</v>
      </c>
      <c r="W17" s="1"/>
      <c r="X17" s="1">
        <v>0</v>
      </c>
      <c r="Y17" s="34">
        <f t="shared" si="4"/>
        <v>17.350000000000001</v>
      </c>
      <c r="Z17" s="18">
        <f t="shared" si="5"/>
        <v>28188.198000000004</v>
      </c>
      <c r="AA17" s="34">
        <f t="shared" si="6"/>
        <v>10.17</v>
      </c>
      <c r="AB17" s="2">
        <f t="shared" si="7"/>
        <v>16522.995600000002</v>
      </c>
      <c r="AC17" s="1">
        <v>0</v>
      </c>
      <c r="AD17" s="1">
        <v>0</v>
      </c>
      <c r="AE17" s="1">
        <v>47</v>
      </c>
      <c r="AF17" s="1">
        <v>22</v>
      </c>
      <c r="AG17" s="1">
        <v>1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21</v>
      </c>
      <c r="AX17" s="1">
        <v>16</v>
      </c>
      <c r="AY17" s="1">
        <v>22</v>
      </c>
      <c r="AZ17" s="1">
        <v>25</v>
      </c>
      <c r="BA17" s="1">
        <v>20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28</v>
      </c>
      <c r="BH17" s="1">
        <v>34</v>
      </c>
      <c r="BI17" s="1">
        <v>37</v>
      </c>
      <c r="BJ17" s="1">
        <v>0</v>
      </c>
      <c r="BK17" s="1">
        <v>60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</row>
    <row r="18" spans="1:68" x14ac:dyDescent="0.2">
      <c r="A18" s="1">
        <v>48084</v>
      </c>
      <c r="B18" s="1" t="s">
        <v>100</v>
      </c>
      <c r="C18" s="1">
        <v>12</v>
      </c>
      <c r="D18" s="1">
        <v>677</v>
      </c>
      <c r="E18" s="1" t="s">
        <v>64</v>
      </c>
      <c r="F18" s="1">
        <v>690</v>
      </c>
      <c r="G18" s="1" t="s">
        <v>101</v>
      </c>
      <c r="H18" s="2">
        <v>42.332000000000001</v>
      </c>
      <c r="I18" s="2">
        <v>507.98399999999998</v>
      </c>
      <c r="J18" s="14">
        <f t="shared" si="1"/>
        <v>2539.92</v>
      </c>
      <c r="K18" s="15">
        <f t="shared" si="2"/>
        <v>5</v>
      </c>
      <c r="L18" s="1">
        <v>3.62</v>
      </c>
      <c r="M18" s="1">
        <f>IFERROR(VLOOKUP(A18:A109,'280726 ph.k.'!$A$2:$S$62,19,FALSE),"")</f>
        <v>0.7</v>
      </c>
      <c r="N18" s="1">
        <f t="shared" si="3"/>
        <v>4.32</v>
      </c>
      <c r="O18" s="1">
        <f>IFERROR(VLOOKUP(A18:A109,'280726 ph.k.'!$A$2:$N$62,14,FALSE),"")</f>
        <v>0.55000000000000004</v>
      </c>
      <c r="P18" s="5">
        <v>3</v>
      </c>
      <c r="Q18" s="1">
        <v>3.21</v>
      </c>
      <c r="R18" s="1">
        <v>2.08</v>
      </c>
      <c r="S18" s="5">
        <v>0</v>
      </c>
      <c r="T18" s="1">
        <v>5.96</v>
      </c>
      <c r="U18" s="1">
        <v>2</v>
      </c>
      <c r="V18" s="17">
        <f t="shared" si="11"/>
        <v>2</v>
      </c>
      <c r="W18" s="1"/>
      <c r="X18" s="1">
        <v>0</v>
      </c>
      <c r="Y18" s="34">
        <f t="shared" si="4"/>
        <v>13.49</v>
      </c>
      <c r="Z18" s="22">
        <f t="shared" si="5"/>
        <v>6852.7041600000002</v>
      </c>
      <c r="AA18" s="34">
        <f t="shared" si="6"/>
        <v>4.63</v>
      </c>
      <c r="AB18" s="2">
        <f t="shared" si="7"/>
        <v>2351.9659199999996</v>
      </c>
      <c r="AC18" s="1">
        <v>0</v>
      </c>
      <c r="AD18" s="1">
        <v>0</v>
      </c>
      <c r="AE18" s="1">
        <v>41</v>
      </c>
      <c r="AF18" s="1">
        <v>5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11</v>
      </c>
      <c r="AX18" s="1">
        <v>0</v>
      </c>
      <c r="AY18" s="1">
        <v>21</v>
      </c>
      <c r="AZ18" s="1">
        <v>13</v>
      </c>
      <c r="BA18" s="1">
        <v>25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36</v>
      </c>
      <c r="BH18" s="1">
        <v>0</v>
      </c>
      <c r="BI18" s="1">
        <v>34</v>
      </c>
      <c r="BJ18" s="1">
        <v>3</v>
      </c>
      <c r="BK18" s="1">
        <v>24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</row>
    <row r="19" spans="1:68" x14ac:dyDescent="0.2">
      <c r="A19" s="1">
        <v>48056</v>
      </c>
      <c r="B19" s="1" t="s">
        <v>134</v>
      </c>
      <c r="C19" s="1">
        <v>12</v>
      </c>
      <c r="D19" s="1">
        <v>677</v>
      </c>
      <c r="E19" s="1" t="s">
        <v>64</v>
      </c>
      <c r="F19" s="1">
        <v>690</v>
      </c>
      <c r="G19" s="1" t="s">
        <v>101</v>
      </c>
      <c r="H19" s="2">
        <v>42.332500000000003</v>
      </c>
      <c r="I19" s="2">
        <v>507.99</v>
      </c>
      <c r="J19" s="14">
        <f t="shared" si="1"/>
        <v>2539.9499999999998</v>
      </c>
      <c r="K19" s="15">
        <f t="shared" si="2"/>
        <v>5</v>
      </c>
      <c r="L19" s="1">
        <v>1.17</v>
      </c>
      <c r="M19" s="1">
        <f>IFERROR(VLOOKUP(A19:A110,'280726 ph.k.'!$A$2:$S$62,19,FALSE),"")</f>
        <v>0</v>
      </c>
      <c r="N19" s="1">
        <f t="shared" si="3"/>
        <v>1.17</v>
      </c>
      <c r="O19" s="1">
        <f>IFERROR(VLOOKUP(A19:A110,'280726 ph.k.'!$A$2:$N$62,14,FALSE),"")</f>
        <v>0</v>
      </c>
      <c r="P19" s="5">
        <v>2</v>
      </c>
      <c r="Q19" s="1">
        <v>0.83</v>
      </c>
      <c r="R19" s="1">
        <v>0</v>
      </c>
      <c r="S19" s="5">
        <v>2</v>
      </c>
      <c r="T19" s="1">
        <v>0.54</v>
      </c>
      <c r="U19" s="1">
        <v>0</v>
      </c>
      <c r="V19" s="5">
        <v>1</v>
      </c>
      <c r="W19" s="1"/>
      <c r="X19" s="1">
        <v>0</v>
      </c>
      <c r="Y19" s="34">
        <f t="shared" si="4"/>
        <v>2.54</v>
      </c>
      <c r="Z19" s="20">
        <f t="shared" si="5"/>
        <v>1290.2945999999999</v>
      </c>
      <c r="AA19" s="34">
        <f t="shared" si="6"/>
        <v>0</v>
      </c>
      <c r="AB19" s="2">
        <f t="shared" si="7"/>
        <v>0</v>
      </c>
      <c r="AC19" s="1">
        <v>0</v>
      </c>
      <c r="AD19" s="1">
        <v>0</v>
      </c>
      <c r="AE19" s="1">
        <v>8</v>
      </c>
      <c r="AF19" s="1">
        <v>12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8</v>
      </c>
      <c r="AZ19" s="1">
        <v>4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4</v>
      </c>
      <c r="BJ19" s="1">
        <v>5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</row>
    <row r="20" spans="1:68" x14ac:dyDescent="0.2">
      <c r="A20" s="1">
        <v>48049</v>
      </c>
      <c r="B20" s="1" t="s">
        <v>124</v>
      </c>
      <c r="C20" s="1">
        <v>12</v>
      </c>
      <c r="D20" s="1">
        <v>677</v>
      </c>
      <c r="E20" s="1" t="s">
        <v>64</v>
      </c>
      <c r="F20" s="1">
        <v>690</v>
      </c>
      <c r="G20" s="1" t="s">
        <v>101</v>
      </c>
      <c r="H20" s="2">
        <v>42.332500000000003</v>
      </c>
      <c r="I20" s="2">
        <v>507.99</v>
      </c>
      <c r="J20" s="14">
        <f t="shared" si="1"/>
        <v>2539.9499999999998</v>
      </c>
      <c r="K20" s="15">
        <f t="shared" si="2"/>
        <v>5</v>
      </c>
      <c r="L20" s="1">
        <v>0.57999999999999996</v>
      </c>
      <c r="M20" s="1">
        <f>IFERROR(VLOOKUP(A20:A111,'280726 ph.k.'!$A$2:$S$62,19,FALSE),"")</f>
        <v>0</v>
      </c>
      <c r="N20" s="1">
        <f t="shared" si="3"/>
        <v>0.57999999999999996</v>
      </c>
      <c r="O20" s="1">
        <f>IFERROR(VLOOKUP(A20:A111,'280726 ph.k.'!$A$2:$N$62,14,FALSE),"")</f>
        <v>0</v>
      </c>
      <c r="P20" s="5">
        <v>2</v>
      </c>
      <c r="Q20" s="1">
        <v>1.08</v>
      </c>
      <c r="R20" s="1">
        <v>0</v>
      </c>
      <c r="S20" s="5">
        <v>2</v>
      </c>
      <c r="T20" s="1">
        <v>0.62</v>
      </c>
      <c r="U20" s="1">
        <v>0</v>
      </c>
      <c r="V20" s="5">
        <v>1</v>
      </c>
      <c r="W20" s="1"/>
      <c r="X20" s="1">
        <v>0</v>
      </c>
      <c r="Y20" s="34">
        <f t="shared" si="4"/>
        <v>2.2800000000000002</v>
      </c>
      <c r="Z20" s="20">
        <f t="shared" si="5"/>
        <v>1158.2172</v>
      </c>
      <c r="AA20" s="34">
        <f t="shared" si="6"/>
        <v>0</v>
      </c>
      <c r="AB20" s="2">
        <f t="shared" si="7"/>
        <v>0</v>
      </c>
      <c r="AC20" s="1">
        <v>0</v>
      </c>
      <c r="AD20" s="1">
        <v>0</v>
      </c>
      <c r="AE20" s="1">
        <v>7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11</v>
      </c>
      <c r="AZ20" s="1">
        <v>4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4</v>
      </c>
      <c r="BJ20" s="1">
        <v>7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</row>
    <row r="21" spans="1:68" x14ac:dyDescent="0.2">
      <c r="A21" s="1">
        <v>48066</v>
      </c>
      <c r="B21" s="1" t="s">
        <v>129</v>
      </c>
      <c r="C21" s="1">
        <v>12</v>
      </c>
      <c r="D21" s="1">
        <v>677</v>
      </c>
      <c r="E21" s="1" t="s">
        <v>64</v>
      </c>
      <c r="F21" s="1">
        <v>690</v>
      </c>
      <c r="G21" s="1" t="s">
        <v>101</v>
      </c>
      <c r="H21" s="2">
        <v>42.332500000000003</v>
      </c>
      <c r="I21" s="2">
        <v>507.99</v>
      </c>
      <c r="J21" s="14">
        <f t="shared" si="1"/>
        <v>2539.9499999999998</v>
      </c>
      <c r="K21" s="15">
        <f t="shared" si="2"/>
        <v>5</v>
      </c>
      <c r="L21" s="1">
        <v>1.17</v>
      </c>
      <c r="M21" s="1">
        <f>IFERROR(VLOOKUP(A21:A112,'280726 ph.k.'!$A$2:$S$62,19,FALSE),"")</f>
        <v>0</v>
      </c>
      <c r="N21" s="1">
        <f t="shared" si="3"/>
        <v>1.17</v>
      </c>
      <c r="O21" s="1">
        <f>IFERROR(VLOOKUP(A21:A112,'280726 ph.k.'!$A$2:$N$62,14,FALSE),"")</f>
        <v>0</v>
      </c>
      <c r="P21" s="5">
        <v>2</v>
      </c>
      <c r="Q21" s="1">
        <v>0.71</v>
      </c>
      <c r="R21" s="1">
        <v>0</v>
      </c>
      <c r="S21" s="5">
        <v>2</v>
      </c>
      <c r="T21" s="1">
        <v>0.38</v>
      </c>
      <c r="U21" s="1">
        <v>0</v>
      </c>
      <c r="V21" s="5">
        <v>1</v>
      </c>
      <c r="W21" s="1"/>
      <c r="X21" s="1">
        <v>0</v>
      </c>
      <c r="Y21" s="34">
        <f t="shared" si="4"/>
        <v>2.2599999999999998</v>
      </c>
      <c r="Z21" s="20">
        <f t="shared" si="5"/>
        <v>1148.0573999999999</v>
      </c>
      <c r="AA21" s="34">
        <f t="shared" si="6"/>
        <v>0</v>
      </c>
      <c r="AB21" s="2">
        <f t="shared" si="7"/>
        <v>0</v>
      </c>
      <c r="AC21" s="1">
        <v>0</v>
      </c>
      <c r="AD21" s="1">
        <v>0</v>
      </c>
      <c r="AE21" s="1">
        <v>13</v>
      </c>
      <c r="AF21" s="1">
        <v>2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1</v>
      </c>
      <c r="AX21" s="1">
        <v>0</v>
      </c>
      <c r="AY21" s="1">
        <v>5</v>
      </c>
      <c r="AZ21" s="1">
        <v>5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2</v>
      </c>
      <c r="BJ21" s="1">
        <v>5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</row>
    <row r="22" spans="1:68" x14ac:dyDescent="0.2">
      <c r="A22" s="1">
        <v>48080</v>
      </c>
      <c r="B22" s="1" t="s">
        <v>122</v>
      </c>
      <c r="C22" s="1">
        <v>12</v>
      </c>
      <c r="D22" s="1">
        <v>677</v>
      </c>
      <c r="E22" s="1" t="s">
        <v>64</v>
      </c>
      <c r="F22" s="1">
        <v>690</v>
      </c>
      <c r="G22" s="1" t="s">
        <v>101</v>
      </c>
      <c r="H22" s="2">
        <v>42.332500000000003</v>
      </c>
      <c r="I22" s="2">
        <v>507.99</v>
      </c>
      <c r="J22" s="14">
        <f t="shared" si="1"/>
        <v>2539.9499999999998</v>
      </c>
      <c r="K22" s="15">
        <f t="shared" si="2"/>
        <v>5</v>
      </c>
      <c r="L22" s="1">
        <v>0.92</v>
      </c>
      <c r="M22" s="1">
        <f>IFERROR(VLOOKUP(A22:A113,'280726 ph.k.'!$A$2:$S$62,19,FALSE),"")</f>
        <v>0</v>
      </c>
      <c r="N22" s="1">
        <f t="shared" si="3"/>
        <v>0.92</v>
      </c>
      <c r="O22" s="1">
        <f>IFERROR(VLOOKUP(A22:A113,'280726 ph.k.'!$A$2:$N$62,14,FALSE),"")</f>
        <v>0</v>
      </c>
      <c r="P22" s="5">
        <v>2</v>
      </c>
      <c r="Q22" s="1">
        <v>0.75</v>
      </c>
      <c r="R22" s="1">
        <v>0</v>
      </c>
      <c r="S22" s="5">
        <v>2</v>
      </c>
      <c r="T22" s="1">
        <v>0.57999999999999996</v>
      </c>
      <c r="U22" s="1">
        <v>0</v>
      </c>
      <c r="V22" s="5">
        <v>1</v>
      </c>
      <c r="W22" s="1"/>
      <c r="X22" s="1">
        <v>0</v>
      </c>
      <c r="Y22" s="34">
        <f t="shared" si="4"/>
        <v>2.25</v>
      </c>
      <c r="Z22" s="20">
        <f t="shared" si="5"/>
        <v>1142.9775</v>
      </c>
      <c r="AA22" s="34">
        <f t="shared" si="6"/>
        <v>0</v>
      </c>
      <c r="AB22" s="2">
        <f t="shared" si="7"/>
        <v>0</v>
      </c>
      <c r="AC22" s="1">
        <v>0</v>
      </c>
      <c r="AD22" s="1">
        <v>0</v>
      </c>
      <c r="AE22" s="1">
        <v>10</v>
      </c>
      <c r="AF22" s="1">
        <v>2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7</v>
      </c>
      <c r="AZ22" s="1">
        <v>4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7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</row>
    <row r="23" spans="1:68" x14ac:dyDescent="0.2">
      <c r="A23" s="1">
        <v>48069</v>
      </c>
      <c r="B23" s="1" t="s">
        <v>110</v>
      </c>
      <c r="C23" s="1">
        <v>12</v>
      </c>
      <c r="D23" s="1">
        <v>677</v>
      </c>
      <c r="E23" s="1" t="s">
        <v>64</v>
      </c>
      <c r="F23" s="1">
        <v>690</v>
      </c>
      <c r="G23" s="1" t="s">
        <v>101</v>
      </c>
      <c r="H23" s="2">
        <v>42.332500000000003</v>
      </c>
      <c r="I23" s="2">
        <v>507.99</v>
      </c>
      <c r="J23" s="14">
        <f t="shared" si="1"/>
        <v>2539.9499999999998</v>
      </c>
      <c r="K23" s="15">
        <f t="shared" si="2"/>
        <v>5</v>
      </c>
      <c r="L23" s="1">
        <v>0</v>
      </c>
      <c r="M23" s="1">
        <f>IFERROR(VLOOKUP(A23:A114,'280726 ph.k.'!$A$2:$S$62,19,FALSE),"")</f>
        <v>0</v>
      </c>
      <c r="N23" s="1">
        <f t="shared" si="3"/>
        <v>0</v>
      </c>
      <c r="O23" s="1">
        <f>IFERROR(VLOOKUP(A23:A114,'280726 ph.k.'!$A$2:$N$62,14,FALSE),"")</f>
        <v>0</v>
      </c>
      <c r="P23" s="5">
        <v>2</v>
      </c>
      <c r="Q23" s="1">
        <v>1.1200000000000001</v>
      </c>
      <c r="R23" s="1">
        <v>0</v>
      </c>
      <c r="S23" s="5">
        <v>2</v>
      </c>
      <c r="T23" s="1">
        <v>0.67</v>
      </c>
      <c r="U23" s="1">
        <v>0</v>
      </c>
      <c r="V23" s="5">
        <v>1</v>
      </c>
      <c r="W23" s="1"/>
      <c r="X23" s="1">
        <v>0</v>
      </c>
      <c r="Y23" s="34">
        <f t="shared" si="4"/>
        <v>1.79</v>
      </c>
      <c r="Z23" s="20">
        <f t="shared" si="5"/>
        <v>909.3021</v>
      </c>
      <c r="AA23" s="34">
        <f t="shared" si="6"/>
        <v>0</v>
      </c>
      <c r="AB23" s="2">
        <f t="shared" si="7"/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5</v>
      </c>
      <c r="AZ23" s="1">
        <v>17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3</v>
      </c>
      <c r="BJ23" s="1">
        <v>10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</row>
    <row r="24" spans="1:68" x14ac:dyDescent="0.2">
      <c r="A24" s="1">
        <v>48029</v>
      </c>
      <c r="B24" s="1" t="s">
        <v>111</v>
      </c>
      <c r="C24" s="1">
        <v>12</v>
      </c>
      <c r="D24" s="1">
        <v>677</v>
      </c>
      <c r="E24" s="1" t="s">
        <v>64</v>
      </c>
      <c r="F24" s="1">
        <v>690</v>
      </c>
      <c r="G24" s="1" t="s">
        <v>101</v>
      </c>
      <c r="H24" s="2">
        <v>42.332500000000003</v>
      </c>
      <c r="I24" s="2">
        <v>507.99</v>
      </c>
      <c r="J24" s="14">
        <f t="shared" si="1"/>
        <v>2539.9499999999998</v>
      </c>
      <c r="K24" s="15">
        <f t="shared" si="2"/>
        <v>5</v>
      </c>
      <c r="L24" s="1">
        <v>0</v>
      </c>
      <c r="M24" s="1">
        <f>IFERROR(VLOOKUP(A24:A115,'280726 ph.k.'!$A$2:$S$62,19,FALSE),"")</f>
        <v>0</v>
      </c>
      <c r="N24" s="1">
        <f t="shared" si="3"/>
        <v>0</v>
      </c>
      <c r="O24" s="1">
        <f>IFERROR(VLOOKUP(A24:A115,'280726 ph.k.'!$A$2:$N$62,14,FALSE),"")</f>
        <v>0</v>
      </c>
      <c r="P24" s="5">
        <v>2</v>
      </c>
      <c r="Q24" s="1">
        <v>0.42</v>
      </c>
      <c r="R24" s="1">
        <v>0</v>
      </c>
      <c r="S24" s="5">
        <v>2</v>
      </c>
      <c r="T24" s="1">
        <v>0</v>
      </c>
      <c r="U24" s="1">
        <v>0</v>
      </c>
      <c r="V24" s="5">
        <v>1</v>
      </c>
      <c r="W24" s="1"/>
      <c r="X24" s="1">
        <v>0</v>
      </c>
      <c r="Y24" s="34">
        <f t="shared" si="4"/>
        <v>0.42</v>
      </c>
      <c r="Z24" s="20">
        <f t="shared" si="5"/>
        <v>213.35579999999999</v>
      </c>
      <c r="AA24" s="34">
        <f t="shared" si="6"/>
        <v>0</v>
      </c>
      <c r="AB24" s="2">
        <f t="shared" si="7"/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4</v>
      </c>
      <c r="AZ24" s="1">
        <v>2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</row>
    <row r="25" spans="1:68" x14ac:dyDescent="0.2">
      <c r="A25" s="1">
        <v>47014</v>
      </c>
      <c r="B25" s="1" t="s">
        <v>97</v>
      </c>
      <c r="C25" s="1">
        <v>24</v>
      </c>
      <c r="D25" s="1">
        <v>677</v>
      </c>
      <c r="E25" s="1" t="s">
        <v>64</v>
      </c>
      <c r="F25" s="1">
        <v>61</v>
      </c>
      <c r="G25" s="1" t="s">
        <v>66</v>
      </c>
      <c r="H25" s="2">
        <v>43.319099999999999</v>
      </c>
      <c r="I25" s="2">
        <v>1039.6584</v>
      </c>
      <c r="J25" s="14">
        <f t="shared" si="1"/>
        <v>5198.2920000000004</v>
      </c>
      <c r="K25" s="15">
        <f t="shared" si="2"/>
        <v>5</v>
      </c>
      <c r="L25" s="1">
        <v>1.92</v>
      </c>
      <c r="M25" s="1">
        <f>IFERROR(VLOOKUP(A25:A116,'280726 ph.k.'!$A$2:$S$62,19,FALSE),"")</f>
        <v>0</v>
      </c>
      <c r="N25" s="1">
        <f t="shared" si="3"/>
        <v>1.92</v>
      </c>
      <c r="O25" s="1">
        <f>IFERROR(VLOOKUP(A25:A116,'280726 ph.k.'!$A$2:$N$62,14,FALSE),"")</f>
        <v>0</v>
      </c>
      <c r="P25" s="5">
        <v>2</v>
      </c>
      <c r="Q25" s="1">
        <v>2.04</v>
      </c>
      <c r="R25" s="1">
        <v>0</v>
      </c>
      <c r="S25" s="5">
        <v>3</v>
      </c>
      <c r="T25" s="1">
        <v>0.83</v>
      </c>
      <c r="U25" s="1">
        <v>0.04</v>
      </c>
      <c r="V25" s="17">
        <f t="shared" ref="V25:V32" si="12">MAX(0,(TRUNC((T25*0.8)-U25)))</f>
        <v>0</v>
      </c>
      <c r="W25" s="1"/>
      <c r="X25" s="1">
        <v>0</v>
      </c>
      <c r="Y25" s="34">
        <f t="shared" si="4"/>
        <v>4.79</v>
      </c>
      <c r="Z25" s="20">
        <f t="shared" si="5"/>
        <v>4979.9637360000006</v>
      </c>
      <c r="AA25" s="34">
        <f t="shared" si="6"/>
        <v>0.04</v>
      </c>
      <c r="AB25" s="2">
        <f t="shared" si="7"/>
        <v>41.586336000000003</v>
      </c>
      <c r="AC25" s="1">
        <v>0</v>
      </c>
      <c r="AD25" s="1">
        <v>0</v>
      </c>
      <c r="AE25" s="1">
        <v>29</v>
      </c>
      <c r="AF25" s="1">
        <v>34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40</v>
      </c>
      <c r="AZ25" s="1">
        <v>18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5</v>
      </c>
      <c r="BI25" s="1">
        <v>14</v>
      </c>
      <c r="BJ25" s="1">
        <v>7</v>
      </c>
      <c r="BK25" s="1">
        <v>1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</row>
    <row r="26" spans="1:68" x14ac:dyDescent="0.2">
      <c r="A26" s="1">
        <v>48058</v>
      </c>
      <c r="B26" s="1" t="s">
        <v>116</v>
      </c>
      <c r="C26" s="1">
        <v>12</v>
      </c>
      <c r="D26" s="1">
        <v>677</v>
      </c>
      <c r="E26" s="1" t="s">
        <v>64</v>
      </c>
      <c r="F26" s="1">
        <v>690</v>
      </c>
      <c r="G26" s="1" t="s">
        <v>101</v>
      </c>
      <c r="H26" s="2">
        <v>42.332000000000001</v>
      </c>
      <c r="I26" s="2">
        <v>507.98399999999998</v>
      </c>
      <c r="J26" s="14">
        <f t="shared" si="1"/>
        <v>2031.9359999999999</v>
      </c>
      <c r="K26" s="15">
        <f t="shared" si="2"/>
        <v>4</v>
      </c>
      <c r="L26" s="1">
        <v>0</v>
      </c>
      <c r="M26" s="1">
        <f>IFERROR(VLOOKUP(A26:A117,'280726 ph.k.'!$A$2:$S$62,19,FALSE),"")</f>
        <v>1</v>
      </c>
      <c r="N26" s="1">
        <f t="shared" si="3"/>
        <v>1</v>
      </c>
      <c r="O26" s="1">
        <f>IFERROR(VLOOKUP(A26:A117,'280726 ph.k.'!$A$2:$N$62,14,FALSE),"")</f>
        <v>0</v>
      </c>
      <c r="P26" s="5">
        <v>2</v>
      </c>
      <c r="Q26" s="1">
        <v>0.96</v>
      </c>
      <c r="R26" s="1">
        <v>0.57999999999999996</v>
      </c>
      <c r="S26" s="5">
        <v>2</v>
      </c>
      <c r="T26" s="1">
        <v>1</v>
      </c>
      <c r="U26" s="1">
        <v>1.17</v>
      </c>
      <c r="V26" s="17">
        <f t="shared" si="12"/>
        <v>0</v>
      </c>
      <c r="W26" s="1"/>
      <c r="X26" s="1">
        <v>0</v>
      </c>
      <c r="Y26" s="34">
        <f t="shared" si="4"/>
        <v>2.96</v>
      </c>
      <c r="Z26" s="20">
        <f t="shared" si="5"/>
        <v>1503.63264</v>
      </c>
      <c r="AA26" s="34">
        <f t="shared" si="6"/>
        <v>1.75</v>
      </c>
      <c r="AB26" s="2">
        <f t="shared" si="7"/>
        <v>888.97199999999998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5</v>
      </c>
      <c r="AX26" s="1">
        <v>0</v>
      </c>
      <c r="AY26" s="1">
        <v>5</v>
      </c>
      <c r="AZ26" s="1">
        <v>3</v>
      </c>
      <c r="BA26" s="1">
        <v>7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10</v>
      </c>
      <c r="BH26" s="1">
        <v>0</v>
      </c>
      <c r="BI26" s="1">
        <v>2</v>
      </c>
      <c r="BJ26" s="1">
        <v>0</v>
      </c>
      <c r="BK26" s="1">
        <v>14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</row>
    <row r="27" spans="1:68" x14ac:dyDescent="0.2">
      <c r="A27" s="1">
        <v>48063</v>
      </c>
      <c r="B27" s="1" t="s">
        <v>118</v>
      </c>
      <c r="C27" s="1">
        <v>12</v>
      </c>
      <c r="D27" s="1">
        <v>677</v>
      </c>
      <c r="E27" s="1" t="s">
        <v>64</v>
      </c>
      <c r="F27" s="1">
        <v>690</v>
      </c>
      <c r="G27" s="1" t="s">
        <v>101</v>
      </c>
      <c r="H27" s="2">
        <v>42.332000000000001</v>
      </c>
      <c r="I27" s="2">
        <v>507.98399999999998</v>
      </c>
      <c r="J27" s="14">
        <f t="shared" si="1"/>
        <v>1523.952</v>
      </c>
      <c r="K27" s="15">
        <f t="shared" si="2"/>
        <v>3</v>
      </c>
      <c r="L27" s="1">
        <v>1.58</v>
      </c>
      <c r="M27" s="1">
        <f>IFERROR(VLOOKUP(A27:A118,'280726 ph.k.'!$A$2:$S$62,19,FALSE),"")</f>
        <v>0.4</v>
      </c>
      <c r="N27" s="1">
        <f t="shared" si="3"/>
        <v>1.98</v>
      </c>
      <c r="O27" s="1">
        <f>IFERROR(VLOOKUP(A27:A118,'280726 ph.k.'!$A$2:$N$62,14,FALSE),"")</f>
        <v>0.46</v>
      </c>
      <c r="P27" s="17">
        <f t="shared" ref="P27:P37" si="13">MAX(0,(TRUNC((N27*0.8)-O27)))</f>
        <v>1</v>
      </c>
      <c r="Q27" s="1">
        <v>0.96</v>
      </c>
      <c r="R27" s="1">
        <v>0.5</v>
      </c>
      <c r="S27" s="5">
        <v>0</v>
      </c>
      <c r="T27" s="1">
        <v>3.92</v>
      </c>
      <c r="U27" s="1">
        <v>1</v>
      </c>
      <c r="V27" s="17">
        <f t="shared" si="12"/>
        <v>2</v>
      </c>
      <c r="W27" s="1"/>
      <c r="X27" s="1">
        <v>0</v>
      </c>
      <c r="Y27" s="34">
        <f t="shared" si="4"/>
        <v>6.8599999999999994</v>
      </c>
      <c r="Z27" s="20">
        <f t="shared" si="5"/>
        <v>3484.7702399999994</v>
      </c>
      <c r="AA27" s="34">
        <f t="shared" si="6"/>
        <v>1.96</v>
      </c>
      <c r="AB27" s="2">
        <f t="shared" si="7"/>
        <v>995.64864</v>
      </c>
      <c r="AC27" s="1">
        <v>0</v>
      </c>
      <c r="AD27" s="1">
        <v>0</v>
      </c>
      <c r="AE27" s="1">
        <v>10</v>
      </c>
      <c r="AF27" s="1">
        <v>18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6</v>
      </c>
      <c r="AX27" s="1">
        <v>0</v>
      </c>
      <c r="AY27" s="1">
        <v>3</v>
      </c>
      <c r="AZ27" s="1">
        <v>5</v>
      </c>
      <c r="BA27" s="1">
        <v>6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36</v>
      </c>
      <c r="BH27" s="1">
        <v>0</v>
      </c>
      <c r="BI27" s="1">
        <v>9</v>
      </c>
      <c r="BJ27" s="1">
        <v>4</v>
      </c>
      <c r="BK27" s="1">
        <v>12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</row>
    <row r="28" spans="1:68" x14ac:dyDescent="0.2">
      <c r="A28" s="1">
        <v>48082</v>
      </c>
      <c r="B28" s="1" t="s">
        <v>114</v>
      </c>
      <c r="C28" s="1">
        <v>12</v>
      </c>
      <c r="D28" s="1">
        <v>677</v>
      </c>
      <c r="E28" s="1" t="s">
        <v>64</v>
      </c>
      <c r="F28" s="1">
        <v>690</v>
      </c>
      <c r="G28" s="1" t="s">
        <v>101</v>
      </c>
      <c r="H28" s="2">
        <v>42.332500000000003</v>
      </c>
      <c r="I28" s="2">
        <v>507.99</v>
      </c>
      <c r="J28" s="14">
        <f t="shared" si="1"/>
        <v>1523.97</v>
      </c>
      <c r="K28" s="15">
        <f t="shared" si="2"/>
        <v>3</v>
      </c>
      <c r="L28" s="1">
        <v>0.75</v>
      </c>
      <c r="M28" s="1">
        <f>IFERROR(VLOOKUP(A28:A119,'280726 ph.k.'!$A$2:$S$62,19,FALSE),"")</f>
        <v>0.1</v>
      </c>
      <c r="N28" s="1">
        <f t="shared" si="3"/>
        <v>0.85</v>
      </c>
      <c r="O28" s="1">
        <f>IFERROR(VLOOKUP(A28:A119,'280726 ph.k.'!$A$2:$N$62,14,FALSE),"")</f>
        <v>0</v>
      </c>
      <c r="P28" s="17">
        <f t="shared" si="13"/>
        <v>0</v>
      </c>
      <c r="Q28" s="1">
        <v>0.71</v>
      </c>
      <c r="R28" s="1">
        <v>0</v>
      </c>
      <c r="S28" s="5">
        <v>2</v>
      </c>
      <c r="T28" s="1">
        <v>1.42</v>
      </c>
      <c r="U28" s="1">
        <v>0</v>
      </c>
      <c r="V28" s="17">
        <f t="shared" si="12"/>
        <v>1</v>
      </c>
      <c r="W28" s="1"/>
      <c r="X28" s="1">
        <v>0</v>
      </c>
      <c r="Y28" s="34">
        <f t="shared" si="4"/>
        <v>2.98</v>
      </c>
      <c r="Z28" s="20">
        <f t="shared" si="5"/>
        <v>1513.8102000000001</v>
      </c>
      <c r="AA28" s="34">
        <f t="shared" si="6"/>
        <v>0</v>
      </c>
      <c r="AB28" s="2">
        <f t="shared" si="7"/>
        <v>0</v>
      </c>
      <c r="AC28" s="1">
        <v>0</v>
      </c>
      <c r="AD28" s="1">
        <v>0</v>
      </c>
      <c r="AE28" s="1">
        <v>9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7</v>
      </c>
      <c r="AZ28" s="1">
        <v>3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11</v>
      </c>
      <c r="BJ28" s="1">
        <v>12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</row>
    <row r="29" spans="1:68" x14ac:dyDescent="0.2">
      <c r="A29" s="1">
        <v>48044</v>
      </c>
      <c r="B29" s="1" t="s">
        <v>121</v>
      </c>
      <c r="C29" s="1">
        <v>12</v>
      </c>
      <c r="D29" s="1">
        <v>677</v>
      </c>
      <c r="E29" s="1" t="s">
        <v>64</v>
      </c>
      <c r="F29" s="1">
        <v>690</v>
      </c>
      <c r="G29" s="1" t="s">
        <v>101</v>
      </c>
      <c r="H29" s="2">
        <v>42.332500000000003</v>
      </c>
      <c r="I29" s="2">
        <v>507.99</v>
      </c>
      <c r="J29" s="14">
        <f t="shared" si="1"/>
        <v>1015.98</v>
      </c>
      <c r="K29" s="15">
        <f t="shared" si="2"/>
        <v>2</v>
      </c>
      <c r="L29" s="1">
        <v>1.33</v>
      </c>
      <c r="M29" s="1">
        <f>IFERROR(VLOOKUP(A29:A120,'280726 ph.k.'!$A$2:$S$62,19,FALSE),"")</f>
        <v>0</v>
      </c>
      <c r="N29" s="1">
        <f t="shared" si="3"/>
        <v>1.33</v>
      </c>
      <c r="O29" s="1">
        <f>IFERROR(VLOOKUP(A29:A120,'280726 ph.k.'!$A$2:$N$62,14,FALSE),"")</f>
        <v>0</v>
      </c>
      <c r="P29" s="17">
        <f t="shared" si="13"/>
        <v>1</v>
      </c>
      <c r="Q29" s="1">
        <v>0.83</v>
      </c>
      <c r="R29" s="1">
        <v>0</v>
      </c>
      <c r="S29" s="5">
        <v>0</v>
      </c>
      <c r="T29" s="1">
        <v>1.29</v>
      </c>
      <c r="U29" s="1">
        <v>0</v>
      </c>
      <c r="V29" s="17">
        <f t="shared" si="12"/>
        <v>1</v>
      </c>
      <c r="W29" s="1"/>
      <c r="X29" s="1">
        <v>0</v>
      </c>
      <c r="Y29" s="34">
        <f t="shared" si="4"/>
        <v>3.45</v>
      </c>
      <c r="Z29" s="20">
        <f t="shared" si="5"/>
        <v>1752.5655000000002</v>
      </c>
      <c r="AA29" s="34">
        <f t="shared" si="6"/>
        <v>0</v>
      </c>
      <c r="AB29" s="2">
        <f t="shared" si="7"/>
        <v>0</v>
      </c>
      <c r="AC29" s="1">
        <v>0</v>
      </c>
      <c r="AD29" s="1">
        <v>0</v>
      </c>
      <c r="AE29" s="1">
        <v>15</v>
      </c>
      <c r="AF29" s="1">
        <v>2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8</v>
      </c>
      <c r="AZ29" s="1">
        <v>4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9</v>
      </c>
      <c r="BJ29" s="1">
        <v>13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</row>
    <row r="30" spans="1:68" x14ac:dyDescent="0.2">
      <c r="A30" s="1">
        <v>48068</v>
      </c>
      <c r="B30" s="1" t="s">
        <v>109</v>
      </c>
      <c r="C30" s="1">
        <v>12</v>
      </c>
      <c r="D30" s="1">
        <v>677</v>
      </c>
      <c r="E30" s="1" t="s">
        <v>64</v>
      </c>
      <c r="F30" s="1">
        <v>690</v>
      </c>
      <c r="G30" s="1" t="s">
        <v>101</v>
      </c>
      <c r="H30" s="2">
        <v>42.332000000000001</v>
      </c>
      <c r="I30" s="2">
        <v>507.98399999999998</v>
      </c>
      <c r="J30" s="14">
        <f t="shared" si="1"/>
        <v>507.98399999999998</v>
      </c>
      <c r="K30" s="15">
        <f t="shared" si="2"/>
        <v>1</v>
      </c>
      <c r="L30" s="1">
        <v>1.42</v>
      </c>
      <c r="M30" s="1">
        <f>IFERROR(VLOOKUP(A30:A121,'280726 ph.k.'!$A$2:$S$62,19,FALSE),"")</f>
        <v>0.4</v>
      </c>
      <c r="N30" s="1">
        <f t="shared" si="3"/>
        <v>1.8199999999999998</v>
      </c>
      <c r="O30" s="1">
        <f>IFERROR(VLOOKUP(A30:A121,'280726 ph.k.'!$A$2:$N$62,14,FALSE),"")</f>
        <v>0.33</v>
      </c>
      <c r="P30" s="17">
        <f t="shared" si="13"/>
        <v>1</v>
      </c>
      <c r="Q30" s="1">
        <v>0.88</v>
      </c>
      <c r="R30" s="1">
        <v>0.75</v>
      </c>
      <c r="S30" s="5">
        <v>0</v>
      </c>
      <c r="T30" s="1">
        <v>2.62</v>
      </c>
      <c r="U30" s="1">
        <v>2</v>
      </c>
      <c r="V30" s="17">
        <f t="shared" si="12"/>
        <v>0</v>
      </c>
      <c r="W30" s="1"/>
      <c r="X30" s="1">
        <v>0</v>
      </c>
      <c r="Y30" s="34">
        <f t="shared" si="4"/>
        <v>5.32</v>
      </c>
      <c r="Z30" s="20">
        <f t="shared" si="5"/>
        <v>2702.4748800000002</v>
      </c>
      <c r="AA30" s="34">
        <f t="shared" si="6"/>
        <v>3.08</v>
      </c>
      <c r="AB30" s="2">
        <f t="shared" si="7"/>
        <v>1564.5907199999999</v>
      </c>
      <c r="AC30" s="1">
        <v>0</v>
      </c>
      <c r="AD30" s="1">
        <v>0</v>
      </c>
      <c r="AE30" s="1">
        <v>17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3</v>
      </c>
      <c r="AX30" s="1">
        <v>0</v>
      </c>
      <c r="AY30" s="1">
        <v>4</v>
      </c>
      <c r="AZ30" s="1">
        <v>7</v>
      </c>
      <c r="BA30" s="1">
        <v>9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12</v>
      </c>
      <c r="BH30" s="1">
        <v>0</v>
      </c>
      <c r="BI30" s="1">
        <v>12</v>
      </c>
      <c r="BJ30" s="1">
        <v>15</v>
      </c>
      <c r="BK30" s="1">
        <v>24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</row>
    <row r="31" spans="1:68" x14ac:dyDescent="0.2">
      <c r="A31" s="1">
        <v>48055</v>
      </c>
      <c r="B31" s="1" t="s">
        <v>119</v>
      </c>
      <c r="C31" s="1">
        <v>12</v>
      </c>
      <c r="D31" s="1">
        <v>677</v>
      </c>
      <c r="E31" s="1" t="s">
        <v>64</v>
      </c>
      <c r="F31" s="1">
        <v>690</v>
      </c>
      <c r="G31" s="1" t="s">
        <v>101</v>
      </c>
      <c r="H31" s="2">
        <v>42.332500000000003</v>
      </c>
      <c r="I31" s="2">
        <v>507.99</v>
      </c>
      <c r="J31" s="14">
        <f t="shared" si="1"/>
        <v>507.99</v>
      </c>
      <c r="K31" s="15">
        <f t="shared" si="2"/>
        <v>1</v>
      </c>
      <c r="L31" s="1">
        <v>1.62</v>
      </c>
      <c r="M31" s="1">
        <f>IFERROR(VLOOKUP(A31:A122,'280726 ph.k.'!$A$2:$S$62,19,FALSE),"")</f>
        <v>0</v>
      </c>
      <c r="N31" s="1">
        <f t="shared" si="3"/>
        <v>1.62</v>
      </c>
      <c r="O31" s="1">
        <f>IFERROR(VLOOKUP(A31:A122,'280726 ph.k.'!$A$2:$N$62,14,FALSE),"")</f>
        <v>0</v>
      </c>
      <c r="P31" s="17">
        <f t="shared" si="13"/>
        <v>1</v>
      </c>
      <c r="Q31" s="1">
        <v>1.04</v>
      </c>
      <c r="R31" s="1">
        <v>0</v>
      </c>
      <c r="S31" s="5">
        <v>0</v>
      </c>
      <c r="T31" s="1">
        <v>2.12</v>
      </c>
      <c r="U31" s="1">
        <v>2.92</v>
      </c>
      <c r="V31" s="17">
        <f t="shared" si="12"/>
        <v>0</v>
      </c>
      <c r="W31" s="1"/>
      <c r="X31" s="1">
        <v>0</v>
      </c>
      <c r="Y31" s="34">
        <f t="shared" si="4"/>
        <v>4.78</v>
      </c>
      <c r="Z31" s="20">
        <f t="shared" si="5"/>
        <v>2428.1922</v>
      </c>
      <c r="AA31" s="34">
        <f t="shared" si="6"/>
        <v>2.92</v>
      </c>
      <c r="AB31" s="2">
        <f t="shared" si="7"/>
        <v>1483.3308</v>
      </c>
      <c r="AC31" s="1">
        <v>0</v>
      </c>
      <c r="AD31" s="1">
        <v>0</v>
      </c>
      <c r="AE31" s="1">
        <v>11</v>
      </c>
      <c r="AF31" s="1">
        <v>17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11</v>
      </c>
      <c r="AZ31" s="1">
        <v>3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8</v>
      </c>
      <c r="BH31" s="1">
        <v>7</v>
      </c>
      <c r="BI31" s="1">
        <v>8</v>
      </c>
      <c r="BJ31" s="1">
        <v>12</v>
      </c>
      <c r="BK31" s="1">
        <v>35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</row>
    <row r="32" spans="1:68" x14ac:dyDescent="0.2">
      <c r="A32" s="1">
        <v>47001</v>
      </c>
      <c r="B32" s="1" t="s">
        <v>65</v>
      </c>
      <c r="C32" s="1">
        <v>16</v>
      </c>
      <c r="D32" s="1">
        <v>677</v>
      </c>
      <c r="E32" s="1" t="s">
        <v>64</v>
      </c>
      <c r="F32" s="1">
        <v>61</v>
      </c>
      <c r="G32" s="1" t="s">
        <v>66</v>
      </c>
      <c r="H32" s="2">
        <v>56.590200000000003</v>
      </c>
      <c r="I32" s="2">
        <v>905.44320000000005</v>
      </c>
      <c r="J32" s="14">
        <f t="shared" si="1"/>
        <v>0</v>
      </c>
      <c r="K32" s="15">
        <f t="shared" si="2"/>
        <v>0</v>
      </c>
      <c r="L32" s="1">
        <v>21.69</v>
      </c>
      <c r="M32" s="1">
        <f>IFERROR(VLOOKUP(A32:A123,'280726 ph.k.'!$A$2:$S$62,19,FALSE),"")</f>
        <v>3.2</v>
      </c>
      <c r="N32" s="1">
        <f t="shared" si="3"/>
        <v>24.89</v>
      </c>
      <c r="O32" s="1">
        <f>IFERROR(VLOOKUP(A32:A123,'280726 ph.k.'!$A$2:$N$62,14,FALSE),"")</f>
        <v>33.06</v>
      </c>
      <c r="P32" s="17">
        <f t="shared" si="13"/>
        <v>0</v>
      </c>
      <c r="Q32" s="1">
        <v>56.03</v>
      </c>
      <c r="R32" s="1">
        <v>51.75</v>
      </c>
      <c r="S32" s="5">
        <v>0</v>
      </c>
      <c r="T32" s="1">
        <v>61.91</v>
      </c>
      <c r="U32" s="1">
        <v>53.19</v>
      </c>
      <c r="V32" s="17">
        <f t="shared" si="12"/>
        <v>0</v>
      </c>
      <c r="W32" s="1"/>
      <c r="X32" s="1">
        <v>0</v>
      </c>
      <c r="Y32" s="34">
        <f t="shared" si="4"/>
        <v>142.82999999999998</v>
      </c>
      <c r="Z32" s="18">
        <f t="shared" si="5"/>
        <v>129324.45225599999</v>
      </c>
      <c r="AA32" s="34">
        <f t="shared" si="6"/>
        <v>138</v>
      </c>
      <c r="AB32" s="2">
        <f t="shared" si="7"/>
        <v>124951.16160000001</v>
      </c>
      <c r="AC32" s="1">
        <v>0</v>
      </c>
      <c r="AD32" s="1">
        <v>0</v>
      </c>
      <c r="AE32" s="1">
        <v>215</v>
      </c>
      <c r="AF32" s="1">
        <v>264</v>
      </c>
      <c r="AG32" s="1">
        <v>271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186</v>
      </c>
      <c r="AX32" s="1">
        <v>328</v>
      </c>
      <c r="AY32" s="1">
        <v>366</v>
      </c>
      <c r="AZ32" s="1">
        <v>361</v>
      </c>
      <c r="BA32" s="1">
        <v>828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160</v>
      </c>
      <c r="BH32" s="1">
        <v>381</v>
      </c>
      <c r="BI32" s="1">
        <v>524</v>
      </c>
      <c r="BJ32" s="1">
        <v>232</v>
      </c>
      <c r="BK32" s="1">
        <v>851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</row>
    <row r="33" spans="1:68" x14ac:dyDescent="0.2">
      <c r="A33" s="1">
        <v>47010</v>
      </c>
      <c r="B33" s="1" t="s">
        <v>71</v>
      </c>
      <c r="C33" s="1">
        <v>24</v>
      </c>
      <c r="D33" s="1">
        <v>677</v>
      </c>
      <c r="E33" s="1" t="s">
        <v>64</v>
      </c>
      <c r="F33" s="1">
        <v>61</v>
      </c>
      <c r="G33" s="1" t="s">
        <v>66</v>
      </c>
      <c r="H33" s="2">
        <v>48.56</v>
      </c>
      <c r="I33" s="2">
        <v>1165.44</v>
      </c>
      <c r="J33" s="14">
        <f t="shared" si="1"/>
        <v>0</v>
      </c>
      <c r="K33" s="15">
        <f t="shared" si="2"/>
        <v>0</v>
      </c>
      <c r="L33" s="1">
        <v>11.08</v>
      </c>
      <c r="M33" s="1">
        <f>IFERROR(VLOOKUP(A33:A124,'280726 ph.k.'!$A$2:$S$62,19,FALSE),"")</f>
        <v>1.2</v>
      </c>
      <c r="N33" s="1">
        <f t="shared" si="3"/>
        <v>12.28</v>
      </c>
      <c r="O33" s="1">
        <f>IFERROR(VLOOKUP(A33:A124,'280726 ph.k.'!$A$2:$N$62,14,FALSE),"")</f>
        <v>23.54</v>
      </c>
      <c r="P33" s="17">
        <f t="shared" si="13"/>
        <v>0</v>
      </c>
      <c r="Q33" s="1">
        <v>23.38</v>
      </c>
      <c r="R33" s="1">
        <v>25.33</v>
      </c>
      <c r="S33" s="5">
        <v>0</v>
      </c>
      <c r="T33" s="1">
        <v>27.21</v>
      </c>
      <c r="U33" s="1">
        <v>18.21</v>
      </c>
      <c r="V33" s="5">
        <v>0</v>
      </c>
      <c r="W33" s="1" t="s">
        <v>225</v>
      </c>
      <c r="X33" s="1">
        <v>0</v>
      </c>
      <c r="Y33" s="34">
        <f t="shared" si="4"/>
        <v>62.87</v>
      </c>
      <c r="Z33" s="18">
        <f t="shared" si="5"/>
        <v>73271.212799999994</v>
      </c>
      <c r="AA33" s="34">
        <f t="shared" si="6"/>
        <v>67.08</v>
      </c>
      <c r="AB33" s="2">
        <f t="shared" si="7"/>
        <v>78177.715200000006</v>
      </c>
      <c r="AC33" s="1">
        <v>0</v>
      </c>
      <c r="AD33" s="1">
        <v>0</v>
      </c>
      <c r="AE33" s="1">
        <v>200</v>
      </c>
      <c r="AF33" s="1">
        <v>132</v>
      </c>
      <c r="AG33" s="1">
        <v>88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94</v>
      </c>
      <c r="AX33" s="1">
        <v>281</v>
      </c>
      <c r="AY33" s="1">
        <v>168</v>
      </c>
      <c r="AZ33" s="1">
        <v>317</v>
      </c>
      <c r="BA33" s="1">
        <v>608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152</v>
      </c>
      <c r="BH33" s="1">
        <v>202</v>
      </c>
      <c r="BI33" s="1">
        <v>320</v>
      </c>
      <c r="BJ33" s="1">
        <v>160</v>
      </c>
      <c r="BK33" s="1">
        <v>437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</row>
    <row r="34" spans="1:68" x14ac:dyDescent="0.2">
      <c r="A34" s="1">
        <v>47012</v>
      </c>
      <c r="B34" s="1" t="s">
        <v>74</v>
      </c>
      <c r="C34" s="1">
        <v>18</v>
      </c>
      <c r="D34" s="1">
        <v>677</v>
      </c>
      <c r="E34" s="1" t="s">
        <v>64</v>
      </c>
      <c r="F34" s="1">
        <v>61</v>
      </c>
      <c r="G34" s="1" t="s">
        <v>66</v>
      </c>
      <c r="H34" s="2">
        <v>58.837899999999998</v>
      </c>
      <c r="I34" s="2">
        <v>1059.0822000000001</v>
      </c>
      <c r="J34" s="14">
        <f t="shared" si="1"/>
        <v>0</v>
      </c>
      <c r="K34" s="15">
        <f t="shared" si="2"/>
        <v>0</v>
      </c>
      <c r="L34" s="1">
        <v>6.28</v>
      </c>
      <c r="M34" s="1">
        <f>IFERROR(VLOOKUP(A34:A125,'280726 ph.k.'!$A$2:$S$62,19,FALSE),"")</f>
        <v>2</v>
      </c>
      <c r="N34" s="1">
        <f t="shared" si="3"/>
        <v>8.2800000000000011</v>
      </c>
      <c r="O34" s="1">
        <f>IFERROR(VLOOKUP(A34:A125,'280726 ph.k.'!$A$2:$N$62,14,FALSE),"")</f>
        <v>14.72</v>
      </c>
      <c r="P34" s="17">
        <f t="shared" si="13"/>
        <v>0</v>
      </c>
      <c r="Q34" s="1">
        <v>29.83</v>
      </c>
      <c r="R34" s="1">
        <v>25.94</v>
      </c>
      <c r="S34" s="5">
        <v>0</v>
      </c>
      <c r="T34" s="1">
        <v>23.72</v>
      </c>
      <c r="U34" s="1">
        <v>23.67</v>
      </c>
      <c r="V34" s="17">
        <f>MAX(0,(TRUNC((T34*0.8)-U34)))</f>
        <v>0</v>
      </c>
      <c r="W34" s="1"/>
      <c r="X34" s="1">
        <v>0</v>
      </c>
      <c r="Y34" s="34">
        <f t="shared" si="4"/>
        <v>61.83</v>
      </c>
      <c r="Z34" s="18">
        <f t="shared" si="5"/>
        <v>65483.052426000002</v>
      </c>
      <c r="AA34" s="34">
        <f t="shared" si="6"/>
        <v>64.330000000000013</v>
      </c>
      <c r="AB34" s="2">
        <f t="shared" si="7"/>
        <v>68130.75792600002</v>
      </c>
      <c r="AC34" s="1">
        <v>0</v>
      </c>
      <c r="AD34" s="1">
        <v>0</v>
      </c>
      <c r="AE34" s="1">
        <v>66</v>
      </c>
      <c r="AF34" s="1">
        <v>94</v>
      </c>
      <c r="AG34" s="1">
        <v>140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171</v>
      </c>
      <c r="AX34" s="1">
        <v>186</v>
      </c>
      <c r="AY34" s="1">
        <v>215</v>
      </c>
      <c r="AZ34" s="1">
        <v>116</v>
      </c>
      <c r="BA34" s="1">
        <v>467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70</v>
      </c>
      <c r="BH34" s="1">
        <v>124</v>
      </c>
      <c r="BI34" s="1">
        <v>212</v>
      </c>
      <c r="BJ34" s="1">
        <v>166</v>
      </c>
      <c r="BK34" s="1">
        <v>426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</row>
    <row r="35" spans="1:68" x14ac:dyDescent="0.2">
      <c r="A35" s="79">
        <v>10703</v>
      </c>
      <c r="B35" s="79" t="s">
        <v>82</v>
      </c>
      <c r="C35" s="79">
        <v>12</v>
      </c>
      <c r="D35" s="79">
        <v>677</v>
      </c>
      <c r="E35" s="79" t="s">
        <v>64</v>
      </c>
      <c r="F35" s="79">
        <v>542</v>
      </c>
      <c r="G35" s="79" t="s">
        <v>84</v>
      </c>
      <c r="H35" s="20">
        <v>133.74</v>
      </c>
      <c r="I35" s="20">
        <v>1604.88</v>
      </c>
      <c r="J35" s="80">
        <f t="shared" si="1"/>
        <v>0</v>
      </c>
      <c r="K35" s="81">
        <f t="shared" si="2"/>
        <v>0</v>
      </c>
      <c r="L35" s="79">
        <v>3.25</v>
      </c>
      <c r="M35" s="79">
        <f>IFERROR(VLOOKUP(A35:A126,'280726 ph.k.'!$A$2:$S$62,19,FALSE),"")</f>
        <v>0</v>
      </c>
      <c r="N35" s="79">
        <f t="shared" si="3"/>
        <v>3.25</v>
      </c>
      <c r="O35" s="79">
        <f>IFERROR(VLOOKUP(A35:A126,'280726 ph.k.'!$A$2:$N$62,14,FALSE),"")</f>
        <v>3</v>
      </c>
      <c r="P35" s="81">
        <f t="shared" si="13"/>
        <v>0</v>
      </c>
      <c r="Q35" s="79">
        <v>8.08</v>
      </c>
      <c r="R35" s="79">
        <v>1</v>
      </c>
      <c r="S35" s="79">
        <v>0</v>
      </c>
      <c r="T35" s="79">
        <v>8.5</v>
      </c>
      <c r="U35" s="79">
        <v>0</v>
      </c>
      <c r="V35" s="79">
        <v>0</v>
      </c>
      <c r="W35" s="79"/>
      <c r="X35" s="79">
        <v>0</v>
      </c>
      <c r="Y35" s="82">
        <f t="shared" si="4"/>
        <v>19.829999999999998</v>
      </c>
      <c r="Z35" s="20">
        <f t="shared" si="5"/>
        <v>31824.770400000001</v>
      </c>
      <c r="AA35" s="82">
        <f t="shared" si="6"/>
        <v>4</v>
      </c>
      <c r="AB35" s="20">
        <f t="shared" si="7"/>
        <v>6419.52</v>
      </c>
      <c r="AC35" s="79">
        <v>0</v>
      </c>
      <c r="AD35" s="79">
        <v>0</v>
      </c>
      <c r="AE35" s="79">
        <v>29</v>
      </c>
      <c r="AF35" s="79">
        <v>20</v>
      </c>
      <c r="AG35" s="79">
        <v>-4</v>
      </c>
      <c r="AH35" s="79">
        <v>0</v>
      </c>
      <c r="AI35" s="79">
        <v>0</v>
      </c>
      <c r="AJ35" s="79">
        <v>0</v>
      </c>
      <c r="AK35" s="79">
        <v>0</v>
      </c>
      <c r="AL35" s="79">
        <v>0</v>
      </c>
      <c r="AM35" s="79">
        <v>0</v>
      </c>
      <c r="AN35" s="79">
        <v>0</v>
      </c>
      <c r="AO35" s="79">
        <v>0</v>
      </c>
      <c r="AP35" s="79">
        <v>0</v>
      </c>
      <c r="AQ35" s="79">
        <v>0</v>
      </c>
      <c r="AR35" s="79">
        <v>0</v>
      </c>
      <c r="AS35" s="79">
        <v>0</v>
      </c>
      <c r="AT35" s="79">
        <v>0</v>
      </c>
      <c r="AU35" s="79">
        <v>0</v>
      </c>
      <c r="AV35" s="79">
        <v>0</v>
      </c>
      <c r="AW35" s="79">
        <v>12</v>
      </c>
      <c r="AX35" s="79">
        <v>37</v>
      </c>
      <c r="AY35" s="79">
        <v>50</v>
      </c>
      <c r="AZ35" s="79">
        <v>33</v>
      </c>
      <c r="BA35" s="79">
        <v>12</v>
      </c>
      <c r="BB35" s="79">
        <v>0</v>
      </c>
      <c r="BC35" s="79">
        <v>0</v>
      </c>
      <c r="BD35" s="79">
        <v>0</v>
      </c>
      <c r="BE35" s="79">
        <v>0</v>
      </c>
      <c r="BF35" s="79">
        <v>0</v>
      </c>
      <c r="BG35" s="79">
        <v>0</v>
      </c>
      <c r="BH35" s="79">
        <v>0</v>
      </c>
      <c r="BI35" s="79">
        <v>77</v>
      </c>
      <c r="BJ35" s="79">
        <v>50</v>
      </c>
      <c r="BK35" s="79">
        <v>0</v>
      </c>
      <c r="BL35" s="79">
        <v>0</v>
      </c>
      <c r="BM35" s="79">
        <v>0</v>
      </c>
      <c r="BN35" s="79">
        <v>0</v>
      </c>
      <c r="BO35" s="79">
        <v>0</v>
      </c>
      <c r="BP35" s="79">
        <v>0</v>
      </c>
    </row>
    <row r="36" spans="1:68" x14ac:dyDescent="0.2">
      <c r="A36" s="1">
        <v>47052</v>
      </c>
      <c r="B36" s="1" t="s">
        <v>82</v>
      </c>
      <c r="C36" s="1">
        <v>10</v>
      </c>
      <c r="D36" s="1">
        <v>677</v>
      </c>
      <c r="E36" s="1" t="s">
        <v>64</v>
      </c>
      <c r="F36" s="1">
        <v>525</v>
      </c>
      <c r="G36" s="1" t="s">
        <v>84</v>
      </c>
      <c r="H36" s="2">
        <v>133.74299999999999</v>
      </c>
      <c r="I36" s="2">
        <v>1337.43</v>
      </c>
      <c r="J36" s="14" t="e">
        <f t="shared" si="1"/>
        <v>#VALUE!</v>
      </c>
      <c r="K36" s="15" t="e">
        <f t="shared" si="2"/>
        <v>#VALUE!</v>
      </c>
      <c r="L36" s="1">
        <v>0</v>
      </c>
      <c r="M36" s="1" t="str">
        <f>IFERROR(VLOOKUP(A36:A127,'280726 ph.k.'!$A$2:$S$62,19,FALSE),"")</f>
        <v/>
      </c>
      <c r="N36" s="1" t="e">
        <f t="shared" si="3"/>
        <v>#VALUE!</v>
      </c>
      <c r="O36" s="1" t="str">
        <f>IFERROR(VLOOKUP(A36:A127,'280726 ph.k.'!$A$2:$N$62,14,FALSE),"")</f>
        <v/>
      </c>
      <c r="P36" s="17" t="e">
        <f t="shared" si="13"/>
        <v>#VALUE!</v>
      </c>
      <c r="Q36" s="1">
        <v>0.9</v>
      </c>
      <c r="R36" s="1">
        <v>7.1</v>
      </c>
      <c r="S36" s="5">
        <v>0</v>
      </c>
      <c r="T36" s="1">
        <v>5.9</v>
      </c>
      <c r="U36" s="1">
        <v>11.9</v>
      </c>
      <c r="V36" s="17">
        <f t="shared" ref="V36:V38" si="14">MAX(0,(TRUNC((T36*0.8)-U36)))</f>
        <v>0</v>
      </c>
      <c r="W36" s="1"/>
      <c r="X36" s="1">
        <v>0</v>
      </c>
      <c r="Y36" s="34" t="e">
        <f t="shared" si="4"/>
        <v>#VALUE!</v>
      </c>
      <c r="Z36" s="22" t="e">
        <f t="shared" si="5"/>
        <v>#VALUE!</v>
      </c>
      <c r="AA36" s="34" t="e">
        <f t="shared" si="6"/>
        <v>#VALUE!</v>
      </c>
      <c r="AB36" s="2" t="e">
        <f t="shared" si="7"/>
        <v>#VALUE!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9</v>
      </c>
      <c r="AX36" s="1">
        <v>0</v>
      </c>
      <c r="AY36" s="1">
        <v>0</v>
      </c>
      <c r="AZ36" s="1">
        <v>0</v>
      </c>
      <c r="BA36" s="1">
        <v>71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37</v>
      </c>
      <c r="BH36" s="1">
        <v>44</v>
      </c>
      <c r="BI36" s="1">
        <v>0</v>
      </c>
      <c r="BJ36" s="1">
        <v>0</v>
      </c>
      <c r="BK36" s="1">
        <v>119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</row>
    <row r="37" spans="1:68" x14ac:dyDescent="0.2">
      <c r="A37" s="1">
        <v>47027</v>
      </c>
      <c r="B37" s="1" t="s">
        <v>95</v>
      </c>
      <c r="C37" s="1">
        <v>16</v>
      </c>
      <c r="D37" s="1">
        <v>677</v>
      </c>
      <c r="E37" s="1" t="s">
        <v>64</v>
      </c>
      <c r="F37" s="1">
        <v>999</v>
      </c>
      <c r="G37" s="1" t="s">
        <v>67</v>
      </c>
      <c r="H37" s="2">
        <v>56.59</v>
      </c>
      <c r="I37" s="2">
        <v>905.44</v>
      </c>
      <c r="J37" s="14">
        <f t="shared" si="1"/>
        <v>0</v>
      </c>
      <c r="K37" s="15">
        <f t="shared" si="2"/>
        <v>0</v>
      </c>
      <c r="L37" s="1">
        <v>0</v>
      </c>
      <c r="M37" s="1">
        <f>IFERROR(VLOOKUP(A37:A128,'280726 ph.k.'!$A$2:$S$62,19,FALSE),"")</f>
        <v>0.2</v>
      </c>
      <c r="N37" s="1">
        <f t="shared" si="3"/>
        <v>0.2</v>
      </c>
      <c r="O37" s="1">
        <f>IFERROR(VLOOKUP(A37:A128,'280726 ph.k.'!$A$2:$N$62,14,FALSE),"")</f>
        <v>0</v>
      </c>
      <c r="P37" s="17">
        <f t="shared" si="13"/>
        <v>0</v>
      </c>
      <c r="Q37" s="1">
        <v>5.19</v>
      </c>
      <c r="R37" s="1">
        <v>3.69</v>
      </c>
      <c r="S37" s="5">
        <v>0</v>
      </c>
      <c r="T37" s="1">
        <v>0</v>
      </c>
      <c r="U37" s="1">
        <v>0</v>
      </c>
      <c r="V37" s="17">
        <f t="shared" si="14"/>
        <v>0</v>
      </c>
      <c r="W37" s="1"/>
      <c r="X37" s="1">
        <v>0</v>
      </c>
      <c r="Y37" s="34">
        <f t="shared" si="4"/>
        <v>5.3900000000000006</v>
      </c>
      <c r="Z37" s="20">
        <f t="shared" si="5"/>
        <v>4880.3216000000011</v>
      </c>
      <c r="AA37" s="34">
        <f t="shared" si="6"/>
        <v>3.69</v>
      </c>
      <c r="AB37" s="2">
        <f t="shared" si="7"/>
        <v>3341.0736000000002</v>
      </c>
      <c r="AC37" s="1">
        <v>0</v>
      </c>
      <c r="AD37" s="1">
        <v>0</v>
      </c>
      <c r="AE37" s="1">
        <v>0</v>
      </c>
      <c r="AF37" s="1">
        <v>0</v>
      </c>
      <c r="AG37" s="1">
        <v>19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59</v>
      </c>
      <c r="AX37" s="1">
        <v>48</v>
      </c>
      <c r="AY37" s="1">
        <v>0</v>
      </c>
      <c r="AZ37" s="1">
        <v>0</v>
      </c>
      <c r="BA37" s="1">
        <v>59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</row>
    <row r="38" spans="1:68" x14ac:dyDescent="0.2">
      <c r="A38" s="1">
        <v>48067</v>
      </c>
      <c r="B38" s="1" t="s">
        <v>106</v>
      </c>
      <c r="C38" s="1">
        <v>12</v>
      </c>
      <c r="D38" s="1">
        <v>677</v>
      </c>
      <c r="E38" s="1" t="s">
        <v>64</v>
      </c>
      <c r="F38" s="1">
        <v>690</v>
      </c>
      <c r="G38" s="1" t="s">
        <v>101</v>
      </c>
      <c r="H38" s="2">
        <v>42.332000000000001</v>
      </c>
      <c r="I38" s="2">
        <v>507.98399999999998</v>
      </c>
      <c r="J38" s="14">
        <f t="shared" si="1"/>
        <v>0</v>
      </c>
      <c r="K38" s="15">
        <f t="shared" si="2"/>
        <v>0</v>
      </c>
      <c r="L38" s="1">
        <v>3.04</v>
      </c>
      <c r="M38" s="1">
        <f>IFERROR(VLOOKUP(A38:A129,'280726 ph.k.'!$A$2:$S$62,19,FALSE),"")</f>
        <v>1.2</v>
      </c>
      <c r="N38" s="1">
        <f t="shared" si="3"/>
        <v>4.24</v>
      </c>
      <c r="O38" s="1">
        <f>IFERROR(VLOOKUP(A38:A129,'280726 ph.k.'!$A$2:$N$62,14,FALSE),"")</f>
        <v>2.38</v>
      </c>
      <c r="P38" s="5">
        <v>0</v>
      </c>
      <c r="Q38" s="1">
        <v>1.67</v>
      </c>
      <c r="R38" s="1">
        <v>3.33</v>
      </c>
      <c r="S38" s="5">
        <v>0</v>
      </c>
      <c r="T38" s="1">
        <v>3.54</v>
      </c>
      <c r="U38" s="1">
        <v>4.08</v>
      </c>
      <c r="V38" s="17">
        <f t="shared" si="14"/>
        <v>0</v>
      </c>
      <c r="W38" s="1"/>
      <c r="X38" s="1">
        <v>0</v>
      </c>
      <c r="Y38" s="34">
        <f t="shared" si="4"/>
        <v>9.4499999999999993</v>
      </c>
      <c r="Z38" s="20">
        <f t="shared" si="5"/>
        <v>4800.4487999999992</v>
      </c>
      <c r="AA38" s="34">
        <f t="shared" si="6"/>
        <v>9.7899999999999991</v>
      </c>
      <c r="AB38" s="2">
        <f t="shared" si="7"/>
        <v>4973.1633599999996</v>
      </c>
      <c r="AC38" s="1">
        <v>0</v>
      </c>
      <c r="AD38" s="1">
        <v>0</v>
      </c>
      <c r="AE38" s="1">
        <v>29</v>
      </c>
      <c r="AF38" s="1">
        <v>15</v>
      </c>
      <c r="AG38" s="1">
        <v>-2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8</v>
      </c>
      <c r="AX38" s="1">
        <v>1</v>
      </c>
      <c r="AY38" s="1">
        <v>8</v>
      </c>
      <c r="AZ38" s="1">
        <v>7</v>
      </c>
      <c r="BA38" s="1">
        <v>40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11</v>
      </c>
      <c r="BH38" s="1">
        <v>1</v>
      </c>
      <c r="BI38" s="1">
        <v>19</v>
      </c>
      <c r="BJ38" s="1">
        <v>24</v>
      </c>
      <c r="BK38" s="1">
        <v>49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</row>
    <row r="39" spans="1:68" x14ac:dyDescent="0.2">
      <c r="A39" s="1">
        <v>47051</v>
      </c>
      <c r="B39" s="1" t="s">
        <v>226</v>
      </c>
      <c r="C39" s="1">
        <v>18</v>
      </c>
      <c r="D39" s="1">
        <v>677</v>
      </c>
      <c r="E39" s="1" t="s">
        <v>64</v>
      </c>
      <c r="F39" s="1">
        <v>61</v>
      </c>
      <c r="G39" s="1" t="s">
        <v>66</v>
      </c>
      <c r="H39" s="2">
        <v>37.43</v>
      </c>
      <c r="I39" s="2">
        <v>673.74</v>
      </c>
      <c r="J39" s="14">
        <f t="shared" si="1"/>
        <v>0</v>
      </c>
      <c r="K39" s="15">
        <f t="shared" si="2"/>
        <v>0</v>
      </c>
      <c r="L39" s="1">
        <v>0</v>
      </c>
      <c r="M39" s="1">
        <f>IFERROR(VLOOKUP(A39:A130,'280726 ph.k.'!$A$2:$S$62,19,FALSE),"")</f>
        <v>0</v>
      </c>
      <c r="N39" s="1">
        <f t="shared" si="3"/>
        <v>0</v>
      </c>
      <c r="O39" s="1">
        <f>IFERROR(VLOOKUP(A39:A130,'280726 ph.k.'!$A$2:$N$62,14,FALSE),"")</f>
        <v>0</v>
      </c>
      <c r="P39" s="17">
        <f t="shared" ref="P39:P94" si="15">MAX(0,(TRUNC((N39*0.8)-O39)))</f>
        <v>0</v>
      </c>
      <c r="Q39" s="1">
        <v>3</v>
      </c>
      <c r="R39" s="1">
        <v>3.22</v>
      </c>
      <c r="S39" s="5">
        <v>0</v>
      </c>
      <c r="T39" s="1">
        <v>2.86</v>
      </c>
      <c r="U39" s="1">
        <v>1</v>
      </c>
      <c r="V39" s="5">
        <v>0</v>
      </c>
      <c r="W39" s="1"/>
      <c r="X39" s="1">
        <v>0</v>
      </c>
      <c r="Y39" s="34">
        <f t="shared" si="4"/>
        <v>5.8599999999999994</v>
      </c>
      <c r="Z39" s="20">
        <f t="shared" si="5"/>
        <v>3948.1163999999999</v>
      </c>
      <c r="AA39" s="34">
        <f t="shared" si="6"/>
        <v>4.2200000000000006</v>
      </c>
      <c r="AB39" s="2">
        <f t="shared" si="7"/>
        <v>2843.1828000000005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15</v>
      </c>
      <c r="AX39" s="1">
        <v>78</v>
      </c>
      <c r="AY39" s="1">
        <v>0</v>
      </c>
      <c r="AZ39" s="1">
        <v>0</v>
      </c>
      <c r="BA39" s="1">
        <v>58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31</v>
      </c>
      <c r="BH39" s="1">
        <v>41</v>
      </c>
      <c r="BI39" s="1">
        <v>0</v>
      </c>
      <c r="BJ39" s="1">
        <v>0</v>
      </c>
      <c r="BK39" s="1">
        <v>18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</row>
    <row r="40" spans="1:68" x14ac:dyDescent="0.2">
      <c r="A40" s="1">
        <v>47026</v>
      </c>
      <c r="B40" s="1" t="s">
        <v>120</v>
      </c>
      <c r="C40" s="1">
        <v>12</v>
      </c>
      <c r="D40" s="1">
        <v>677</v>
      </c>
      <c r="E40" s="1" t="s">
        <v>64</v>
      </c>
      <c r="F40" s="1">
        <v>999</v>
      </c>
      <c r="G40" s="1" t="s">
        <v>67</v>
      </c>
      <c r="H40" s="2">
        <v>48.56</v>
      </c>
      <c r="I40" s="2">
        <v>582.72</v>
      </c>
      <c r="J40" s="14">
        <f t="shared" si="1"/>
        <v>0</v>
      </c>
      <c r="K40" s="15">
        <f t="shared" si="2"/>
        <v>0</v>
      </c>
      <c r="L40" s="1">
        <v>0</v>
      </c>
      <c r="M40" s="1">
        <f>IFERROR(VLOOKUP(A40:A131,'280726 ph.k.'!$A$2:$S$62,19,FALSE),"")</f>
        <v>0</v>
      </c>
      <c r="N40" s="1">
        <f t="shared" si="3"/>
        <v>0</v>
      </c>
      <c r="O40" s="1">
        <f>IFERROR(VLOOKUP(A40:A131,'280726 ph.k.'!$A$2:$N$62,14,FALSE),"")</f>
        <v>0</v>
      </c>
      <c r="P40" s="17">
        <f t="shared" si="15"/>
        <v>0</v>
      </c>
      <c r="Q40" s="1">
        <v>5.33</v>
      </c>
      <c r="R40" s="1">
        <v>5</v>
      </c>
      <c r="S40" s="5">
        <v>0</v>
      </c>
      <c r="T40" s="1">
        <v>0.46</v>
      </c>
      <c r="U40" s="1">
        <v>0</v>
      </c>
      <c r="V40" s="17">
        <f t="shared" ref="V40:V94" si="16">MAX(0,(TRUNC((T40*0.8)-U40)))</f>
        <v>0</v>
      </c>
      <c r="W40" s="1"/>
      <c r="X40" s="1">
        <v>0</v>
      </c>
      <c r="Y40" s="34">
        <f t="shared" si="4"/>
        <v>5.79</v>
      </c>
      <c r="Z40" s="20">
        <f t="shared" si="5"/>
        <v>3373.9488000000001</v>
      </c>
      <c r="AA40" s="34">
        <f t="shared" si="6"/>
        <v>5</v>
      </c>
      <c r="AB40" s="2">
        <f t="shared" si="7"/>
        <v>2913.6000000000004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40</v>
      </c>
      <c r="AX40" s="1">
        <v>48</v>
      </c>
      <c r="AY40" s="1">
        <v>0</v>
      </c>
      <c r="AZ40" s="1">
        <v>0</v>
      </c>
      <c r="BA40" s="1">
        <v>60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11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</row>
    <row r="41" spans="1:68" x14ac:dyDescent="0.2">
      <c r="A41" s="1">
        <v>47053</v>
      </c>
      <c r="B41" s="1" t="s">
        <v>227</v>
      </c>
      <c r="C41" s="1">
        <v>18</v>
      </c>
      <c r="D41" s="1">
        <v>677</v>
      </c>
      <c r="E41" s="1" t="s">
        <v>64</v>
      </c>
      <c r="F41" s="1">
        <v>61</v>
      </c>
      <c r="G41" s="1" t="s">
        <v>66</v>
      </c>
      <c r="H41" s="2">
        <v>37.43</v>
      </c>
      <c r="I41" s="2">
        <v>673.74</v>
      </c>
      <c r="J41" s="14">
        <f t="shared" si="1"/>
        <v>0</v>
      </c>
      <c r="K41" s="15">
        <f t="shared" si="2"/>
        <v>0</v>
      </c>
      <c r="L41" s="1">
        <v>0</v>
      </c>
      <c r="M41" s="1">
        <f>IFERROR(VLOOKUP(A41:A132,'280726 ph.k.'!$A$2:$S$62,19,FALSE),"")</f>
        <v>0</v>
      </c>
      <c r="N41" s="1">
        <f t="shared" si="3"/>
        <v>0</v>
      </c>
      <c r="O41" s="1">
        <f>IFERROR(VLOOKUP(A41:A132,'280726 ph.k.'!$A$2:$N$62,14,FALSE),"")</f>
        <v>0</v>
      </c>
      <c r="P41" s="17">
        <f t="shared" si="15"/>
        <v>0</v>
      </c>
      <c r="Q41" s="1">
        <v>0.72</v>
      </c>
      <c r="R41" s="1">
        <v>3.28</v>
      </c>
      <c r="S41" s="5">
        <v>0</v>
      </c>
      <c r="T41" s="1">
        <v>4.25</v>
      </c>
      <c r="U41" s="1">
        <v>4.1100000000000003</v>
      </c>
      <c r="V41" s="17">
        <f t="shared" si="16"/>
        <v>0</v>
      </c>
      <c r="W41" s="1"/>
      <c r="X41" s="1">
        <v>0</v>
      </c>
      <c r="Y41" s="34">
        <f t="shared" si="4"/>
        <v>4.97</v>
      </c>
      <c r="Z41" s="20">
        <f t="shared" si="5"/>
        <v>3348.4877999999999</v>
      </c>
      <c r="AA41" s="34">
        <f t="shared" si="6"/>
        <v>7.3900000000000006</v>
      </c>
      <c r="AB41" s="2">
        <f t="shared" si="7"/>
        <v>4978.9386000000004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13</v>
      </c>
      <c r="AX41" s="1">
        <v>0</v>
      </c>
      <c r="AY41" s="1">
        <v>0</v>
      </c>
      <c r="AZ41" s="1">
        <v>0</v>
      </c>
      <c r="BA41" s="1">
        <v>59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47</v>
      </c>
      <c r="BH41" s="1">
        <v>59</v>
      </c>
      <c r="BI41" s="1">
        <v>0</v>
      </c>
      <c r="BJ41" s="1">
        <v>0</v>
      </c>
      <c r="BK41" s="1">
        <v>74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</row>
    <row r="42" spans="1:68" x14ac:dyDescent="0.2">
      <c r="A42" s="1">
        <v>47017</v>
      </c>
      <c r="B42" s="1" t="s">
        <v>175</v>
      </c>
      <c r="C42" s="1">
        <v>24</v>
      </c>
      <c r="D42" s="1">
        <v>677</v>
      </c>
      <c r="E42" s="1" t="s">
        <v>64</v>
      </c>
      <c r="F42" s="1">
        <v>61</v>
      </c>
      <c r="G42" s="1" t="s">
        <v>66</v>
      </c>
      <c r="H42" s="2">
        <v>52.741</v>
      </c>
      <c r="I42" s="2">
        <v>1265.7840000000001</v>
      </c>
      <c r="J42" s="14">
        <f t="shared" si="1"/>
        <v>0</v>
      </c>
      <c r="K42" s="15">
        <f t="shared" si="2"/>
        <v>0</v>
      </c>
      <c r="L42" s="1">
        <v>0</v>
      </c>
      <c r="M42" s="1">
        <f>IFERROR(VLOOKUP(A42:A133,'280726 ph.k.'!$A$2:$S$62,19,FALSE),"")</f>
        <v>0.1</v>
      </c>
      <c r="N42" s="1">
        <f t="shared" si="3"/>
        <v>0.1</v>
      </c>
      <c r="O42" s="1">
        <f>IFERROR(VLOOKUP(A42:A133,'280726 ph.k.'!$A$2:$N$62,14,FALSE),"")</f>
        <v>1.33</v>
      </c>
      <c r="P42" s="17">
        <f t="shared" si="15"/>
        <v>0</v>
      </c>
      <c r="Q42" s="1">
        <v>1.35</v>
      </c>
      <c r="R42" s="1">
        <v>0.71</v>
      </c>
      <c r="S42" s="5">
        <v>0</v>
      </c>
      <c r="T42" s="1">
        <v>0.23</v>
      </c>
      <c r="U42" s="1">
        <v>3.46</v>
      </c>
      <c r="V42" s="17">
        <f t="shared" si="16"/>
        <v>0</v>
      </c>
      <c r="W42" s="1"/>
      <c r="X42" s="1">
        <v>0</v>
      </c>
      <c r="Y42" s="34">
        <f t="shared" si="4"/>
        <v>1.6800000000000002</v>
      </c>
      <c r="Z42" s="20">
        <f t="shared" si="5"/>
        <v>2126.5171200000004</v>
      </c>
      <c r="AA42" s="34">
        <f t="shared" si="6"/>
        <v>5.5</v>
      </c>
      <c r="AB42" s="2">
        <f t="shared" si="7"/>
        <v>6961.8120000000008</v>
      </c>
      <c r="AC42" s="1">
        <v>0</v>
      </c>
      <c r="AD42" s="1">
        <v>0</v>
      </c>
      <c r="AE42" s="1">
        <v>0</v>
      </c>
      <c r="AF42" s="1">
        <v>0</v>
      </c>
      <c r="AG42" s="1">
        <v>4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13</v>
      </c>
      <c r="AX42" s="1">
        <v>39</v>
      </c>
      <c r="AY42" s="1">
        <v>0</v>
      </c>
      <c r="AZ42" s="1">
        <v>0</v>
      </c>
      <c r="BA42" s="1">
        <v>17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1</v>
      </c>
      <c r="BH42" s="1">
        <v>9</v>
      </c>
      <c r="BI42" s="1">
        <v>0</v>
      </c>
      <c r="BJ42" s="1">
        <v>0</v>
      </c>
      <c r="BK42" s="1">
        <v>83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</row>
    <row r="43" spans="1:68" x14ac:dyDescent="0.2">
      <c r="A43" s="1">
        <v>47019</v>
      </c>
      <c r="B43" s="1" t="s">
        <v>123</v>
      </c>
      <c r="C43" s="1">
        <v>8</v>
      </c>
      <c r="D43" s="1">
        <v>677</v>
      </c>
      <c r="E43" s="1" t="s">
        <v>64</v>
      </c>
      <c r="F43" s="1">
        <v>61</v>
      </c>
      <c r="G43" s="1" t="s">
        <v>66</v>
      </c>
      <c r="H43" s="2">
        <v>152.41</v>
      </c>
      <c r="I43" s="2">
        <v>1219.28</v>
      </c>
      <c r="J43" s="14">
        <f t="shared" si="1"/>
        <v>0</v>
      </c>
      <c r="K43" s="15">
        <f t="shared" si="2"/>
        <v>0</v>
      </c>
      <c r="L43" s="1">
        <v>0</v>
      </c>
      <c r="M43" s="1">
        <f>IFERROR(VLOOKUP(A43:A134,'280726 ph.k.'!$A$2:$S$62,19,FALSE),"")</f>
        <v>0.1</v>
      </c>
      <c r="N43" s="1">
        <f t="shared" si="3"/>
        <v>0.1</v>
      </c>
      <c r="O43" s="1">
        <f>IFERROR(VLOOKUP(A43:A134,'280726 ph.k.'!$A$2:$N$62,14,FALSE),"")</f>
        <v>2.5</v>
      </c>
      <c r="P43" s="17">
        <f t="shared" si="15"/>
        <v>0</v>
      </c>
      <c r="Q43" s="1">
        <v>0.69</v>
      </c>
      <c r="R43" s="1">
        <v>1.88</v>
      </c>
      <c r="S43" s="5">
        <v>0</v>
      </c>
      <c r="T43" s="1">
        <v>0.88</v>
      </c>
      <c r="U43" s="1">
        <v>0.12</v>
      </c>
      <c r="V43" s="17">
        <f t="shared" si="16"/>
        <v>0</v>
      </c>
      <c r="W43" s="1"/>
      <c r="X43" s="1">
        <v>0</v>
      </c>
      <c r="Y43" s="34">
        <f t="shared" si="4"/>
        <v>1.67</v>
      </c>
      <c r="Z43" s="20">
        <f t="shared" si="5"/>
        <v>2036.1976</v>
      </c>
      <c r="AA43" s="34">
        <f t="shared" si="6"/>
        <v>4.5</v>
      </c>
      <c r="AB43" s="2">
        <f t="shared" si="7"/>
        <v>5486.76</v>
      </c>
      <c r="AC43" s="1">
        <v>0</v>
      </c>
      <c r="AD43" s="1">
        <v>0</v>
      </c>
      <c r="AE43" s="1">
        <v>0</v>
      </c>
      <c r="AF43" s="1">
        <v>0</v>
      </c>
      <c r="AG43" s="1">
        <v>21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2</v>
      </c>
      <c r="AX43" s="1">
        <v>1</v>
      </c>
      <c r="AY43" s="1">
        <v>3</v>
      </c>
      <c r="AZ43" s="1">
        <v>0</v>
      </c>
      <c r="BA43" s="1">
        <v>15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4</v>
      </c>
      <c r="BH43" s="1">
        <v>0</v>
      </c>
      <c r="BI43" s="1">
        <v>3</v>
      </c>
      <c r="BJ43" s="1">
        <v>0</v>
      </c>
      <c r="BK43" s="1">
        <v>1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</row>
    <row r="44" spans="1:68" x14ac:dyDescent="0.2">
      <c r="A44" s="1">
        <v>47210</v>
      </c>
      <c r="B44" s="1" t="s">
        <v>127</v>
      </c>
      <c r="C44" s="1">
        <v>12</v>
      </c>
      <c r="D44" s="1">
        <v>677</v>
      </c>
      <c r="E44" s="1" t="s">
        <v>64</v>
      </c>
      <c r="F44" s="1">
        <v>61</v>
      </c>
      <c r="G44" s="1" t="s">
        <v>66</v>
      </c>
      <c r="H44" s="2">
        <v>48.1554</v>
      </c>
      <c r="I44" s="2">
        <v>577.86479999999995</v>
      </c>
      <c r="J44" s="14">
        <f t="shared" si="1"/>
        <v>0</v>
      </c>
      <c r="K44" s="15">
        <f t="shared" si="2"/>
        <v>0</v>
      </c>
      <c r="L44" s="1">
        <v>0.42</v>
      </c>
      <c r="M44" s="1">
        <f>IFERROR(VLOOKUP(A44:A135,'280726 ph.k.'!$A$2:$S$62,19,FALSE),"")</f>
        <v>0</v>
      </c>
      <c r="N44" s="1">
        <f t="shared" si="3"/>
        <v>0.42</v>
      </c>
      <c r="O44" s="1">
        <f>IFERROR(VLOOKUP(A44:A135,'280726 ph.k.'!$A$2:$N$62,14,FALSE),"")</f>
        <v>0</v>
      </c>
      <c r="P44" s="17">
        <f t="shared" si="15"/>
        <v>0</v>
      </c>
      <c r="Q44" s="1">
        <v>2.29</v>
      </c>
      <c r="R44" s="1">
        <v>4.75</v>
      </c>
      <c r="S44" s="5">
        <v>0</v>
      </c>
      <c r="T44" s="1">
        <v>0</v>
      </c>
      <c r="U44" s="1">
        <v>0</v>
      </c>
      <c r="V44" s="17">
        <f t="shared" si="16"/>
        <v>0</v>
      </c>
      <c r="W44" s="1"/>
      <c r="X44" s="1">
        <v>0</v>
      </c>
      <c r="Y44" s="34">
        <f t="shared" si="4"/>
        <v>2.71</v>
      </c>
      <c r="Z44" s="20">
        <f t="shared" si="5"/>
        <v>1566.0136079999997</v>
      </c>
      <c r="AA44" s="34">
        <f t="shared" si="6"/>
        <v>4.75</v>
      </c>
      <c r="AB44" s="2">
        <f t="shared" si="7"/>
        <v>2744.8577999999998</v>
      </c>
      <c r="AC44" s="1">
        <v>0</v>
      </c>
      <c r="AD44" s="1">
        <v>0</v>
      </c>
      <c r="AE44" s="1">
        <v>4</v>
      </c>
      <c r="AF44" s="1">
        <v>2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24</v>
      </c>
      <c r="AX44" s="1">
        <v>7</v>
      </c>
      <c r="AY44" s="1">
        <v>0</v>
      </c>
      <c r="AZ44" s="1">
        <v>0</v>
      </c>
      <c r="BA44" s="1">
        <v>57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</row>
    <row r="45" spans="1:68" x14ac:dyDescent="0.2">
      <c r="A45" s="1">
        <v>561</v>
      </c>
      <c r="B45" s="1" t="s">
        <v>132</v>
      </c>
      <c r="C45" s="1">
        <v>96</v>
      </c>
      <c r="D45" s="1">
        <v>677</v>
      </c>
      <c r="E45" s="1" t="s">
        <v>64</v>
      </c>
      <c r="F45" s="1">
        <v>690</v>
      </c>
      <c r="G45" s="1" t="s">
        <v>101</v>
      </c>
      <c r="H45" s="2">
        <v>5.2915999999999999</v>
      </c>
      <c r="I45" s="2">
        <v>507.99360000000001</v>
      </c>
      <c r="J45" s="14">
        <f t="shared" si="1"/>
        <v>0</v>
      </c>
      <c r="K45" s="15">
        <f t="shared" si="2"/>
        <v>0</v>
      </c>
      <c r="L45" s="1">
        <v>0.41</v>
      </c>
      <c r="M45" s="1">
        <f>IFERROR(VLOOKUP(A45:A136,'280726 ph.k.'!$A$2:$S$62,19,FALSE),"")</f>
        <v>0</v>
      </c>
      <c r="N45" s="1">
        <f t="shared" si="3"/>
        <v>0.41</v>
      </c>
      <c r="O45" s="1">
        <f>IFERROR(VLOOKUP(A45:A136,'280726 ph.k.'!$A$2:$N$62,14,FALSE),"")</f>
        <v>0</v>
      </c>
      <c r="P45" s="17">
        <f t="shared" si="15"/>
        <v>0</v>
      </c>
      <c r="Q45" s="1">
        <v>0</v>
      </c>
      <c r="R45" s="1">
        <v>0</v>
      </c>
      <c r="S45" s="17">
        <f t="shared" ref="S45:S94" si="17">Q45*0.75-R45</f>
        <v>0</v>
      </c>
      <c r="T45" s="1">
        <v>0</v>
      </c>
      <c r="U45" s="1">
        <v>0</v>
      </c>
      <c r="V45" s="17">
        <f t="shared" si="16"/>
        <v>0</v>
      </c>
      <c r="W45" s="1"/>
      <c r="X45" s="1">
        <v>0</v>
      </c>
      <c r="Y45" s="34">
        <f t="shared" si="4"/>
        <v>0.41</v>
      </c>
      <c r="Z45" s="20">
        <f t="shared" si="5"/>
        <v>208.277376</v>
      </c>
      <c r="AA45" s="34">
        <f t="shared" si="6"/>
        <v>0</v>
      </c>
      <c r="AB45" s="2">
        <f t="shared" si="7"/>
        <v>0</v>
      </c>
      <c r="AC45" s="1">
        <v>0</v>
      </c>
      <c r="AD45" s="1">
        <v>0</v>
      </c>
      <c r="AE45" s="1">
        <v>31</v>
      </c>
      <c r="AF45" s="1">
        <v>16</v>
      </c>
      <c r="AG45" s="1">
        <v>8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</row>
    <row r="46" spans="1:68" x14ac:dyDescent="0.2">
      <c r="A46" s="1">
        <v>501</v>
      </c>
      <c r="B46" s="1" t="s">
        <v>145</v>
      </c>
      <c r="C46" s="1">
        <v>96</v>
      </c>
      <c r="D46" s="1">
        <v>677</v>
      </c>
      <c r="E46" s="1" t="s">
        <v>64</v>
      </c>
      <c r="F46" s="1">
        <v>690</v>
      </c>
      <c r="G46" s="1" t="s">
        <v>101</v>
      </c>
      <c r="H46" s="2">
        <v>5.2915999999999999</v>
      </c>
      <c r="I46" s="2">
        <v>507.99360000000001</v>
      </c>
      <c r="J46" s="14">
        <f t="shared" si="1"/>
        <v>0</v>
      </c>
      <c r="K46" s="15">
        <f t="shared" si="2"/>
        <v>0</v>
      </c>
      <c r="L46" s="1">
        <v>0.24</v>
      </c>
      <c r="M46" s="1">
        <f>IFERROR(VLOOKUP(A46:A137,'280726 ph.k.'!$A$2:$S$62,19,FALSE),"")</f>
        <v>0</v>
      </c>
      <c r="N46" s="1">
        <f t="shared" si="3"/>
        <v>0.24</v>
      </c>
      <c r="O46" s="1">
        <f>IFERROR(VLOOKUP(A46:A137,'280726 ph.k.'!$A$2:$N$62,14,FALSE),"")</f>
        <v>0</v>
      </c>
      <c r="P46" s="17">
        <f t="shared" si="15"/>
        <v>0</v>
      </c>
      <c r="Q46" s="1">
        <v>0</v>
      </c>
      <c r="R46" s="1">
        <v>0</v>
      </c>
      <c r="S46" s="17">
        <f t="shared" si="17"/>
        <v>0</v>
      </c>
      <c r="T46" s="1">
        <v>0.03</v>
      </c>
      <c r="U46" s="1">
        <v>0</v>
      </c>
      <c r="V46" s="17">
        <f t="shared" si="16"/>
        <v>0</v>
      </c>
      <c r="W46" s="1"/>
      <c r="X46" s="1">
        <v>0</v>
      </c>
      <c r="Y46" s="34">
        <f t="shared" si="4"/>
        <v>0.27</v>
      </c>
      <c r="Z46" s="20">
        <f t="shared" si="5"/>
        <v>137.15827200000001</v>
      </c>
      <c r="AA46" s="34">
        <f t="shared" si="6"/>
        <v>0</v>
      </c>
      <c r="AB46" s="2">
        <f t="shared" si="7"/>
        <v>0</v>
      </c>
      <c r="AC46" s="1">
        <v>0</v>
      </c>
      <c r="AD46" s="1">
        <v>0</v>
      </c>
      <c r="AE46" s="1">
        <v>14</v>
      </c>
      <c r="AF46" s="1">
        <v>19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3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</row>
    <row r="47" spans="1:68" x14ac:dyDescent="0.2">
      <c r="A47" s="1">
        <v>564</v>
      </c>
      <c r="B47" s="1" t="s">
        <v>136</v>
      </c>
      <c r="C47" s="1">
        <v>96</v>
      </c>
      <c r="D47" s="1">
        <v>677</v>
      </c>
      <c r="E47" s="1" t="s">
        <v>64</v>
      </c>
      <c r="F47" s="1">
        <v>690</v>
      </c>
      <c r="G47" s="1" t="s">
        <v>101</v>
      </c>
      <c r="H47" s="2">
        <v>5.2915999999999999</v>
      </c>
      <c r="I47" s="2">
        <v>507.99360000000001</v>
      </c>
      <c r="J47" s="14">
        <f t="shared" si="1"/>
        <v>0</v>
      </c>
      <c r="K47" s="15">
        <f t="shared" si="2"/>
        <v>0</v>
      </c>
      <c r="L47" s="1">
        <v>0.22</v>
      </c>
      <c r="M47" s="1">
        <f>IFERROR(VLOOKUP(A47:A138,'280726 ph.k.'!$A$2:$S$62,19,FALSE),"")</f>
        <v>0</v>
      </c>
      <c r="N47" s="1">
        <f t="shared" si="3"/>
        <v>0.22</v>
      </c>
      <c r="O47" s="1">
        <f>IFERROR(VLOOKUP(A47:A138,'280726 ph.k.'!$A$2:$N$62,14,FALSE),"")</f>
        <v>0</v>
      </c>
      <c r="P47" s="17">
        <f t="shared" si="15"/>
        <v>0</v>
      </c>
      <c r="Q47" s="1">
        <v>0</v>
      </c>
      <c r="R47" s="1">
        <v>0</v>
      </c>
      <c r="S47" s="17">
        <f t="shared" si="17"/>
        <v>0</v>
      </c>
      <c r="T47" s="1">
        <v>0</v>
      </c>
      <c r="U47" s="1">
        <v>0</v>
      </c>
      <c r="V47" s="17">
        <f t="shared" si="16"/>
        <v>0</v>
      </c>
      <c r="W47" s="1"/>
      <c r="X47" s="1">
        <v>0</v>
      </c>
      <c r="Y47" s="34">
        <f t="shared" si="4"/>
        <v>0.22</v>
      </c>
      <c r="Z47" s="20">
        <f t="shared" si="5"/>
        <v>111.75859200000001</v>
      </c>
      <c r="AA47" s="34">
        <f t="shared" si="6"/>
        <v>0</v>
      </c>
      <c r="AB47" s="2">
        <f t="shared" si="7"/>
        <v>0</v>
      </c>
      <c r="AC47" s="1">
        <v>0</v>
      </c>
      <c r="AD47" s="1">
        <v>0</v>
      </c>
      <c r="AE47" s="1">
        <v>19</v>
      </c>
      <c r="AF47" s="1">
        <v>5</v>
      </c>
      <c r="AG47" s="1">
        <v>8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</row>
    <row r="48" spans="1:68" x14ac:dyDescent="0.2">
      <c r="A48" s="1">
        <v>567</v>
      </c>
      <c r="B48" s="1" t="s">
        <v>135</v>
      </c>
      <c r="C48" s="1">
        <v>96</v>
      </c>
      <c r="D48" s="1">
        <v>677</v>
      </c>
      <c r="E48" s="1" t="s">
        <v>64</v>
      </c>
      <c r="F48" s="1">
        <v>690</v>
      </c>
      <c r="G48" s="1" t="s">
        <v>101</v>
      </c>
      <c r="H48" s="2">
        <v>5.2915999999999999</v>
      </c>
      <c r="I48" s="2">
        <v>507.99360000000001</v>
      </c>
      <c r="J48" s="14">
        <f t="shared" si="1"/>
        <v>0</v>
      </c>
      <c r="K48" s="15">
        <f t="shared" si="2"/>
        <v>0</v>
      </c>
      <c r="L48" s="1">
        <v>0.21</v>
      </c>
      <c r="M48" s="1">
        <f>IFERROR(VLOOKUP(A48:A139,'280726 ph.k.'!$A$2:$S$62,19,FALSE),"")</f>
        <v>0</v>
      </c>
      <c r="N48" s="1">
        <f t="shared" si="3"/>
        <v>0.21</v>
      </c>
      <c r="O48" s="1">
        <f>IFERROR(VLOOKUP(A48:A139,'280726 ph.k.'!$A$2:$N$62,14,FALSE),"")</f>
        <v>0</v>
      </c>
      <c r="P48" s="17">
        <f t="shared" si="15"/>
        <v>0</v>
      </c>
      <c r="Q48" s="1">
        <v>0</v>
      </c>
      <c r="R48" s="1">
        <v>0</v>
      </c>
      <c r="S48" s="17">
        <f t="shared" si="17"/>
        <v>0</v>
      </c>
      <c r="T48" s="1">
        <v>0</v>
      </c>
      <c r="U48" s="1">
        <v>0</v>
      </c>
      <c r="V48" s="17">
        <f t="shared" si="16"/>
        <v>0</v>
      </c>
      <c r="W48" s="1"/>
      <c r="X48" s="1">
        <v>0</v>
      </c>
      <c r="Y48" s="34">
        <f t="shared" si="4"/>
        <v>0.21</v>
      </c>
      <c r="Z48" s="20">
        <f t="shared" si="5"/>
        <v>106.678656</v>
      </c>
      <c r="AA48" s="34">
        <f t="shared" si="6"/>
        <v>0</v>
      </c>
      <c r="AB48" s="2">
        <f t="shared" si="7"/>
        <v>0</v>
      </c>
      <c r="AC48" s="1">
        <v>0</v>
      </c>
      <c r="AD48" s="1">
        <v>0</v>
      </c>
      <c r="AE48" s="1">
        <v>14</v>
      </c>
      <c r="AF48" s="1">
        <v>12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</row>
    <row r="49" spans="1:68" x14ac:dyDescent="0.2">
      <c r="A49" s="1">
        <v>519</v>
      </c>
      <c r="B49" s="1" t="s">
        <v>143</v>
      </c>
      <c r="C49" s="1">
        <v>96</v>
      </c>
      <c r="D49" s="1">
        <v>677</v>
      </c>
      <c r="E49" s="1" t="s">
        <v>64</v>
      </c>
      <c r="F49" s="1">
        <v>690</v>
      </c>
      <c r="G49" s="1" t="s">
        <v>101</v>
      </c>
      <c r="H49" s="2">
        <v>5.2915999999999999</v>
      </c>
      <c r="I49" s="2">
        <v>507.99360000000001</v>
      </c>
      <c r="J49" s="14">
        <f t="shared" si="1"/>
        <v>0</v>
      </c>
      <c r="K49" s="15">
        <f t="shared" si="2"/>
        <v>0</v>
      </c>
      <c r="L49" s="1">
        <v>0.17</v>
      </c>
      <c r="M49" s="1">
        <f>IFERROR(VLOOKUP(A49:A140,'280726 ph.k.'!$A$2:$S$62,19,FALSE),"")</f>
        <v>0</v>
      </c>
      <c r="N49" s="1">
        <f t="shared" si="3"/>
        <v>0.17</v>
      </c>
      <c r="O49" s="1">
        <f>IFERROR(VLOOKUP(A49:A140,'280726 ph.k.'!$A$2:$N$62,14,FALSE),"")</f>
        <v>0</v>
      </c>
      <c r="P49" s="17">
        <f t="shared" si="15"/>
        <v>0</v>
      </c>
      <c r="Q49" s="1">
        <v>0</v>
      </c>
      <c r="R49" s="1">
        <v>0</v>
      </c>
      <c r="S49" s="17">
        <f t="shared" si="17"/>
        <v>0</v>
      </c>
      <c r="T49" s="1">
        <v>0.02</v>
      </c>
      <c r="U49" s="1">
        <v>0</v>
      </c>
      <c r="V49" s="17">
        <f t="shared" si="16"/>
        <v>0</v>
      </c>
      <c r="W49" s="1"/>
      <c r="X49" s="1">
        <v>0</v>
      </c>
      <c r="Y49" s="34">
        <f t="shared" si="4"/>
        <v>0.19</v>
      </c>
      <c r="Z49" s="20">
        <f t="shared" si="5"/>
        <v>96.518784000000011</v>
      </c>
      <c r="AA49" s="34">
        <f t="shared" si="6"/>
        <v>0</v>
      </c>
      <c r="AB49" s="2">
        <f t="shared" si="7"/>
        <v>0</v>
      </c>
      <c r="AC49" s="1">
        <v>0</v>
      </c>
      <c r="AD49" s="1">
        <v>0</v>
      </c>
      <c r="AE49" s="1">
        <v>9</v>
      </c>
      <c r="AF49" s="1">
        <v>14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2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</row>
    <row r="50" spans="1:68" x14ac:dyDescent="0.2">
      <c r="A50" s="1">
        <v>565</v>
      </c>
      <c r="B50" s="1" t="s">
        <v>137</v>
      </c>
      <c r="C50" s="1">
        <v>96</v>
      </c>
      <c r="D50" s="1">
        <v>677</v>
      </c>
      <c r="E50" s="1" t="s">
        <v>64</v>
      </c>
      <c r="F50" s="1">
        <v>690</v>
      </c>
      <c r="G50" s="1" t="s">
        <v>101</v>
      </c>
      <c r="H50" s="2">
        <v>5.2915999999999999</v>
      </c>
      <c r="I50" s="2">
        <v>507.99360000000001</v>
      </c>
      <c r="J50" s="14">
        <f t="shared" si="1"/>
        <v>0</v>
      </c>
      <c r="K50" s="15">
        <f t="shared" si="2"/>
        <v>0</v>
      </c>
      <c r="L50" s="1">
        <v>0.16</v>
      </c>
      <c r="M50" s="1">
        <f>IFERROR(VLOOKUP(A50:A141,'280726 ph.k.'!$A$2:$S$62,19,FALSE),"")</f>
        <v>0</v>
      </c>
      <c r="N50" s="1">
        <f t="shared" si="3"/>
        <v>0.16</v>
      </c>
      <c r="O50" s="1">
        <f>IFERROR(VLOOKUP(A50:A141,'280726 ph.k.'!$A$2:$N$62,14,FALSE),"")</f>
        <v>0</v>
      </c>
      <c r="P50" s="17">
        <f t="shared" si="15"/>
        <v>0</v>
      </c>
      <c r="Q50" s="1">
        <v>0</v>
      </c>
      <c r="R50" s="1">
        <v>0</v>
      </c>
      <c r="S50" s="17">
        <f t="shared" si="17"/>
        <v>0</v>
      </c>
      <c r="T50" s="1">
        <v>0.03</v>
      </c>
      <c r="U50" s="1">
        <v>0</v>
      </c>
      <c r="V50" s="17">
        <f t="shared" si="16"/>
        <v>0</v>
      </c>
      <c r="W50" s="1"/>
      <c r="X50" s="1">
        <v>0</v>
      </c>
      <c r="Y50" s="34">
        <f t="shared" si="4"/>
        <v>0.19</v>
      </c>
      <c r="Z50" s="20">
        <f t="shared" si="5"/>
        <v>96.518784000000011</v>
      </c>
      <c r="AA50" s="34">
        <f t="shared" si="6"/>
        <v>0</v>
      </c>
      <c r="AB50" s="2">
        <f t="shared" si="7"/>
        <v>0</v>
      </c>
      <c r="AC50" s="1">
        <v>0</v>
      </c>
      <c r="AD50" s="1">
        <v>0</v>
      </c>
      <c r="AE50" s="1">
        <v>15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1</v>
      </c>
      <c r="BH50" s="1">
        <v>0</v>
      </c>
      <c r="BI50" s="1">
        <v>0</v>
      </c>
      <c r="BJ50" s="1">
        <v>3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</row>
    <row r="51" spans="1:68" x14ac:dyDescent="0.2">
      <c r="A51" s="1">
        <v>562</v>
      </c>
      <c r="B51" s="1" t="s">
        <v>131</v>
      </c>
      <c r="C51" s="1">
        <v>96</v>
      </c>
      <c r="D51" s="1">
        <v>677</v>
      </c>
      <c r="E51" s="1" t="s">
        <v>64</v>
      </c>
      <c r="F51" s="1">
        <v>690</v>
      </c>
      <c r="G51" s="1" t="s">
        <v>101</v>
      </c>
      <c r="H51" s="2">
        <v>5.2915999999999999</v>
      </c>
      <c r="I51" s="2">
        <v>507.99360000000001</v>
      </c>
      <c r="J51" s="14">
        <f t="shared" si="1"/>
        <v>0</v>
      </c>
      <c r="K51" s="15">
        <f t="shared" si="2"/>
        <v>0</v>
      </c>
      <c r="L51" s="1">
        <v>0.18</v>
      </c>
      <c r="M51" s="1">
        <f>IFERROR(VLOOKUP(A51:A142,'280726 ph.k.'!$A$2:$S$62,19,FALSE),"")</f>
        <v>0</v>
      </c>
      <c r="N51" s="1">
        <f t="shared" si="3"/>
        <v>0.18</v>
      </c>
      <c r="O51" s="1">
        <f>IFERROR(VLOOKUP(A51:A142,'280726 ph.k.'!$A$2:$N$62,14,FALSE),"")</f>
        <v>0</v>
      </c>
      <c r="P51" s="17">
        <f t="shared" si="15"/>
        <v>0</v>
      </c>
      <c r="Q51" s="1">
        <v>0</v>
      </c>
      <c r="R51" s="1">
        <v>0</v>
      </c>
      <c r="S51" s="17">
        <f t="shared" si="17"/>
        <v>0</v>
      </c>
      <c r="T51" s="1">
        <v>0</v>
      </c>
      <c r="U51" s="1">
        <v>0.01</v>
      </c>
      <c r="V51" s="17">
        <f t="shared" si="16"/>
        <v>0</v>
      </c>
      <c r="W51" s="1"/>
      <c r="X51" s="1">
        <v>0</v>
      </c>
      <c r="Y51" s="34">
        <f t="shared" si="4"/>
        <v>0.18</v>
      </c>
      <c r="Z51" s="20">
        <f t="shared" si="5"/>
        <v>91.438847999999993</v>
      </c>
      <c r="AA51" s="34">
        <f t="shared" si="6"/>
        <v>0.01</v>
      </c>
      <c r="AB51" s="2">
        <f t="shared" si="7"/>
        <v>5.079936</v>
      </c>
      <c r="AC51" s="1">
        <v>0</v>
      </c>
      <c r="AD51" s="1">
        <v>0</v>
      </c>
      <c r="AE51" s="1">
        <v>17</v>
      </c>
      <c r="AF51" s="1">
        <v>1</v>
      </c>
      <c r="AG51" s="1">
        <v>16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1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</row>
    <row r="52" spans="1:68" x14ac:dyDescent="0.2">
      <c r="A52" s="1">
        <v>515</v>
      </c>
      <c r="B52" s="1" t="s">
        <v>152</v>
      </c>
      <c r="C52" s="1">
        <v>96</v>
      </c>
      <c r="D52" s="1">
        <v>677</v>
      </c>
      <c r="E52" s="1" t="s">
        <v>64</v>
      </c>
      <c r="F52" s="1">
        <v>690</v>
      </c>
      <c r="G52" s="1" t="s">
        <v>101</v>
      </c>
      <c r="H52" s="2">
        <v>5.2915999999999999</v>
      </c>
      <c r="I52" s="2">
        <v>507.99360000000001</v>
      </c>
      <c r="J52" s="14">
        <f t="shared" si="1"/>
        <v>0</v>
      </c>
      <c r="K52" s="15">
        <f t="shared" si="2"/>
        <v>0</v>
      </c>
      <c r="L52" s="1">
        <v>0.15</v>
      </c>
      <c r="M52" s="1">
        <f>IFERROR(VLOOKUP(A52:A143,'280726 ph.k.'!$A$2:$S$62,19,FALSE),"")</f>
        <v>0</v>
      </c>
      <c r="N52" s="1">
        <f t="shared" si="3"/>
        <v>0.15</v>
      </c>
      <c r="O52" s="1">
        <f>IFERROR(VLOOKUP(A52:A143,'280726 ph.k.'!$A$2:$N$62,14,FALSE),"")</f>
        <v>0</v>
      </c>
      <c r="P52" s="17">
        <f t="shared" si="15"/>
        <v>0</v>
      </c>
      <c r="Q52" s="1">
        <v>0</v>
      </c>
      <c r="R52" s="1">
        <v>0</v>
      </c>
      <c r="S52" s="17">
        <f t="shared" si="17"/>
        <v>0</v>
      </c>
      <c r="T52" s="1">
        <v>0</v>
      </c>
      <c r="U52" s="1">
        <v>0</v>
      </c>
      <c r="V52" s="17">
        <f t="shared" si="16"/>
        <v>0</v>
      </c>
      <c r="W52" s="1"/>
      <c r="X52" s="1">
        <v>0</v>
      </c>
      <c r="Y52" s="34">
        <f t="shared" si="4"/>
        <v>0.15</v>
      </c>
      <c r="Z52" s="20">
        <f t="shared" si="5"/>
        <v>76.199039999999997</v>
      </c>
      <c r="AA52" s="34">
        <f t="shared" si="6"/>
        <v>0</v>
      </c>
      <c r="AB52" s="2">
        <f t="shared" si="7"/>
        <v>0</v>
      </c>
      <c r="AC52" s="1">
        <v>0</v>
      </c>
      <c r="AD52" s="1">
        <v>0</v>
      </c>
      <c r="AE52" s="1">
        <v>10</v>
      </c>
      <c r="AF52" s="1">
        <v>9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</row>
    <row r="53" spans="1:68" x14ac:dyDescent="0.2">
      <c r="A53" s="1">
        <v>509</v>
      </c>
      <c r="B53" s="1" t="s">
        <v>141</v>
      </c>
      <c r="C53" s="1">
        <v>96</v>
      </c>
      <c r="D53" s="1">
        <v>677</v>
      </c>
      <c r="E53" s="1" t="s">
        <v>64</v>
      </c>
      <c r="F53" s="1">
        <v>690</v>
      </c>
      <c r="G53" s="1" t="s">
        <v>101</v>
      </c>
      <c r="H53" s="2">
        <v>5.2915999999999999</v>
      </c>
      <c r="I53" s="2">
        <v>507.99360000000001</v>
      </c>
      <c r="J53" s="14">
        <f t="shared" si="1"/>
        <v>0</v>
      </c>
      <c r="K53" s="15">
        <f t="shared" si="2"/>
        <v>0</v>
      </c>
      <c r="L53" s="1">
        <v>0.15</v>
      </c>
      <c r="M53" s="1">
        <f>IFERROR(VLOOKUP(A53:A144,'280726 ph.k.'!$A$2:$S$62,19,FALSE),"")</f>
        <v>0</v>
      </c>
      <c r="N53" s="1">
        <f t="shared" si="3"/>
        <v>0.15</v>
      </c>
      <c r="O53" s="1">
        <f>IFERROR(VLOOKUP(A53:A144,'280726 ph.k.'!$A$2:$N$62,14,FALSE),"")</f>
        <v>0</v>
      </c>
      <c r="P53" s="17">
        <f t="shared" si="15"/>
        <v>0</v>
      </c>
      <c r="Q53" s="1">
        <v>0</v>
      </c>
      <c r="R53" s="1">
        <v>0</v>
      </c>
      <c r="S53" s="17">
        <f t="shared" si="17"/>
        <v>0</v>
      </c>
      <c r="T53" s="1">
        <v>0</v>
      </c>
      <c r="U53" s="1">
        <v>0</v>
      </c>
      <c r="V53" s="17">
        <f t="shared" si="16"/>
        <v>0</v>
      </c>
      <c r="W53" s="1"/>
      <c r="X53" s="1">
        <v>0</v>
      </c>
      <c r="Y53" s="34">
        <f t="shared" si="4"/>
        <v>0.15</v>
      </c>
      <c r="Z53" s="20">
        <f t="shared" si="5"/>
        <v>76.199039999999997</v>
      </c>
      <c r="AA53" s="34">
        <f t="shared" si="6"/>
        <v>0</v>
      </c>
      <c r="AB53" s="2">
        <f t="shared" si="7"/>
        <v>0</v>
      </c>
      <c r="AC53" s="1">
        <v>0</v>
      </c>
      <c r="AD53" s="1">
        <v>0</v>
      </c>
      <c r="AE53" s="1">
        <v>14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</row>
    <row r="54" spans="1:68" x14ac:dyDescent="0.2">
      <c r="A54" s="1">
        <v>526</v>
      </c>
      <c r="B54" s="1" t="s">
        <v>144</v>
      </c>
      <c r="C54" s="1">
        <v>96</v>
      </c>
      <c r="D54" s="1">
        <v>677</v>
      </c>
      <c r="E54" s="1" t="s">
        <v>64</v>
      </c>
      <c r="F54" s="1">
        <v>690</v>
      </c>
      <c r="G54" s="1" t="s">
        <v>101</v>
      </c>
      <c r="H54" s="2">
        <v>5.2915999999999999</v>
      </c>
      <c r="I54" s="2">
        <v>507.99360000000001</v>
      </c>
      <c r="J54" s="14">
        <f t="shared" si="1"/>
        <v>0</v>
      </c>
      <c r="K54" s="15">
        <f t="shared" si="2"/>
        <v>0</v>
      </c>
      <c r="L54" s="1">
        <v>0.12</v>
      </c>
      <c r="M54" s="1">
        <f>IFERROR(VLOOKUP(A54:A145,'280726 ph.k.'!$A$2:$S$62,19,FALSE),"")</f>
        <v>0</v>
      </c>
      <c r="N54" s="1">
        <f t="shared" si="3"/>
        <v>0.12</v>
      </c>
      <c r="O54" s="1">
        <f>IFERROR(VLOOKUP(A54:A145,'280726 ph.k.'!$A$2:$N$62,14,FALSE),"")</f>
        <v>0</v>
      </c>
      <c r="P54" s="17">
        <f t="shared" si="15"/>
        <v>0</v>
      </c>
      <c r="Q54" s="1">
        <v>0</v>
      </c>
      <c r="R54" s="1">
        <v>0</v>
      </c>
      <c r="S54" s="17">
        <f t="shared" si="17"/>
        <v>0</v>
      </c>
      <c r="T54" s="1">
        <v>0</v>
      </c>
      <c r="U54" s="1">
        <v>0</v>
      </c>
      <c r="V54" s="17">
        <f t="shared" si="16"/>
        <v>0</v>
      </c>
      <c r="W54" s="1"/>
      <c r="X54" s="1">
        <v>0</v>
      </c>
      <c r="Y54" s="34">
        <f t="shared" si="4"/>
        <v>0.12</v>
      </c>
      <c r="Z54" s="20">
        <f t="shared" si="5"/>
        <v>60.959232</v>
      </c>
      <c r="AA54" s="34">
        <f t="shared" si="6"/>
        <v>0</v>
      </c>
      <c r="AB54" s="2">
        <f t="shared" si="7"/>
        <v>0</v>
      </c>
      <c r="AC54" s="1">
        <v>0</v>
      </c>
      <c r="AD54" s="1">
        <v>0</v>
      </c>
      <c r="AE54" s="1">
        <v>12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</row>
    <row r="55" spans="1:68" x14ac:dyDescent="0.2">
      <c r="A55" s="1">
        <v>510</v>
      </c>
      <c r="B55" s="1" t="s">
        <v>146</v>
      </c>
      <c r="C55" s="1">
        <v>96</v>
      </c>
      <c r="D55" s="1">
        <v>677</v>
      </c>
      <c r="E55" s="1" t="s">
        <v>64</v>
      </c>
      <c r="F55" s="1">
        <v>690</v>
      </c>
      <c r="G55" s="1" t="s">
        <v>101</v>
      </c>
      <c r="H55" s="2">
        <v>5.2915999999999999</v>
      </c>
      <c r="I55" s="2">
        <v>507.99360000000001</v>
      </c>
      <c r="J55" s="14">
        <f t="shared" si="1"/>
        <v>0</v>
      </c>
      <c r="K55" s="15">
        <f t="shared" si="2"/>
        <v>0</v>
      </c>
      <c r="L55" s="1">
        <v>0.11</v>
      </c>
      <c r="M55" s="1">
        <f>IFERROR(VLOOKUP(A55:A146,'280726 ph.k.'!$A$2:$S$62,19,FALSE),"")</f>
        <v>0</v>
      </c>
      <c r="N55" s="1">
        <f t="shared" si="3"/>
        <v>0.11</v>
      </c>
      <c r="O55" s="1">
        <f>IFERROR(VLOOKUP(A55:A146,'280726 ph.k.'!$A$2:$N$62,14,FALSE),"")</f>
        <v>0</v>
      </c>
      <c r="P55" s="17">
        <f t="shared" si="15"/>
        <v>0</v>
      </c>
      <c r="Q55" s="1">
        <v>0</v>
      </c>
      <c r="R55" s="1">
        <v>0</v>
      </c>
      <c r="S55" s="17">
        <f t="shared" si="17"/>
        <v>0</v>
      </c>
      <c r="T55" s="1">
        <v>0</v>
      </c>
      <c r="U55" s="1">
        <v>0</v>
      </c>
      <c r="V55" s="17">
        <f t="shared" si="16"/>
        <v>0</v>
      </c>
      <c r="W55" s="1"/>
      <c r="X55" s="1">
        <v>0</v>
      </c>
      <c r="Y55" s="34">
        <f t="shared" si="4"/>
        <v>0.11</v>
      </c>
      <c r="Z55" s="20">
        <f t="shared" si="5"/>
        <v>55.879296000000004</v>
      </c>
      <c r="AA55" s="34">
        <f t="shared" si="6"/>
        <v>0</v>
      </c>
      <c r="AB55" s="2">
        <f t="shared" si="7"/>
        <v>0</v>
      </c>
      <c r="AC55" s="1">
        <v>0</v>
      </c>
      <c r="AD55" s="1">
        <v>0</v>
      </c>
      <c r="AE55" s="1">
        <v>10</v>
      </c>
      <c r="AF55" s="1">
        <v>1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</row>
    <row r="56" spans="1:68" x14ac:dyDescent="0.2">
      <c r="A56" s="1">
        <v>514</v>
      </c>
      <c r="B56" s="1" t="s">
        <v>147</v>
      </c>
      <c r="C56" s="1">
        <v>96</v>
      </c>
      <c r="D56" s="1">
        <v>677</v>
      </c>
      <c r="E56" s="1" t="s">
        <v>64</v>
      </c>
      <c r="F56" s="1">
        <v>690</v>
      </c>
      <c r="G56" s="1" t="s">
        <v>101</v>
      </c>
      <c r="H56" s="2">
        <v>5.2915999999999999</v>
      </c>
      <c r="I56" s="2">
        <v>507.99360000000001</v>
      </c>
      <c r="J56" s="14">
        <f t="shared" si="1"/>
        <v>0</v>
      </c>
      <c r="K56" s="15">
        <f t="shared" si="2"/>
        <v>0</v>
      </c>
      <c r="L56" s="1">
        <v>0.1</v>
      </c>
      <c r="M56" s="1">
        <f>IFERROR(VLOOKUP(A56:A147,'280726 ph.k.'!$A$2:$S$62,19,FALSE),"")</f>
        <v>0</v>
      </c>
      <c r="N56" s="1">
        <f t="shared" si="3"/>
        <v>0.1</v>
      </c>
      <c r="O56" s="1">
        <f>IFERROR(VLOOKUP(A56:A147,'280726 ph.k.'!$A$2:$N$62,14,FALSE),"")</f>
        <v>0</v>
      </c>
      <c r="P56" s="17">
        <f t="shared" si="15"/>
        <v>0</v>
      </c>
      <c r="Q56" s="1">
        <v>0</v>
      </c>
      <c r="R56" s="1">
        <v>0</v>
      </c>
      <c r="S56" s="17">
        <f t="shared" si="17"/>
        <v>0</v>
      </c>
      <c r="T56" s="1">
        <v>0</v>
      </c>
      <c r="U56" s="1">
        <v>0</v>
      </c>
      <c r="V56" s="17">
        <f t="shared" si="16"/>
        <v>0</v>
      </c>
      <c r="W56" s="1"/>
      <c r="X56" s="1">
        <v>0</v>
      </c>
      <c r="Y56" s="34">
        <f t="shared" si="4"/>
        <v>0.1</v>
      </c>
      <c r="Z56" s="20">
        <f t="shared" si="5"/>
        <v>50.799360000000007</v>
      </c>
      <c r="AA56" s="34">
        <f t="shared" si="6"/>
        <v>0</v>
      </c>
      <c r="AB56" s="2">
        <f t="shared" si="7"/>
        <v>0</v>
      </c>
      <c r="AC56" s="1">
        <v>0</v>
      </c>
      <c r="AD56" s="1">
        <v>0</v>
      </c>
      <c r="AE56" s="1">
        <v>5</v>
      </c>
      <c r="AF56" s="1">
        <v>10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</row>
    <row r="57" spans="1:68" x14ac:dyDescent="0.2">
      <c r="A57" s="1">
        <v>560</v>
      </c>
      <c r="B57" s="1" t="s">
        <v>133</v>
      </c>
      <c r="C57" s="1">
        <v>96</v>
      </c>
      <c r="D57" s="1">
        <v>677</v>
      </c>
      <c r="E57" s="1" t="s">
        <v>64</v>
      </c>
      <c r="F57" s="1">
        <v>690</v>
      </c>
      <c r="G57" s="1" t="s">
        <v>101</v>
      </c>
      <c r="H57" s="2">
        <v>5.2915999999999999</v>
      </c>
      <c r="I57" s="2">
        <v>507.99360000000001</v>
      </c>
      <c r="J57" s="14">
        <f t="shared" si="1"/>
        <v>0</v>
      </c>
      <c r="K57" s="15">
        <f t="shared" si="2"/>
        <v>0</v>
      </c>
      <c r="L57" s="1">
        <v>0.08</v>
      </c>
      <c r="M57" s="1">
        <f>IFERROR(VLOOKUP(A57:A148,'280726 ph.k.'!$A$2:$S$62,19,FALSE),"")</f>
        <v>0</v>
      </c>
      <c r="N57" s="1">
        <f t="shared" si="3"/>
        <v>0.08</v>
      </c>
      <c r="O57" s="1">
        <f>IFERROR(VLOOKUP(A57:A148,'280726 ph.k.'!$A$2:$N$62,14,FALSE),"")</f>
        <v>0</v>
      </c>
      <c r="P57" s="17">
        <f t="shared" si="15"/>
        <v>0</v>
      </c>
      <c r="Q57" s="1">
        <v>0</v>
      </c>
      <c r="R57" s="1">
        <v>0</v>
      </c>
      <c r="S57" s="17">
        <f t="shared" si="17"/>
        <v>0</v>
      </c>
      <c r="T57" s="1">
        <v>0</v>
      </c>
      <c r="U57" s="1">
        <v>0</v>
      </c>
      <c r="V57" s="17">
        <f t="shared" si="16"/>
        <v>0</v>
      </c>
      <c r="W57" s="1"/>
      <c r="X57" s="1">
        <v>0</v>
      </c>
      <c r="Y57" s="34">
        <f t="shared" si="4"/>
        <v>0.08</v>
      </c>
      <c r="Z57" s="20">
        <f t="shared" si="5"/>
        <v>40.639488</v>
      </c>
      <c r="AA57" s="34">
        <f t="shared" si="6"/>
        <v>0</v>
      </c>
      <c r="AB57" s="2">
        <f t="shared" si="7"/>
        <v>0</v>
      </c>
      <c r="AC57" s="1">
        <v>0</v>
      </c>
      <c r="AD57" s="1">
        <v>0</v>
      </c>
      <c r="AE57" s="1">
        <v>8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</row>
    <row r="58" spans="1:68" x14ac:dyDescent="0.2">
      <c r="A58" s="1">
        <v>566</v>
      </c>
      <c r="B58" s="1" t="s">
        <v>140</v>
      </c>
      <c r="C58" s="1">
        <v>96</v>
      </c>
      <c r="D58" s="1">
        <v>677</v>
      </c>
      <c r="E58" s="1" t="s">
        <v>64</v>
      </c>
      <c r="F58" s="1">
        <v>690</v>
      </c>
      <c r="G58" s="1" t="s">
        <v>101</v>
      </c>
      <c r="H58" s="2">
        <v>5.2915999999999999</v>
      </c>
      <c r="I58" s="2">
        <v>507.99360000000001</v>
      </c>
      <c r="J58" s="14">
        <f t="shared" si="1"/>
        <v>0</v>
      </c>
      <c r="K58" s="15">
        <f t="shared" si="2"/>
        <v>0</v>
      </c>
      <c r="L58" s="1">
        <v>0.08</v>
      </c>
      <c r="M58" s="1">
        <f>IFERROR(VLOOKUP(A58:A149,'280726 ph.k.'!$A$2:$S$62,19,FALSE),"")</f>
        <v>0</v>
      </c>
      <c r="N58" s="1">
        <f t="shared" si="3"/>
        <v>0.08</v>
      </c>
      <c r="O58" s="1">
        <f>IFERROR(VLOOKUP(A58:A149,'280726 ph.k.'!$A$2:$N$62,14,FALSE),"")</f>
        <v>0</v>
      </c>
      <c r="P58" s="17">
        <f t="shared" si="15"/>
        <v>0</v>
      </c>
      <c r="Q58" s="1">
        <v>0</v>
      </c>
      <c r="R58" s="1">
        <v>0</v>
      </c>
      <c r="S58" s="17">
        <f t="shared" si="17"/>
        <v>0</v>
      </c>
      <c r="T58" s="1">
        <v>0</v>
      </c>
      <c r="U58" s="1">
        <v>0</v>
      </c>
      <c r="V58" s="17">
        <f t="shared" si="16"/>
        <v>0</v>
      </c>
      <c r="W58" s="1"/>
      <c r="X58" s="1">
        <v>0</v>
      </c>
      <c r="Y58" s="34">
        <f t="shared" si="4"/>
        <v>0.08</v>
      </c>
      <c r="Z58" s="20">
        <f t="shared" si="5"/>
        <v>40.639488</v>
      </c>
      <c r="AA58" s="34">
        <f t="shared" si="6"/>
        <v>0</v>
      </c>
      <c r="AB58" s="2">
        <f t="shared" si="7"/>
        <v>0</v>
      </c>
      <c r="AC58" s="1">
        <v>0</v>
      </c>
      <c r="AD58" s="1">
        <v>0</v>
      </c>
      <c r="AE58" s="1">
        <v>8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</row>
    <row r="59" spans="1:68" x14ac:dyDescent="0.2">
      <c r="A59" s="1">
        <v>85</v>
      </c>
      <c r="B59" s="1" t="s">
        <v>148</v>
      </c>
      <c r="C59" s="1">
        <v>192</v>
      </c>
      <c r="D59" s="1">
        <v>677</v>
      </c>
      <c r="E59" s="1" t="s">
        <v>64</v>
      </c>
      <c r="F59" s="1">
        <v>1</v>
      </c>
      <c r="G59" s="1" t="s">
        <v>149</v>
      </c>
      <c r="H59" s="2">
        <v>6</v>
      </c>
      <c r="I59" s="2">
        <v>1152</v>
      </c>
      <c r="J59" s="14" t="e">
        <f t="shared" si="1"/>
        <v>#VALUE!</v>
      </c>
      <c r="K59" s="15" t="e">
        <f t="shared" si="2"/>
        <v>#VALUE!</v>
      </c>
      <c r="L59" s="1">
        <v>0</v>
      </c>
      <c r="M59" s="1" t="str">
        <f>IFERROR(VLOOKUP(A59:A150,'280726 ph.k.'!$A$2:$S$62,19,FALSE),"")</f>
        <v/>
      </c>
      <c r="N59" s="1" t="e">
        <f t="shared" si="3"/>
        <v>#VALUE!</v>
      </c>
      <c r="O59" s="1" t="str">
        <f>IFERROR(VLOOKUP(A59:A150,'280726 ph.k.'!$A$2:$N$62,14,FALSE),"")</f>
        <v/>
      </c>
      <c r="P59" s="17" t="e">
        <f t="shared" si="15"/>
        <v>#VALUE!</v>
      </c>
      <c r="Q59" s="1">
        <v>0</v>
      </c>
      <c r="R59" s="1">
        <v>0</v>
      </c>
      <c r="S59" s="17">
        <f t="shared" si="17"/>
        <v>0</v>
      </c>
      <c r="T59" s="1">
        <v>0</v>
      </c>
      <c r="U59" s="1">
        <v>0</v>
      </c>
      <c r="V59" s="17">
        <f t="shared" si="16"/>
        <v>0</v>
      </c>
      <c r="W59" s="1"/>
      <c r="X59" s="1">
        <v>0</v>
      </c>
      <c r="Y59" s="34" t="e">
        <f t="shared" si="4"/>
        <v>#VALUE!</v>
      </c>
      <c r="Z59" s="20" t="e">
        <f t="shared" si="5"/>
        <v>#VALUE!</v>
      </c>
      <c r="AA59" s="34" t="e">
        <f t="shared" si="6"/>
        <v>#VALUE!</v>
      </c>
      <c r="AB59" s="2" t="e">
        <f t="shared" si="7"/>
        <v>#VALUE!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</row>
    <row r="60" spans="1:68" x14ac:dyDescent="0.2">
      <c r="A60" s="1">
        <v>504</v>
      </c>
      <c r="B60" s="1" t="s">
        <v>138</v>
      </c>
      <c r="C60" s="1">
        <v>96</v>
      </c>
      <c r="D60" s="1">
        <v>677</v>
      </c>
      <c r="E60" s="1" t="s">
        <v>64</v>
      </c>
      <c r="F60" s="1">
        <v>690</v>
      </c>
      <c r="G60" s="1" t="s">
        <v>101</v>
      </c>
      <c r="H60" s="2">
        <v>5.2915999999999999</v>
      </c>
      <c r="I60" s="2">
        <v>507.99360000000001</v>
      </c>
      <c r="J60" s="14">
        <f t="shared" si="1"/>
        <v>0</v>
      </c>
      <c r="K60" s="15">
        <f t="shared" si="2"/>
        <v>0</v>
      </c>
      <c r="L60" s="1">
        <v>0</v>
      </c>
      <c r="M60" s="1">
        <f>IFERROR(VLOOKUP(A60:A151,'280726 ph.k.'!$A$2:$S$62,19,FALSE),"")</f>
        <v>0</v>
      </c>
      <c r="N60" s="1">
        <f t="shared" si="3"/>
        <v>0</v>
      </c>
      <c r="O60" s="1">
        <f>IFERROR(VLOOKUP(A60:A151,'280726 ph.k.'!$A$2:$N$62,14,FALSE),"")</f>
        <v>0</v>
      </c>
      <c r="P60" s="17">
        <f t="shared" si="15"/>
        <v>0</v>
      </c>
      <c r="Q60" s="1">
        <v>0</v>
      </c>
      <c r="R60" s="1">
        <v>0</v>
      </c>
      <c r="S60" s="17">
        <f t="shared" si="17"/>
        <v>0</v>
      </c>
      <c r="T60" s="1">
        <v>0</v>
      </c>
      <c r="U60" s="1">
        <v>0</v>
      </c>
      <c r="V60" s="17">
        <f t="shared" si="16"/>
        <v>0</v>
      </c>
      <c r="W60" s="1"/>
      <c r="X60" s="1">
        <v>0</v>
      </c>
      <c r="Y60" s="34">
        <f t="shared" si="4"/>
        <v>0</v>
      </c>
      <c r="Z60" s="20">
        <f t="shared" si="5"/>
        <v>0</v>
      </c>
      <c r="AA60" s="34">
        <f t="shared" si="6"/>
        <v>0</v>
      </c>
      <c r="AB60" s="2">
        <f t="shared" si="7"/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</row>
    <row r="61" spans="1:68" x14ac:dyDescent="0.2">
      <c r="A61" s="1">
        <v>506</v>
      </c>
      <c r="B61" s="1" t="s">
        <v>139</v>
      </c>
      <c r="C61" s="1">
        <v>96</v>
      </c>
      <c r="D61" s="1">
        <v>677</v>
      </c>
      <c r="E61" s="1" t="s">
        <v>64</v>
      </c>
      <c r="F61" s="1">
        <v>690</v>
      </c>
      <c r="G61" s="1" t="s">
        <v>101</v>
      </c>
      <c r="H61" s="2">
        <v>5.2915999999999999</v>
      </c>
      <c r="I61" s="2">
        <v>507.99360000000001</v>
      </c>
      <c r="J61" s="14">
        <f t="shared" si="1"/>
        <v>0</v>
      </c>
      <c r="K61" s="15">
        <f t="shared" si="2"/>
        <v>0</v>
      </c>
      <c r="L61" s="1">
        <v>0</v>
      </c>
      <c r="M61" s="1">
        <f>IFERROR(VLOOKUP(A61:A152,'280726 ph.k.'!$A$2:$S$62,19,FALSE),"")</f>
        <v>0</v>
      </c>
      <c r="N61" s="1">
        <f t="shared" si="3"/>
        <v>0</v>
      </c>
      <c r="O61" s="1">
        <f>IFERROR(VLOOKUP(A61:A152,'280726 ph.k.'!$A$2:$N$62,14,FALSE),"")</f>
        <v>0</v>
      </c>
      <c r="P61" s="17">
        <f t="shared" si="15"/>
        <v>0</v>
      </c>
      <c r="Q61" s="1">
        <v>0</v>
      </c>
      <c r="R61" s="1">
        <v>0</v>
      </c>
      <c r="S61" s="17">
        <f t="shared" si="17"/>
        <v>0</v>
      </c>
      <c r="T61" s="1">
        <v>0</v>
      </c>
      <c r="U61" s="1">
        <v>0</v>
      </c>
      <c r="V61" s="17">
        <f t="shared" si="16"/>
        <v>0</v>
      </c>
      <c r="W61" s="1"/>
      <c r="X61" s="1">
        <v>0</v>
      </c>
      <c r="Y61" s="34">
        <f t="shared" si="4"/>
        <v>0</v>
      </c>
      <c r="Z61" s="20">
        <f t="shared" si="5"/>
        <v>0</v>
      </c>
      <c r="AA61" s="34">
        <f t="shared" si="6"/>
        <v>0</v>
      </c>
      <c r="AB61" s="2">
        <f t="shared" si="7"/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</row>
    <row r="62" spans="1:68" x14ac:dyDescent="0.2">
      <c r="A62" s="1">
        <v>511</v>
      </c>
      <c r="B62" s="1" t="s">
        <v>150</v>
      </c>
      <c r="C62" s="1">
        <v>96</v>
      </c>
      <c r="D62" s="1">
        <v>677</v>
      </c>
      <c r="E62" s="1" t="s">
        <v>64</v>
      </c>
      <c r="F62" s="1">
        <v>690</v>
      </c>
      <c r="G62" s="1" t="s">
        <v>101</v>
      </c>
      <c r="H62" s="2">
        <v>5.2915999999999999</v>
      </c>
      <c r="I62" s="2">
        <v>507.99360000000001</v>
      </c>
      <c r="J62" s="14" t="e">
        <f t="shared" si="1"/>
        <v>#VALUE!</v>
      </c>
      <c r="K62" s="15" t="e">
        <f t="shared" si="2"/>
        <v>#VALUE!</v>
      </c>
      <c r="L62" s="1">
        <v>0</v>
      </c>
      <c r="M62" s="1" t="str">
        <f>IFERROR(VLOOKUP(A62:A153,'280726 ph.k.'!$A$2:$S$62,19,FALSE),"")</f>
        <v/>
      </c>
      <c r="N62" s="1" t="e">
        <f t="shared" si="3"/>
        <v>#VALUE!</v>
      </c>
      <c r="O62" s="1" t="str">
        <f>IFERROR(VLOOKUP(A62:A153,'280726 ph.k.'!$A$2:$N$62,14,FALSE),"")</f>
        <v/>
      </c>
      <c r="P62" s="17" t="e">
        <f t="shared" si="15"/>
        <v>#VALUE!</v>
      </c>
      <c r="Q62" s="1">
        <v>0</v>
      </c>
      <c r="R62" s="1">
        <v>0</v>
      </c>
      <c r="S62" s="17">
        <f t="shared" si="17"/>
        <v>0</v>
      </c>
      <c r="T62" s="1">
        <v>0</v>
      </c>
      <c r="U62" s="1">
        <v>0</v>
      </c>
      <c r="V62" s="17">
        <f t="shared" si="16"/>
        <v>0</v>
      </c>
      <c r="W62" s="1"/>
      <c r="X62" s="1">
        <v>0</v>
      </c>
      <c r="Y62" s="34" t="e">
        <f t="shared" si="4"/>
        <v>#VALUE!</v>
      </c>
      <c r="Z62" s="20" t="e">
        <f t="shared" si="5"/>
        <v>#VALUE!</v>
      </c>
      <c r="AA62" s="34" t="e">
        <f t="shared" si="6"/>
        <v>#VALUE!</v>
      </c>
      <c r="AB62" s="2" t="e">
        <f t="shared" si="7"/>
        <v>#VALUE!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</row>
    <row r="63" spans="1:68" x14ac:dyDescent="0.2">
      <c r="A63" s="1">
        <v>512</v>
      </c>
      <c r="B63" s="1" t="s">
        <v>151</v>
      </c>
      <c r="C63" s="1">
        <v>96</v>
      </c>
      <c r="D63" s="1">
        <v>677</v>
      </c>
      <c r="E63" s="1" t="s">
        <v>64</v>
      </c>
      <c r="F63" s="1">
        <v>690</v>
      </c>
      <c r="G63" s="1" t="s">
        <v>101</v>
      </c>
      <c r="H63" s="2">
        <v>5.2915999999999999</v>
      </c>
      <c r="I63" s="2">
        <v>507.99360000000001</v>
      </c>
      <c r="J63" s="14" t="e">
        <f t="shared" si="1"/>
        <v>#VALUE!</v>
      </c>
      <c r="K63" s="15" t="e">
        <f t="shared" si="2"/>
        <v>#VALUE!</v>
      </c>
      <c r="L63" s="1">
        <v>0</v>
      </c>
      <c r="M63" s="1" t="str">
        <f>IFERROR(VLOOKUP(A63:A154,'280726 ph.k.'!$A$2:$S$62,19,FALSE),"")</f>
        <v/>
      </c>
      <c r="N63" s="1" t="e">
        <f t="shared" si="3"/>
        <v>#VALUE!</v>
      </c>
      <c r="O63" s="1" t="str">
        <f>IFERROR(VLOOKUP(A63:A154,'280726 ph.k.'!$A$2:$N$62,14,FALSE),"")</f>
        <v/>
      </c>
      <c r="P63" s="17" t="e">
        <f t="shared" si="15"/>
        <v>#VALUE!</v>
      </c>
      <c r="Q63" s="1">
        <v>0</v>
      </c>
      <c r="R63" s="1">
        <v>0</v>
      </c>
      <c r="S63" s="17">
        <f t="shared" si="17"/>
        <v>0</v>
      </c>
      <c r="T63" s="1">
        <v>0</v>
      </c>
      <c r="U63" s="1">
        <v>0</v>
      </c>
      <c r="V63" s="17">
        <f t="shared" si="16"/>
        <v>0</v>
      </c>
      <c r="W63" s="1"/>
      <c r="X63" s="1">
        <v>0</v>
      </c>
      <c r="Y63" s="34" t="e">
        <f t="shared" si="4"/>
        <v>#VALUE!</v>
      </c>
      <c r="Z63" s="20" t="e">
        <f t="shared" si="5"/>
        <v>#VALUE!</v>
      </c>
      <c r="AA63" s="34" t="e">
        <f t="shared" si="6"/>
        <v>#VALUE!</v>
      </c>
      <c r="AB63" s="2" t="e">
        <f t="shared" si="7"/>
        <v>#VALUE!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</row>
    <row r="64" spans="1:68" x14ac:dyDescent="0.2">
      <c r="A64" s="1">
        <v>516</v>
      </c>
      <c r="B64" s="1" t="s">
        <v>153</v>
      </c>
      <c r="C64" s="1">
        <v>96</v>
      </c>
      <c r="D64" s="1">
        <v>677</v>
      </c>
      <c r="E64" s="1" t="s">
        <v>64</v>
      </c>
      <c r="F64" s="1">
        <v>690</v>
      </c>
      <c r="G64" s="1" t="s">
        <v>101</v>
      </c>
      <c r="H64" s="2">
        <v>5.2915999999999999</v>
      </c>
      <c r="I64" s="2">
        <v>507.99360000000001</v>
      </c>
      <c r="J64" s="14" t="e">
        <f t="shared" si="1"/>
        <v>#VALUE!</v>
      </c>
      <c r="K64" s="15" t="e">
        <f t="shared" si="2"/>
        <v>#VALUE!</v>
      </c>
      <c r="L64" s="1">
        <v>0</v>
      </c>
      <c r="M64" s="1" t="str">
        <f>IFERROR(VLOOKUP(A64:A155,'280726 ph.k.'!$A$2:$S$62,19,FALSE),"")</f>
        <v/>
      </c>
      <c r="N64" s="1" t="e">
        <f t="shared" si="3"/>
        <v>#VALUE!</v>
      </c>
      <c r="O64" s="1" t="str">
        <f>IFERROR(VLOOKUP(A64:A155,'280726 ph.k.'!$A$2:$N$62,14,FALSE),"")</f>
        <v/>
      </c>
      <c r="P64" s="17" t="e">
        <f t="shared" si="15"/>
        <v>#VALUE!</v>
      </c>
      <c r="Q64" s="1">
        <v>0</v>
      </c>
      <c r="R64" s="1">
        <v>0</v>
      </c>
      <c r="S64" s="17">
        <f t="shared" si="17"/>
        <v>0</v>
      </c>
      <c r="T64" s="1">
        <v>0</v>
      </c>
      <c r="U64" s="1">
        <v>0</v>
      </c>
      <c r="V64" s="17">
        <f t="shared" si="16"/>
        <v>0</v>
      </c>
      <c r="W64" s="1"/>
      <c r="X64" s="1">
        <v>0</v>
      </c>
      <c r="Y64" s="34" t="e">
        <f t="shared" si="4"/>
        <v>#VALUE!</v>
      </c>
      <c r="Z64" s="20" t="e">
        <f t="shared" si="5"/>
        <v>#VALUE!</v>
      </c>
      <c r="AA64" s="34" t="e">
        <f t="shared" si="6"/>
        <v>#VALUE!</v>
      </c>
      <c r="AB64" s="2" t="e">
        <f t="shared" si="7"/>
        <v>#VALUE!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</row>
    <row r="65" spans="1:68" x14ac:dyDescent="0.2">
      <c r="A65" s="1">
        <v>543</v>
      </c>
      <c r="B65" s="1" t="s">
        <v>154</v>
      </c>
      <c r="C65" s="1">
        <v>96</v>
      </c>
      <c r="D65" s="1">
        <v>677</v>
      </c>
      <c r="E65" s="1" t="s">
        <v>64</v>
      </c>
      <c r="F65" s="1">
        <v>690</v>
      </c>
      <c r="G65" s="1" t="s">
        <v>101</v>
      </c>
      <c r="H65" s="2">
        <v>6.8646000000000003</v>
      </c>
      <c r="I65" s="2">
        <v>659.00160000000005</v>
      </c>
      <c r="J65" s="14" t="e">
        <f t="shared" si="1"/>
        <v>#VALUE!</v>
      </c>
      <c r="K65" s="15" t="e">
        <f t="shared" si="2"/>
        <v>#VALUE!</v>
      </c>
      <c r="L65" s="1">
        <v>0</v>
      </c>
      <c r="M65" s="1" t="str">
        <f>IFERROR(VLOOKUP(A65:A156,'280726 ph.k.'!$A$2:$S$62,19,FALSE),"")</f>
        <v/>
      </c>
      <c r="N65" s="1" t="e">
        <f t="shared" si="3"/>
        <v>#VALUE!</v>
      </c>
      <c r="O65" s="1" t="str">
        <f>IFERROR(VLOOKUP(A65:A156,'280726 ph.k.'!$A$2:$N$62,14,FALSE),"")</f>
        <v/>
      </c>
      <c r="P65" s="17" t="e">
        <f t="shared" si="15"/>
        <v>#VALUE!</v>
      </c>
      <c r="Q65" s="1">
        <v>0</v>
      </c>
      <c r="R65" s="1">
        <v>0</v>
      </c>
      <c r="S65" s="17">
        <f t="shared" si="17"/>
        <v>0</v>
      </c>
      <c r="T65" s="1">
        <v>0</v>
      </c>
      <c r="U65" s="1">
        <v>0</v>
      </c>
      <c r="V65" s="17">
        <f t="shared" si="16"/>
        <v>0</v>
      </c>
      <c r="W65" s="1"/>
      <c r="X65" s="1">
        <v>0</v>
      </c>
      <c r="Y65" s="34" t="e">
        <f t="shared" si="4"/>
        <v>#VALUE!</v>
      </c>
      <c r="Z65" s="20" t="e">
        <f t="shared" si="5"/>
        <v>#VALUE!</v>
      </c>
      <c r="AA65" s="34" t="e">
        <f t="shared" si="6"/>
        <v>#VALUE!</v>
      </c>
      <c r="AB65" s="2" t="e">
        <f t="shared" si="7"/>
        <v>#VALUE!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</row>
    <row r="66" spans="1:68" x14ac:dyDescent="0.2">
      <c r="A66" s="1">
        <v>563</v>
      </c>
      <c r="B66" s="1" t="s">
        <v>155</v>
      </c>
      <c r="C66" s="1">
        <v>96</v>
      </c>
      <c r="D66" s="1">
        <v>677</v>
      </c>
      <c r="E66" s="1" t="s">
        <v>64</v>
      </c>
      <c r="F66" s="1">
        <v>690</v>
      </c>
      <c r="G66" s="1" t="s">
        <v>101</v>
      </c>
      <c r="H66" s="2">
        <v>5.2915999999999999</v>
      </c>
      <c r="I66" s="2">
        <v>507.99360000000001</v>
      </c>
      <c r="J66" s="14" t="e">
        <f t="shared" si="1"/>
        <v>#VALUE!</v>
      </c>
      <c r="K66" s="15" t="e">
        <f t="shared" si="2"/>
        <v>#VALUE!</v>
      </c>
      <c r="L66" s="1">
        <v>0</v>
      </c>
      <c r="M66" s="1" t="str">
        <f>IFERROR(VLOOKUP(A66:A157,'280726 ph.k.'!$A$2:$S$62,19,FALSE),"")</f>
        <v/>
      </c>
      <c r="N66" s="1" t="e">
        <f t="shared" si="3"/>
        <v>#VALUE!</v>
      </c>
      <c r="O66" s="1" t="str">
        <f>IFERROR(VLOOKUP(A66:A157,'280726 ph.k.'!$A$2:$N$62,14,FALSE),"")</f>
        <v/>
      </c>
      <c r="P66" s="17" t="e">
        <f t="shared" si="15"/>
        <v>#VALUE!</v>
      </c>
      <c r="Q66" s="1">
        <v>0</v>
      </c>
      <c r="R66" s="1">
        <v>0</v>
      </c>
      <c r="S66" s="17">
        <f t="shared" si="17"/>
        <v>0</v>
      </c>
      <c r="T66" s="1">
        <v>0</v>
      </c>
      <c r="U66" s="1">
        <v>0</v>
      </c>
      <c r="V66" s="17">
        <f t="shared" si="16"/>
        <v>0</v>
      </c>
      <c r="W66" s="1"/>
      <c r="X66" s="1">
        <v>0</v>
      </c>
      <c r="Y66" s="34" t="e">
        <f t="shared" si="4"/>
        <v>#VALUE!</v>
      </c>
      <c r="Z66" s="20" t="e">
        <f t="shared" si="5"/>
        <v>#VALUE!</v>
      </c>
      <c r="AA66" s="34" t="e">
        <f t="shared" si="6"/>
        <v>#VALUE!</v>
      </c>
      <c r="AB66" s="2" t="e">
        <f t="shared" si="7"/>
        <v>#VALUE!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</row>
    <row r="67" spans="1:68" x14ac:dyDescent="0.2">
      <c r="A67" s="1">
        <v>8038</v>
      </c>
      <c r="B67" s="1" t="s">
        <v>156</v>
      </c>
      <c r="C67" s="1">
        <v>6</v>
      </c>
      <c r="D67" s="1">
        <v>677</v>
      </c>
      <c r="E67" s="1" t="s">
        <v>64</v>
      </c>
      <c r="F67" s="1">
        <v>61</v>
      </c>
      <c r="G67" s="1" t="s">
        <v>66</v>
      </c>
      <c r="H67" s="2">
        <v>77</v>
      </c>
      <c r="I67" s="2">
        <v>462</v>
      </c>
      <c r="J67" s="14" t="e">
        <f t="shared" si="1"/>
        <v>#VALUE!</v>
      </c>
      <c r="K67" s="15" t="e">
        <f t="shared" si="2"/>
        <v>#VALUE!</v>
      </c>
      <c r="L67" s="1">
        <v>0</v>
      </c>
      <c r="M67" s="1" t="str">
        <f>IFERROR(VLOOKUP(A67:A158,'280726 ph.k.'!$A$2:$S$62,19,FALSE),"")</f>
        <v/>
      </c>
      <c r="N67" s="1" t="e">
        <f t="shared" si="3"/>
        <v>#VALUE!</v>
      </c>
      <c r="O67" s="1" t="str">
        <f>IFERROR(VLOOKUP(A67:A158,'280726 ph.k.'!$A$2:$N$62,14,FALSE),"")</f>
        <v/>
      </c>
      <c r="P67" s="17" t="e">
        <f t="shared" si="15"/>
        <v>#VALUE!</v>
      </c>
      <c r="Q67" s="1">
        <v>0</v>
      </c>
      <c r="R67" s="1">
        <v>0</v>
      </c>
      <c r="S67" s="17">
        <f t="shared" si="17"/>
        <v>0</v>
      </c>
      <c r="T67" s="1">
        <v>0</v>
      </c>
      <c r="U67" s="1">
        <v>0</v>
      </c>
      <c r="V67" s="17">
        <f t="shared" si="16"/>
        <v>0</v>
      </c>
      <c r="W67" s="1"/>
      <c r="X67" s="1">
        <v>0</v>
      </c>
      <c r="Y67" s="34" t="e">
        <f t="shared" si="4"/>
        <v>#VALUE!</v>
      </c>
      <c r="Z67" s="20" t="e">
        <f t="shared" si="5"/>
        <v>#VALUE!</v>
      </c>
      <c r="AA67" s="34" t="e">
        <f t="shared" si="6"/>
        <v>#VALUE!</v>
      </c>
      <c r="AB67" s="2" t="e">
        <f t="shared" si="7"/>
        <v>#VALUE!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</row>
    <row r="68" spans="1:68" x14ac:dyDescent="0.2">
      <c r="A68" s="1">
        <v>9099</v>
      </c>
      <c r="B68" s="1" t="s">
        <v>77</v>
      </c>
      <c r="C68" s="1">
        <v>24</v>
      </c>
      <c r="D68" s="1">
        <v>677</v>
      </c>
      <c r="E68" s="1" t="s">
        <v>64</v>
      </c>
      <c r="F68" s="1">
        <v>999</v>
      </c>
      <c r="G68" s="1" t="s">
        <v>67</v>
      </c>
      <c r="H68" s="2">
        <v>15.6492</v>
      </c>
      <c r="I68" s="2">
        <v>375.58080000000001</v>
      </c>
      <c r="J68" s="14" t="e">
        <f t="shared" si="1"/>
        <v>#VALUE!</v>
      </c>
      <c r="K68" s="15" t="e">
        <f t="shared" si="2"/>
        <v>#VALUE!</v>
      </c>
      <c r="L68" s="1">
        <v>0</v>
      </c>
      <c r="M68" s="1" t="str">
        <f>IFERROR(VLOOKUP(A68:A159,'280726 ph.k.'!$A$2:$S$62,19,FALSE),"")</f>
        <v/>
      </c>
      <c r="N68" s="1" t="e">
        <f t="shared" si="3"/>
        <v>#VALUE!</v>
      </c>
      <c r="O68" s="1" t="str">
        <f>IFERROR(VLOOKUP(A68:A159,'280726 ph.k.'!$A$2:$N$62,14,FALSE),"")</f>
        <v/>
      </c>
      <c r="P68" s="17" t="e">
        <f t="shared" si="15"/>
        <v>#VALUE!</v>
      </c>
      <c r="Q68" s="1">
        <v>0</v>
      </c>
      <c r="R68" s="1">
        <v>0</v>
      </c>
      <c r="S68" s="17">
        <f t="shared" si="17"/>
        <v>0</v>
      </c>
      <c r="T68" s="1">
        <v>0</v>
      </c>
      <c r="U68" s="1">
        <v>0</v>
      </c>
      <c r="V68" s="17">
        <f t="shared" si="16"/>
        <v>0</v>
      </c>
      <c r="W68" s="1"/>
      <c r="X68" s="1">
        <v>0</v>
      </c>
      <c r="Y68" s="34" t="e">
        <f t="shared" si="4"/>
        <v>#VALUE!</v>
      </c>
      <c r="Z68" s="20" t="e">
        <f t="shared" si="5"/>
        <v>#VALUE!</v>
      </c>
      <c r="AA68" s="34" t="e">
        <f t="shared" si="6"/>
        <v>#VALUE!</v>
      </c>
      <c r="AB68" s="2" t="e">
        <f t="shared" si="7"/>
        <v>#VALUE!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</row>
    <row r="69" spans="1:68" x14ac:dyDescent="0.2">
      <c r="A69" s="1">
        <v>47006</v>
      </c>
      <c r="B69" s="1" t="s">
        <v>72</v>
      </c>
      <c r="C69" s="1">
        <v>24</v>
      </c>
      <c r="D69" s="1">
        <v>677</v>
      </c>
      <c r="E69" s="1" t="s">
        <v>64</v>
      </c>
      <c r="F69" s="1">
        <v>998</v>
      </c>
      <c r="G69" s="1" t="s">
        <v>73</v>
      </c>
      <c r="H69" s="2">
        <v>20.635100000000001</v>
      </c>
      <c r="I69" s="2">
        <v>495.24239999999998</v>
      </c>
      <c r="J69" s="14" t="e">
        <f t="shared" si="1"/>
        <v>#VALUE!</v>
      </c>
      <c r="K69" s="15" t="e">
        <f t="shared" si="2"/>
        <v>#VALUE!</v>
      </c>
      <c r="L69" s="1">
        <v>0</v>
      </c>
      <c r="M69" s="1" t="str">
        <f>IFERROR(VLOOKUP(A69:A160,'280726 ph.k.'!$A$2:$S$62,19,FALSE),"")</f>
        <v/>
      </c>
      <c r="N69" s="1" t="e">
        <f t="shared" si="3"/>
        <v>#VALUE!</v>
      </c>
      <c r="O69" s="1" t="str">
        <f>IFERROR(VLOOKUP(A69:A160,'280726 ph.k.'!$A$2:$N$62,14,FALSE),"")</f>
        <v/>
      </c>
      <c r="P69" s="17" t="e">
        <f t="shared" si="15"/>
        <v>#VALUE!</v>
      </c>
      <c r="Q69" s="1">
        <v>0</v>
      </c>
      <c r="R69" s="1">
        <v>0</v>
      </c>
      <c r="S69" s="17">
        <f t="shared" si="17"/>
        <v>0</v>
      </c>
      <c r="T69" s="1">
        <v>0</v>
      </c>
      <c r="U69" s="1">
        <v>0</v>
      </c>
      <c r="V69" s="17">
        <f t="shared" si="16"/>
        <v>0</v>
      </c>
      <c r="W69" s="1"/>
      <c r="X69" s="1">
        <v>0</v>
      </c>
      <c r="Y69" s="34" t="e">
        <f t="shared" si="4"/>
        <v>#VALUE!</v>
      </c>
      <c r="Z69" s="20" t="e">
        <f t="shared" si="5"/>
        <v>#VALUE!</v>
      </c>
      <c r="AA69" s="34" t="e">
        <f t="shared" si="6"/>
        <v>#VALUE!</v>
      </c>
      <c r="AB69" s="2" t="e">
        <f t="shared" si="7"/>
        <v>#VALUE!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</row>
    <row r="70" spans="1:68" x14ac:dyDescent="0.2">
      <c r="A70" s="1">
        <v>47007</v>
      </c>
      <c r="B70" s="1" t="s">
        <v>157</v>
      </c>
      <c r="C70" s="1">
        <v>12</v>
      </c>
      <c r="D70" s="1">
        <v>677</v>
      </c>
      <c r="E70" s="1" t="s">
        <v>64</v>
      </c>
      <c r="F70" s="1">
        <v>1</v>
      </c>
      <c r="G70" s="1" t="s">
        <v>149</v>
      </c>
      <c r="H70" s="2">
        <v>7.68</v>
      </c>
      <c r="I70" s="2">
        <v>92.16</v>
      </c>
      <c r="J70" s="14" t="e">
        <f t="shared" si="1"/>
        <v>#VALUE!</v>
      </c>
      <c r="K70" s="15" t="e">
        <f t="shared" si="2"/>
        <v>#VALUE!</v>
      </c>
      <c r="L70" s="1">
        <v>0</v>
      </c>
      <c r="M70" s="1" t="str">
        <f>IFERROR(VLOOKUP(A70:A161,'280726 ph.k.'!$A$2:$S$62,19,FALSE),"")</f>
        <v/>
      </c>
      <c r="N70" s="1" t="e">
        <f t="shared" si="3"/>
        <v>#VALUE!</v>
      </c>
      <c r="O70" s="1" t="str">
        <f>IFERROR(VLOOKUP(A70:A161,'280726 ph.k.'!$A$2:$N$62,14,FALSE),"")</f>
        <v/>
      </c>
      <c r="P70" s="17" t="e">
        <f t="shared" si="15"/>
        <v>#VALUE!</v>
      </c>
      <c r="Q70" s="1">
        <v>0</v>
      </c>
      <c r="R70" s="1">
        <v>0</v>
      </c>
      <c r="S70" s="17">
        <f t="shared" si="17"/>
        <v>0</v>
      </c>
      <c r="T70" s="1">
        <v>0</v>
      </c>
      <c r="U70" s="1">
        <v>0</v>
      </c>
      <c r="V70" s="17">
        <f t="shared" si="16"/>
        <v>0</v>
      </c>
      <c r="W70" s="1"/>
      <c r="X70" s="1">
        <v>0</v>
      </c>
      <c r="Y70" s="34" t="e">
        <f t="shared" si="4"/>
        <v>#VALUE!</v>
      </c>
      <c r="Z70" s="20" t="e">
        <f t="shared" si="5"/>
        <v>#VALUE!</v>
      </c>
      <c r="AA70" s="34" t="e">
        <f t="shared" si="6"/>
        <v>#VALUE!</v>
      </c>
      <c r="AB70" s="2" t="e">
        <f t="shared" si="7"/>
        <v>#VALUE!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</row>
    <row r="71" spans="1:68" x14ac:dyDescent="0.2">
      <c r="A71" s="1">
        <v>47009</v>
      </c>
      <c r="B71" s="1" t="s">
        <v>130</v>
      </c>
      <c r="C71" s="1">
        <v>12</v>
      </c>
      <c r="D71" s="1">
        <v>677</v>
      </c>
      <c r="E71" s="1" t="s">
        <v>64</v>
      </c>
      <c r="F71" s="1">
        <v>61</v>
      </c>
      <c r="G71" s="1" t="s">
        <v>66</v>
      </c>
      <c r="H71" s="2">
        <v>138.47</v>
      </c>
      <c r="I71" s="2">
        <v>1661.64</v>
      </c>
      <c r="J71" s="14" t="e">
        <f t="shared" si="1"/>
        <v>#VALUE!</v>
      </c>
      <c r="K71" s="15" t="e">
        <f t="shared" si="2"/>
        <v>#VALUE!</v>
      </c>
      <c r="L71" s="1">
        <v>0</v>
      </c>
      <c r="M71" s="1" t="str">
        <f>IFERROR(VLOOKUP(A71:A162,'280726 ph.k.'!$A$2:$S$62,19,FALSE),"")</f>
        <v/>
      </c>
      <c r="N71" s="1" t="e">
        <f t="shared" si="3"/>
        <v>#VALUE!</v>
      </c>
      <c r="O71" s="1" t="str">
        <f>IFERROR(VLOOKUP(A71:A162,'280726 ph.k.'!$A$2:$N$62,14,FALSE),"")</f>
        <v/>
      </c>
      <c r="P71" s="17" t="e">
        <f t="shared" si="15"/>
        <v>#VALUE!</v>
      </c>
      <c r="Q71" s="1">
        <v>0</v>
      </c>
      <c r="R71" s="1">
        <v>0</v>
      </c>
      <c r="S71" s="17">
        <f t="shared" si="17"/>
        <v>0</v>
      </c>
      <c r="T71" s="1">
        <v>0</v>
      </c>
      <c r="U71" s="1">
        <v>0</v>
      </c>
      <c r="V71" s="17">
        <f t="shared" si="16"/>
        <v>0</v>
      </c>
      <c r="W71" s="1"/>
      <c r="X71" s="1">
        <v>0</v>
      </c>
      <c r="Y71" s="34" t="e">
        <f t="shared" si="4"/>
        <v>#VALUE!</v>
      </c>
      <c r="Z71" s="20" t="e">
        <f t="shared" si="5"/>
        <v>#VALUE!</v>
      </c>
      <c r="AA71" s="34" t="e">
        <f t="shared" si="6"/>
        <v>#VALUE!</v>
      </c>
      <c r="AB71" s="2" t="e">
        <f t="shared" si="7"/>
        <v>#VALUE!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</row>
    <row r="72" spans="1:68" x14ac:dyDescent="0.2">
      <c r="A72" s="1">
        <v>47011</v>
      </c>
      <c r="B72" s="1" t="s">
        <v>158</v>
      </c>
      <c r="C72" s="1">
        <v>24</v>
      </c>
      <c r="D72" s="1">
        <v>677</v>
      </c>
      <c r="E72" s="1" t="s">
        <v>64</v>
      </c>
      <c r="F72" s="1">
        <v>677</v>
      </c>
      <c r="G72" s="1" t="s">
        <v>84</v>
      </c>
      <c r="H72" s="2">
        <v>21.65</v>
      </c>
      <c r="I72" s="2">
        <v>519.6</v>
      </c>
      <c r="J72" s="14" t="e">
        <f t="shared" si="1"/>
        <v>#VALUE!</v>
      </c>
      <c r="K72" s="15" t="e">
        <f t="shared" si="2"/>
        <v>#VALUE!</v>
      </c>
      <c r="L72" s="1">
        <v>0</v>
      </c>
      <c r="M72" s="1" t="str">
        <f>IFERROR(VLOOKUP(A72:A163,'280726 ph.k.'!$A$2:$S$62,19,FALSE),"")</f>
        <v/>
      </c>
      <c r="N72" s="1" t="e">
        <f t="shared" si="3"/>
        <v>#VALUE!</v>
      </c>
      <c r="O72" s="1" t="str">
        <f>IFERROR(VLOOKUP(A72:A163,'280726 ph.k.'!$A$2:$N$62,14,FALSE),"")</f>
        <v/>
      </c>
      <c r="P72" s="17" t="e">
        <f t="shared" si="15"/>
        <v>#VALUE!</v>
      </c>
      <c r="Q72" s="1">
        <v>0</v>
      </c>
      <c r="R72" s="1">
        <v>0</v>
      </c>
      <c r="S72" s="17">
        <f t="shared" si="17"/>
        <v>0</v>
      </c>
      <c r="T72" s="1">
        <v>0</v>
      </c>
      <c r="U72" s="1">
        <v>0</v>
      </c>
      <c r="V72" s="17">
        <f t="shared" si="16"/>
        <v>0</v>
      </c>
      <c r="W72" s="1"/>
      <c r="X72" s="1">
        <v>0</v>
      </c>
      <c r="Y72" s="34" t="e">
        <f t="shared" si="4"/>
        <v>#VALUE!</v>
      </c>
      <c r="Z72" s="20" t="e">
        <f t="shared" si="5"/>
        <v>#VALUE!</v>
      </c>
      <c r="AA72" s="34" t="e">
        <f t="shared" si="6"/>
        <v>#VALUE!</v>
      </c>
      <c r="AB72" s="2" t="e">
        <f t="shared" si="7"/>
        <v>#VALUE!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</row>
    <row r="73" spans="1:68" x14ac:dyDescent="0.2">
      <c r="A73" s="1">
        <v>47013</v>
      </c>
      <c r="B73" s="1" t="s">
        <v>159</v>
      </c>
      <c r="C73" s="1">
        <v>4</v>
      </c>
      <c r="D73" s="1">
        <v>677</v>
      </c>
      <c r="E73" s="1" t="s">
        <v>64</v>
      </c>
      <c r="F73" s="1">
        <v>61</v>
      </c>
      <c r="G73" s="1" t="s">
        <v>66</v>
      </c>
      <c r="H73" s="2">
        <v>92.19</v>
      </c>
      <c r="I73" s="2">
        <v>368.76</v>
      </c>
      <c r="J73" s="14" t="e">
        <f t="shared" si="1"/>
        <v>#VALUE!</v>
      </c>
      <c r="K73" s="15" t="e">
        <f t="shared" si="2"/>
        <v>#VALUE!</v>
      </c>
      <c r="L73" s="1">
        <v>0</v>
      </c>
      <c r="M73" s="1" t="str">
        <f>IFERROR(VLOOKUP(A73:A164,'280726 ph.k.'!$A$2:$S$62,19,FALSE),"")</f>
        <v/>
      </c>
      <c r="N73" s="1" t="e">
        <f t="shared" si="3"/>
        <v>#VALUE!</v>
      </c>
      <c r="O73" s="1" t="str">
        <f>IFERROR(VLOOKUP(A73:A164,'280726 ph.k.'!$A$2:$N$62,14,FALSE),"")</f>
        <v/>
      </c>
      <c r="P73" s="17" t="e">
        <f t="shared" si="15"/>
        <v>#VALUE!</v>
      </c>
      <c r="Q73" s="1">
        <v>0</v>
      </c>
      <c r="R73" s="1">
        <v>0</v>
      </c>
      <c r="S73" s="17">
        <f t="shared" si="17"/>
        <v>0</v>
      </c>
      <c r="T73" s="1">
        <v>0</v>
      </c>
      <c r="U73" s="1">
        <v>0</v>
      </c>
      <c r="V73" s="17">
        <f t="shared" si="16"/>
        <v>0</v>
      </c>
      <c r="W73" s="1"/>
      <c r="X73" s="1">
        <v>0</v>
      </c>
      <c r="Y73" s="34" t="e">
        <f t="shared" si="4"/>
        <v>#VALUE!</v>
      </c>
      <c r="Z73" s="20" t="e">
        <f t="shared" si="5"/>
        <v>#VALUE!</v>
      </c>
      <c r="AA73" s="34" t="e">
        <f t="shared" si="6"/>
        <v>#VALUE!</v>
      </c>
      <c r="AB73" s="2" t="e">
        <f t="shared" si="7"/>
        <v>#VALUE!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</row>
    <row r="74" spans="1:68" x14ac:dyDescent="0.2">
      <c r="A74" s="1">
        <v>47016</v>
      </c>
      <c r="B74" s="1" t="s">
        <v>160</v>
      </c>
      <c r="C74" s="1">
        <v>12</v>
      </c>
      <c r="D74" s="1">
        <v>677</v>
      </c>
      <c r="E74" s="1" t="s">
        <v>64</v>
      </c>
      <c r="F74" s="1">
        <v>1</v>
      </c>
      <c r="G74" s="1" t="s">
        <v>149</v>
      </c>
      <c r="H74" s="2">
        <v>7.68</v>
      </c>
      <c r="I74" s="2">
        <v>92.16</v>
      </c>
      <c r="J74" s="14" t="e">
        <f t="shared" si="1"/>
        <v>#VALUE!</v>
      </c>
      <c r="K74" s="15" t="e">
        <f t="shared" si="2"/>
        <v>#VALUE!</v>
      </c>
      <c r="L74" s="1">
        <v>0</v>
      </c>
      <c r="M74" s="1" t="str">
        <f>IFERROR(VLOOKUP(A74:A165,'280726 ph.k.'!$A$2:$S$62,19,FALSE),"")</f>
        <v/>
      </c>
      <c r="N74" s="1" t="e">
        <f t="shared" si="3"/>
        <v>#VALUE!</v>
      </c>
      <c r="O74" s="1" t="str">
        <f>IFERROR(VLOOKUP(A74:A165,'280726 ph.k.'!$A$2:$N$62,14,FALSE),"")</f>
        <v/>
      </c>
      <c r="P74" s="17" t="e">
        <f t="shared" si="15"/>
        <v>#VALUE!</v>
      </c>
      <c r="Q74" s="1">
        <v>0</v>
      </c>
      <c r="R74" s="1">
        <v>0</v>
      </c>
      <c r="S74" s="17">
        <f t="shared" si="17"/>
        <v>0</v>
      </c>
      <c r="T74" s="1">
        <v>0</v>
      </c>
      <c r="U74" s="1">
        <v>0</v>
      </c>
      <c r="V74" s="17">
        <f t="shared" si="16"/>
        <v>0</v>
      </c>
      <c r="W74" s="1"/>
      <c r="X74" s="1">
        <v>0</v>
      </c>
      <c r="Y74" s="34" t="e">
        <f t="shared" si="4"/>
        <v>#VALUE!</v>
      </c>
      <c r="Z74" s="20" t="e">
        <f t="shared" si="5"/>
        <v>#VALUE!</v>
      </c>
      <c r="AA74" s="34" t="e">
        <f t="shared" si="6"/>
        <v>#VALUE!</v>
      </c>
      <c r="AB74" s="2" t="e">
        <f t="shared" si="7"/>
        <v>#VALUE!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</row>
    <row r="75" spans="1:68" x14ac:dyDescent="0.2">
      <c r="A75" s="1">
        <v>47018</v>
      </c>
      <c r="B75" s="1" t="s">
        <v>161</v>
      </c>
      <c r="C75" s="1">
        <v>6</v>
      </c>
      <c r="D75" s="1">
        <v>677</v>
      </c>
      <c r="E75" s="1" t="s">
        <v>64</v>
      </c>
      <c r="F75" s="1">
        <v>61</v>
      </c>
      <c r="G75" s="1" t="s">
        <v>66</v>
      </c>
      <c r="H75" s="2">
        <v>77.28</v>
      </c>
      <c r="I75" s="2">
        <v>463.68</v>
      </c>
      <c r="J75" s="14" t="e">
        <f t="shared" si="1"/>
        <v>#VALUE!</v>
      </c>
      <c r="K75" s="15" t="e">
        <f t="shared" si="2"/>
        <v>#VALUE!</v>
      </c>
      <c r="L75" s="1">
        <v>0</v>
      </c>
      <c r="M75" s="1" t="str">
        <f>IFERROR(VLOOKUP(A75:A166,'280726 ph.k.'!$A$2:$S$62,19,FALSE),"")</f>
        <v/>
      </c>
      <c r="N75" s="1" t="e">
        <f t="shared" si="3"/>
        <v>#VALUE!</v>
      </c>
      <c r="O75" s="1" t="str">
        <f>IFERROR(VLOOKUP(A75:A166,'280726 ph.k.'!$A$2:$N$62,14,FALSE),"")</f>
        <v/>
      </c>
      <c r="P75" s="17" t="e">
        <f t="shared" si="15"/>
        <v>#VALUE!</v>
      </c>
      <c r="Q75" s="1">
        <v>0</v>
      </c>
      <c r="R75" s="1">
        <v>0</v>
      </c>
      <c r="S75" s="17">
        <f t="shared" si="17"/>
        <v>0</v>
      </c>
      <c r="T75" s="1">
        <v>0</v>
      </c>
      <c r="U75" s="1">
        <v>0</v>
      </c>
      <c r="V75" s="17">
        <f t="shared" si="16"/>
        <v>0</v>
      </c>
      <c r="W75" s="1"/>
      <c r="X75" s="1">
        <v>0</v>
      </c>
      <c r="Y75" s="34" t="e">
        <f t="shared" si="4"/>
        <v>#VALUE!</v>
      </c>
      <c r="Z75" s="20" t="e">
        <f t="shared" si="5"/>
        <v>#VALUE!</v>
      </c>
      <c r="AA75" s="34" t="e">
        <f t="shared" si="6"/>
        <v>#VALUE!</v>
      </c>
      <c r="AB75" s="2" t="e">
        <f t="shared" si="7"/>
        <v>#VALUE!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</row>
    <row r="76" spans="1:68" x14ac:dyDescent="0.2">
      <c r="A76" s="1">
        <v>47021</v>
      </c>
      <c r="B76" s="1" t="s">
        <v>81</v>
      </c>
      <c r="C76" s="1">
        <v>10</v>
      </c>
      <c r="D76" s="1">
        <v>677</v>
      </c>
      <c r="E76" s="1" t="s">
        <v>64</v>
      </c>
      <c r="F76" s="1">
        <v>999</v>
      </c>
      <c r="G76" s="1" t="s">
        <v>67</v>
      </c>
      <c r="H76" s="2">
        <v>34.318800000000003</v>
      </c>
      <c r="I76" s="2">
        <v>343.18799999999999</v>
      </c>
      <c r="J76" s="14" t="e">
        <f t="shared" si="1"/>
        <v>#VALUE!</v>
      </c>
      <c r="K76" s="15" t="e">
        <f t="shared" si="2"/>
        <v>#VALUE!</v>
      </c>
      <c r="L76" s="1">
        <v>0</v>
      </c>
      <c r="M76" s="1" t="str">
        <f>IFERROR(VLOOKUP(A76:A167,'280726 ph.k.'!$A$2:$S$62,19,FALSE),"")</f>
        <v/>
      </c>
      <c r="N76" s="1" t="e">
        <f t="shared" si="3"/>
        <v>#VALUE!</v>
      </c>
      <c r="O76" s="1" t="str">
        <f>IFERROR(VLOOKUP(A76:A167,'280726 ph.k.'!$A$2:$N$62,14,FALSE),"")</f>
        <v/>
      </c>
      <c r="P76" s="17" t="e">
        <f t="shared" si="15"/>
        <v>#VALUE!</v>
      </c>
      <c r="Q76" s="1">
        <v>0</v>
      </c>
      <c r="R76" s="1">
        <v>0</v>
      </c>
      <c r="S76" s="17">
        <f t="shared" si="17"/>
        <v>0</v>
      </c>
      <c r="T76" s="1">
        <v>0</v>
      </c>
      <c r="U76" s="1">
        <v>0</v>
      </c>
      <c r="V76" s="17">
        <f t="shared" si="16"/>
        <v>0</v>
      </c>
      <c r="W76" s="1"/>
      <c r="X76" s="1">
        <v>0</v>
      </c>
      <c r="Y76" s="34" t="e">
        <f t="shared" si="4"/>
        <v>#VALUE!</v>
      </c>
      <c r="Z76" s="20" t="e">
        <f t="shared" si="5"/>
        <v>#VALUE!</v>
      </c>
      <c r="AA76" s="34" t="e">
        <f t="shared" si="6"/>
        <v>#VALUE!</v>
      </c>
      <c r="AB76" s="2" t="e">
        <f t="shared" si="7"/>
        <v>#VALUE!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</row>
    <row r="77" spans="1:68" x14ac:dyDescent="0.2">
      <c r="A77" s="1">
        <v>47022</v>
      </c>
      <c r="B77" s="1" t="s">
        <v>75</v>
      </c>
      <c r="C77" s="1">
        <v>10</v>
      </c>
      <c r="D77" s="1">
        <v>677</v>
      </c>
      <c r="E77" s="1" t="s">
        <v>64</v>
      </c>
      <c r="F77" s="1">
        <v>998</v>
      </c>
      <c r="G77" s="1" t="s">
        <v>73</v>
      </c>
      <c r="H77" s="2">
        <v>127.43</v>
      </c>
      <c r="I77" s="2">
        <v>1274.3</v>
      </c>
      <c r="J77" s="14" t="e">
        <f t="shared" si="1"/>
        <v>#VALUE!</v>
      </c>
      <c r="K77" s="15" t="e">
        <f t="shared" si="2"/>
        <v>#VALUE!</v>
      </c>
      <c r="L77" s="1">
        <v>0</v>
      </c>
      <c r="M77" s="1" t="str">
        <f>IFERROR(VLOOKUP(A77:A168,'280726 ph.k.'!$A$2:$S$62,19,FALSE),"")</f>
        <v/>
      </c>
      <c r="N77" s="1" t="e">
        <f t="shared" si="3"/>
        <v>#VALUE!</v>
      </c>
      <c r="O77" s="1" t="str">
        <f>IFERROR(VLOOKUP(A77:A168,'280726 ph.k.'!$A$2:$N$62,14,FALSE),"")</f>
        <v/>
      </c>
      <c r="P77" s="17" t="e">
        <f t="shared" si="15"/>
        <v>#VALUE!</v>
      </c>
      <c r="Q77" s="1">
        <v>0</v>
      </c>
      <c r="R77" s="1">
        <v>0</v>
      </c>
      <c r="S77" s="17">
        <f t="shared" si="17"/>
        <v>0</v>
      </c>
      <c r="T77" s="1">
        <v>0</v>
      </c>
      <c r="U77" s="1">
        <v>0</v>
      </c>
      <c r="V77" s="17">
        <f t="shared" si="16"/>
        <v>0</v>
      </c>
      <c r="W77" s="1"/>
      <c r="X77" s="1">
        <v>0</v>
      </c>
      <c r="Y77" s="34" t="e">
        <f t="shared" si="4"/>
        <v>#VALUE!</v>
      </c>
      <c r="Z77" s="20" t="e">
        <f t="shared" si="5"/>
        <v>#VALUE!</v>
      </c>
      <c r="AA77" s="34" t="e">
        <f t="shared" si="6"/>
        <v>#VALUE!</v>
      </c>
      <c r="AB77" s="2" t="e">
        <f t="shared" si="7"/>
        <v>#VALUE!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</row>
    <row r="78" spans="1:68" x14ac:dyDescent="0.2">
      <c r="A78" s="1">
        <v>47025</v>
      </c>
      <c r="B78" s="1" t="s">
        <v>162</v>
      </c>
      <c r="C78" s="1">
        <v>24</v>
      </c>
      <c r="D78" s="1">
        <v>677</v>
      </c>
      <c r="E78" s="1" t="s">
        <v>64</v>
      </c>
      <c r="F78" s="1">
        <v>677</v>
      </c>
      <c r="G78" s="1" t="s">
        <v>84</v>
      </c>
      <c r="H78" s="2">
        <v>48.56</v>
      </c>
      <c r="I78" s="2">
        <v>1165.44</v>
      </c>
      <c r="J78" s="14" t="e">
        <f t="shared" si="1"/>
        <v>#VALUE!</v>
      </c>
      <c r="K78" s="15" t="e">
        <f t="shared" si="2"/>
        <v>#VALUE!</v>
      </c>
      <c r="L78" s="1">
        <v>0</v>
      </c>
      <c r="M78" s="1" t="str">
        <f>IFERROR(VLOOKUP(A78:A169,'280726 ph.k.'!$A$2:$S$62,19,FALSE),"")</f>
        <v/>
      </c>
      <c r="N78" s="1" t="e">
        <f t="shared" si="3"/>
        <v>#VALUE!</v>
      </c>
      <c r="O78" s="1" t="str">
        <f>IFERROR(VLOOKUP(A78:A169,'280726 ph.k.'!$A$2:$N$62,14,FALSE),"")</f>
        <v/>
      </c>
      <c r="P78" s="17" t="e">
        <f t="shared" si="15"/>
        <v>#VALUE!</v>
      </c>
      <c r="Q78" s="1">
        <v>0</v>
      </c>
      <c r="R78" s="1">
        <v>0</v>
      </c>
      <c r="S78" s="17">
        <f t="shared" si="17"/>
        <v>0</v>
      </c>
      <c r="T78" s="1">
        <v>0</v>
      </c>
      <c r="U78" s="1">
        <v>0</v>
      </c>
      <c r="V78" s="17">
        <f t="shared" si="16"/>
        <v>0</v>
      </c>
      <c r="W78" s="1"/>
      <c r="X78" s="1">
        <v>0</v>
      </c>
      <c r="Y78" s="34" t="e">
        <f t="shared" si="4"/>
        <v>#VALUE!</v>
      </c>
      <c r="Z78" s="20" t="e">
        <f t="shared" si="5"/>
        <v>#VALUE!</v>
      </c>
      <c r="AA78" s="34" t="e">
        <f t="shared" si="6"/>
        <v>#VALUE!</v>
      </c>
      <c r="AB78" s="2" t="e">
        <f t="shared" si="7"/>
        <v>#VALUE!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</row>
    <row r="79" spans="1:68" x14ac:dyDescent="0.2">
      <c r="A79" s="1">
        <v>47028</v>
      </c>
      <c r="B79" s="1" t="s">
        <v>81</v>
      </c>
      <c r="C79" s="1">
        <v>24</v>
      </c>
      <c r="D79" s="1">
        <v>677</v>
      </c>
      <c r="E79" s="1" t="s">
        <v>64</v>
      </c>
      <c r="F79" s="1">
        <v>999</v>
      </c>
      <c r="G79" s="1" t="s">
        <v>67</v>
      </c>
      <c r="H79" s="2">
        <v>37.9</v>
      </c>
      <c r="I79" s="2">
        <v>909.6</v>
      </c>
      <c r="J79" s="14" t="e">
        <f t="shared" si="1"/>
        <v>#VALUE!</v>
      </c>
      <c r="K79" s="15" t="e">
        <f t="shared" si="2"/>
        <v>#VALUE!</v>
      </c>
      <c r="L79" s="1">
        <v>0</v>
      </c>
      <c r="M79" s="1" t="str">
        <f>IFERROR(VLOOKUP(A79:A170,'280726 ph.k.'!$A$2:$S$62,19,FALSE),"")</f>
        <v/>
      </c>
      <c r="N79" s="1" t="e">
        <f t="shared" si="3"/>
        <v>#VALUE!</v>
      </c>
      <c r="O79" s="1" t="str">
        <f>IFERROR(VLOOKUP(A79:A170,'280726 ph.k.'!$A$2:$N$62,14,FALSE),"")</f>
        <v/>
      </c>
      <c r="P79" s="17" t="e">
        <f t="shared" si="15"/>
        <v>#VALUE!</v>
      </c>
      <c r="Q79" s="1">
        <v>0</v>
      </c>
      <c r="R79" s="1">
        <v>0</v>
      </c>
      <c r="S79" s="17">
        <f t="shared" si="17"/>
        <v>0</v>
      </c>
      <c r="T79" s="1">
        <v>0</v>
      </c>
      <c r="U79" s="1">
        <v>0</v>
      </c>
      <c r="V79" s="17">
        <f t="shared" si="16"/>
        <v>0</v>
      </c>
      <c r="W79" s="1"/>
      <c r="X79" s="1">
        <v>0</v>
      </c>
      <c r="Y79" s="34" t="e">
        <f t="shared" si="4"/>
        <v>#VALUE!</v>
      </c>
      <c r="Z79" s="20" t="e">
        <f t="shared" si="5"/>
        <v>#VALUE!</v>
      </c>
      <c r="AA79" s="34" t="e">
        <f t="shared" si="6"/>
        <v>#VALUE!</v>
      </c>
      <c r="AB79" s="2" t="e">
        <f t="shared" si="7"/>
        <v>#VALUE!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</row>
    <row r="80" spans="1:68" x14ac:dyDescent="0.2">
      <c r="A80" s="1">
        <v>47030</v>
      </c>
      <c r="B80" s="1" t="s">
        <v>163</v>
      </c>
      <c r="C80" s="1">
        <v>12</v>
      </c>
      <c r="D80" s="1">
        <v>677</v>
      </c>
      <c r="E80" s="1" t="s">
        <v>64</v>
      </c>
      <c r="F80" s="1">
        <v>999</v>
      </c>
      <c r="G80" s="1" t="s">
        <v>67</v>
      </c>
      <c r="H80" s="2">
        <v>109.64</v>
      </c>
      <c r="I80" s="2">
        <v>1315.68</v>
      </c>
      <c r="J80" s="14" t="e">
        <f t="shared" si="1"/>
        <v>#VALUE!</v>
      </c>
      <c r="K80" s="15" t="e">
        <f t="shared" si="2"/>
        <v>#VALUE!</v>
      </c>
      <c r="L80" s="1">
        <v>0</v>
      </c>
      <c r="M80" s="1" t="str">
        <f>IFERROR(VLOOKUP(A80:A171,'280726 ph.k.'!$A$2:$S$62,19,FALSE),"")</f>
        <v/>
      </c>
      <c r="N80" s="1" t="e">
        <f t="shared" si="3"/>
        <v>#VALUE!</v>
      </c>
      <c r="O80" s="1" t="str">
        <f>IFERROR(VLOOKUP(A80:A171,'280726 ph.k.'!$A$2:$N$62,14,FALSE),"")</f>
        <v/>
      </c>
      <c r="P80" s="17" t="e">
        <f t="shared" si="15"/>
        <v>#VALUE!</v>
      </c>
      <c r="Q80" s="1">
        <v>0</v>
      </c>
      <c r="R80" s="1">
        <v>0</v>
      </c>
      <c r="S80" s="17">
        <f t="shared" si="17"/>
        <v>0</v>
      </c>
      <c r="T80" s="1">
        <v>0</v>
      </c>
      <c r="U80" s="1">
        <v>0</v>
      </c>
      <c r="V80" s="17">
        <f t="shared" si="16"/>
        <v>0</v>
      </c>
      <c r="W80" s="1"/>
      <c r="X80" s="1">
        <v>0</v>
      </c>
      <c r="Y80" s="34" t="e">
        <f t="shared" si="4"/>
        <v>#VALUE!</v>
      </c>
      <c r="Z80" s="20" t="e">
        <f t="shared" si="5"/>
        <v>#VALUE!</v>
      </c>
      <c r="AA80" s="34" t="e">
        <f t="shared" si="6"/>
        <v>#VALUE!</v>
      </c>
      <c r="AB80" s="2" t="e">
        <f t="shared" si="7"/>
        <v>#VALUE!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</row>
    <row r="81" spans="1:68" x14ac:dyDescent="0.2">
      <c r="A81" s="1">
        <v>47031</v>
      </c>
      <c r="B81" s="1" t="s">
        <v>164</v>
      </c>
      <c r="C81" s="1">
        <v>4</v>
      </c>
      <c r="D81" s="1">
        <v>677</v>
      </c>
      <c r="E81" s="1" t="s">
        <v>64</v>
      </c>
      <c r="F81" s="1">
        <v>61</v>
      </c>
      <c r="G81" s="1" t="s">
        <v>66</v>
      </c>
      <c r="H81" s="2">
        <v>92.19</v>
      </c>
      <c r="I81" s="2">
        <v>368.76</v>
      </c>
      <c r="J81" s="14" t="e">
        <f t="shared" si="1"/>
        <v>#VALUE!</v>
      </c>
      <c r="K81" s="15" t="e">
        <f t="shared" si="2"/>
        <v>#VALUE!</v>
      </c>
      <c r="L81" s="1">
        <v>0</v>
      </c>
      <c r="M81" s="1" t="str">
        <f>IFERROR(VLOOKUP(A81:A172,'280726 ph.k.'!$A$2:$S$62,19,FALSE),"")</f>
        <v/>
      </c>
      <c r="N81" s="1" t="e">
        <f t="shared" si="3"/>
        <v>#VALUE!</v>
      </c>
      <c r="O81" s="1" t="str">
        <f>IFERROR(VLOOKUP(A81:A172,'280726 ph.k.'!$A$2:$N$62,14,FALSE),"")</f>
        <v/>
      </c>
      <c r="P81" s="17" t="e">
        <f t="shared" si="15"/>
        <v>#VALUE!</v>
      </c>
      <c r="Q81" s="1">
        <v>0</v>
      </c>
      <c r="R81" s="1">
        <v>0</v>
      </c>
      <c r="S81" s="17">
        <f t="shared" si="17"/>
        <v>0</v>
      </c>
      <c r="T81" s="1">
        <v>0</v>
      </c>
      <c r="U81" s="1">
        <v>0</v>
      </c>
      <c r="V81" s="17">
        <f t="shared" si="16"/>
        <v>0</v>
      </c>
      <c r="W81" s="1"/>
      <c r="X81" s="1">
        <v>0</v>
      </c>
      <c r="Y81" s="34" t="e">
        <f t="shared" si="4"/>
        <v>#VALUE!</v>
      </c>
      <c r="Z81" s="20" t="e">
        <f t="shared" si="5"/>
        <v>#VALUE!</v>
      </c>
      <c r="AA81" s="34" t="e">
        <f t="shared" si="6"/>
        <v>#VALUE!</v>
      </c>
      <c r="AB81" s="2" t="e">
        <f t="shared" si="7"/>
        <v>#VALUE!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</row>
    <row r="82" spans="1:68" x14ac:dyDescent="0.2">
      <c r="A82" s="1">
        <v>47032</v>
      </c>
      <c r="B82" s="1" t="s">
        <v>81</v>
      </c>
      <c r="C82" s="1">
        <v>12</v>
      </c>
      <c r="D82" s="1">
        <v>677</v>
      </c>
      <c r="E82" s="1" t="s">
        <v>64</v>
      </c>
      <c r="F82" s="1">
        <v>999</v>
      </c>
      <c r="G82" s="1" t="s">
        <v>67</v>
      </c>
      <c r="H82" s="2">
        <v>22.49</v>
      </c>
      <c r="I82" s="2">
        <v>269.88</v>
      </c>
      <c r="J82" s="14" t="e">
        <f t="shared" si="1"/>
        <v>#VALUE!</v>
      </c>
      <c r="K82" s="15" t="e">
        <f t="shared" si="2"/>
        <v>#VALUE!</v>
      </c>
      <c r="L82" s="1">
        <v>0</v>
      </c>
      <c r="M82" s="1" t="str">
        <f>IFERROR(VLOOKUP(A82:A173,'280726 ph.k.'!$A$2:$S$62,19,FALSE),"")</f>
        <v/>
      </c>
      <c r="N82" s="1" t="e">
        <f t="shared" si="3"/>
        <v>#VALUE!</v>
      </c>
      <c r="O82" s="1" t="str">
        <f>IFERROR(VLOOKUP(A82:A173,'280726 ph.k.'!$A$2:$N$62,14,FALSE),"")</f>
        <v/>
      </c>
      <c r="P82" s="17" t="e">
        <f t="shared" si="15"/>
        <v>#VALUE!</v>
      </c>
      <c r="Q82" s="1">
        <v>0</v>
      </c>
      <c r="R82" s="1">
        <v>0</v>
      </c>
      <c r="S82" s="17">
        <f t="shared" si="17"/>
        <v>0</v>
      </c>
      <c r="T82" s="1">
        <v>0</v>
      </c>
      <c r="U82" s="1">
        <v>0</v>
      </c>
      <c r="V82" s="17">
        <f t="shared" si="16"/>
        <v>0</v>
      </c>
      <c r="W82" s="1"/>
      <c r="X82" s="1">
        <v>0</v>
      </c>
      <c r="Y82" s="34" t="e">
        <f t="shared" si="4"/>
        <v>#VALUE!</v>
      </c>
      <c r="Z82" s="20" t="e">
        <f t="shared" si="5"/>
        <v>#VALUE!</v>
      </c>
      <c r="AA82" s="34" t="e">
        <f t="shared" si="6"/>
        <v>#VALUE!</v>
      </c>
      <c r="AB82" s="2" t="e">
        <f t="shared" si="7"/>
        <v>#VALUE!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</row>
    <row r="83" spans="1:68" x14ac:dyDescent="0.2">
      <c r="A83" s="1">
        <v>47034</v>
      </c>
      <c r="B83" s="1" t="s">
        <v>81</v>
      </c>
      <c r="C83" s="1">
        <v>12</v>
      </c>
      <c r="D83" s="1">
        <v>677</v>
      </c>
      <c r="E83" s="1" t="s">
        <v>64</v>
      </c>
      <c r="F83" s="1">
        <v>999</v>
      </c>
      <c r="G83" s="1" t="s">
        <v>67</v>
      </c>
      <c r="H83" s="2">
        <v>25.038699999999999</v>
      </c>
      <c r="I83" s="2">
        <v>300.46440000000001</v>
      </c>
      <c r="J83" s="14" t="e">
        <f t="shared" si="1"/>
        <v>#VALUE!</v>
      </c>
      <c r="K83" s="15" t="e">
        <f t="shared" si="2"/>
        <v>#VALUE!</v>
      </c>
      <c r="L83" s="1">
        <v>0</v>
      </c>
      <c r="M83" s="1" t="str">
        <f>IFERROR(VLOOKUP(A83:A174,'280726 ph.k.'!$A$2:$S$62,19,FALSE),"")</f>
        <v/>
      </c>
      <c r="N83" s="1" t="e">
        <f t="shared" si="3"/>
        <v>#VALUE!</v>
      </c>
      <c r="O83" s="1" t="str">
        <f>IFERROR(VLOOKUP(A83:A174,'280726 ph.k.'!$A$2:$N$62,14,FALSE),"")</f>
        <v/>
      </c>
      <c r="P83" s="17" t="e">
        <f t="shared" si="15"/>
        <v>#VALUE!</v>
      </c>
      <c r="Q83" s="1">
        <v>0</v>
      </c>
      <c r="R83" s="1">
        <v>0</v>
      </c>
      <c r="S83" s="17">
        <f t="shared" si="17"/>
        <v>0</v>
      </c>
      <c r="T83" s="1">
        <v>0</v>
      </c>
      <c r="U83" s="1">
        <v>0</v>
      </c>
      <c r="V83" s="17">
        <f t="shared" si="16"/>
        <v>0</v>
      </c>
      <c r="W83" s="1"/>
      <c r="X83" s="1">
        <v>0</v>
      </c>
      <c r="Y83" s="34" t="e">
        <f t="shared" si="4"/>
        <v>#VALUE!</v>
      </c>
      <c r="Z83" s="20" t="e">
        <f t="shared" si="5"/>
        <v>#VALUE!</v>
      </c>
      <c r="AA83" s="34" t="e">
        <f t="shared" si="6"/>
        <v>#VALUE!</v>
      </c>
      <c r="AB83" s="2" t="e">
        <f t="shared" si="7"/>
        <v>#VALUE!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</row>
    <row r="84" spans="1:68" x14ac:dyDescent="0.2">
      <c r="A84" s="1">
        <v>47036</v>
      </c>
      <c r="B84" s="1" t="s">
        <v>117</v>
      </c>
      <c r="C84" s="1">
        <v>24</v>
      </c>
      <c r="D84" s="1">
        <v>677</v>
      </c>
      <c r="E84" s="1" t="s">
        <v>64</v>
      </c>
      <c r="F84" s="1">
        <v>61</v>
      </c>
      <c r="G84" s="1" t="s">
        <v>66</v>
      </c>
      <c r="H84" s="2">
        <v>38.6661</v>
      </c>
      <c r="I84" s="2">
        <v>927.9864</v>
      </c>
      <c r="J84" s="14">
        <f t="shared" si="1"/>
        <v>0</v>
      </c>
      <c r="K84" s="15">
        <f t="shared" si="2"/>
        <v>0</v>
      </c>
      <c r="L84" s="1">
        <v>0</v>
      </c>
      <c r="M84" s="1">
        <f>IFERROR(VLOOKUP(A84:A175,'280726 ph.k.'!$A$2:$S$62,19,FALSE),"")</f>
        <v>0</v>
      </c>
      <c r="N84" s="1">
        <f t="shared" si="3"/>
        <v>0</v>
      </c>
      <c r="O84" s="1">
        <f>IFERROR(VLOOKUP(A84:A175,'280726 ph.k.'!$A$2:$N$62,14,FALSE),"")</f>
        <v>0</v>
      </c>
      <c r="P84" s="17">
        <f t="shared" si="15"/>
        <v>0</v>
      </c>
      <c r="Q84" s="1">
        <v>0</v>
      </c>
      <c r="R84" s="1">
        <v>0</v>
      </c>
      <c r="S84" s="17">
        <f t="shared" si="17"/>
        <v>0</v>
      </c>
      <c r="T84" s="1">
        <v>0</v>
      </c>
      <c r="U84" s="1">
        <v>0</v>
      </c>
      <c r="V84" s="17">
        <f t="shared" si="16"/>
        <v>0</v>
      </c>
      <c r="W84" s="1"/>
      <c r="X84" s="1">
        <v>0</v>
      </c>
      <c r="Y84" s="34">
        <f t="shared" si="4"/>
        <v>0</v>
      </c>
      <c r="Z84" s="20">
        <f t="shared" si="5"/>
        <v>0</v>
      </c>
      <c r="AA84" s="34">
        <f t="shared" si="6"/>
        <v>0</v>
      </c>
      <c r="AB84" s="2">
        <f t="shared" si="7"/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</row>
    <row r="85" spans="1:68" x14ac:dyDescent="0.2">
      <c r="A85" s="1">
        <v>47037</v>
      </c>
      <c r="B85" s="1" t="s">
        <v>81</v>
      </c>
      <c r="C85" s="1">
        <v>24</v>
      </c>
      <c r="D85" s="1">
        <v>677</v>
      </c>
      <c r="E85" s="1" t="s">
        <v>64</v>
      </c>
      <c r="F85" s="1">
        <v>999</v>
      </c>
      <c r="G85" s="1" t="s">
        <v>67</v>
      </c>
      <c r="H85" s="2">
        <v>20.088100000000001</v>
      </c>
      <c r="I85" s="2">
        <v>482.11439999999999</v>
      </c>
      <c r="J85" s="14" t="e">
        <f t="shared" si="1"/>
        <v>#VALUE!</v>
      </c>
      <c r="K85" s="15" t="e">
        <f t="shared" si="2"/>
        <v>#VALUE!</v>
      </c>
      <c r="L85" s="1">
        <v>0</v>
      </c>
      <c r="M85" s="1" t="str">
        <f>IFERROR(VLOOKUP(A85:A176,'280726 ph.k.'!$A$2:$S$62,19,FALSE),"")</f>
        <v/>
      </c>
      <c r="N85" s="1" t="e">
        <f t="shared" si="3"/>
        <v>#VALUE!</v>
      </c>
      <c r="O85" s="1" t="str">
        <f>IFERROR(VLOOKUP(A85:A176,'280726 ph.k.'!$A$2:$N$62,14,FALSE),"")</f>
        <v/>
      </c>
      <c r="P85" s="17" t="e">
        <f t="shared" si="15"/>
        <v>#VALUE!</v>
      </c>
      <c r="Q85" s="1">
        <v>0</v>
      </c>
      <c r="R85" s="1">
        <v>0</v>
      </c>
      <c r="S85" s="17">
        <f t="shared" si="17"/>
        <v>0</v>
      </c>
      <c r="T85" s="1">
        <v>0</v>
      </c>
      <c r="U85" s="1">
        <v>0</v>
      </c>
      <c r="V85" s="17">
        <f t="shared" si="16"/>
        <v>0</v>
      </c>
      <c r="W85" s="1"/>
      <c r="X85" s="1">
        <v>0</v>
      </c>
      <c r="Y85" s="34" t="e">
        <f t="shared" si="4"/>
        <v>#VALUE!</v>
      </c>
      <c r="Z85" s="20" t="e">
        <f t="shared" si="5"/>
        <v>#VALUE!</v>
      </c>
      <c r="AA85" s="34" t="e">
        <f t="shared" si="6"/>
        <v>#VALUE!</v>
      </c>
      <c r="AB85" s="2" t="e">
        <f t="shared" si="7"/>
        <v>#VALUE!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</row>
    <row r="86" spans="1:68" x14ac:dyDescent="0.2">
      <c r="A86" s="1">
        <v>47044</v>
      </c>
      <c r="B86" s="1" t="s">
        <v>81</v>
      </c>
      <c r="C86" s="1">
        <v>12</v>
      </c>
      <c r="D86" s="1">
        <v>677</v>
      </c>
      <c r="E86" s="1" t="s">
        <v>64</v>
      </c>
      <c r="F86" s="1">
        <v>999</v>
      </c>
      <c r="G86" s="1" t="s">
        <v>67</v>
      </c>
      <c r="H86" s="2">
        <v>18.04</v>
      </c>
      <c r="I86" s="2">
        <v>216.48</v>
      </c>
      <c r="J86" s="14" t="e">
        <f t="shared" si="1"/>
        <v>#VALUE!</v>
      </c>
      <c r="K86" s="15" t="e">
        <f t="shared" si="2"/>
        <v>#VALUE!</v>
      </c>
      <c r="L86" s="1">
        <v>0</v>
      </c>
      <c r="M86" s="1" t="str">
        <f>IFERROR(VLOOKUP(A86:A177,'280726 ph.k.'!$A$2:$S$62,19,FALSE),"")</f>
        <v/>
      </c>
      <c r="N86" s="1" t="e">
        <f t="shared" si="3"/>
        <v>#VALUE!</v>
      </c>
      <c r="O86" s="1" t="str">
        <f>IFERROR(VLOOKUP(A86:A177,'280726 ph.k.'!$A$2:$N$62,14,FALSE),"")</f>
        <v/>
      </c>
      <c r="P86" s="17" t="e">
        <f t="shared" si="15"/>
        <v>#VALUE!</v>
      </c>
      <c r="Q86" s="1">
        <v>0</v>
      </c>
      <c r="R86" s="1">
        <v>0</v>
      </c>
      <c r="S86" s="17">
        <f t="shared" si="17"/>
        <v>0</v>
      </c>
      <c r="T86" s="1">
        <v>0</v>
      </c>
      <c r="U86" s="1">
        <v>0</v>
      </c>
      <c r="V86" s="17">
        <f t="shared" si="16"/>
        <v>0</v>
      </c>
      <c r="W86" s="1"/>
      <c r="X86" s="1">
        <v>0</v>
      </c>
      <c r="Y86" s="34" t="e">
        <f t="shared" si="4"/>
        <v>#VALUE!</v>
      </c>
      <c r="Z86" s="20" t="e">
        <f t="shared" si="5"/>
        <v>#VALUE!</v>
      </c>
      <c r="AA86" s="34" t="e">
        <f t="shared" si="6"/>
        <v>#VALUE!</v>
      </c>
      <c r="AB86" s="2" t="e">
        <f t="shared" si="7"/>
        <v>#VALUE!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</row>
    <row r="87" spans="1:68" x14ac:dyDescent="0.2">
      <c r="A87" s="1">
        <v>47047</v>
      </c>
      <c r="B87" s="1">
        <v>47047</v>
      </c>
      <c r="C87" s="1">
        <v>15</v>
      </c>
      <c r="D87" s="1">
        <v>677</v>
      </c>
      <c r="E87" s="1" t="s">
        <v>64</v>
      </c>
      <c r="F87" s="1">
        <v>999</v>
      </c>
      <c r="G87" s="1" t="s">
        <v>67</v>
      </c>
      <c r="H87" s="2">
        <v>20.947700000000001</v>
      </c>
      <c r="I87" s="2">
        <v>314.21550000000002</v>
      </c>
      <c r="J87" s="14" t="e">
        <f t="shared" si="1"/>
        <v>#VALUE!</v>
      </c>
      <c r="K87" s="15" t="e">
        <f t="shared" si="2"/>
        <v>#VALUE!</v>
      </c>
      <c r="L87" s="1">
        <v>0</v>
      </c>
      <c r="M87" s="1" t="str">
        <f>IFERROR(VLOOKUP(A87:A178,'280726 ph.k.'!$A$2:$S$62,19,FALSE),"")</f>
        <v/>
      </c>
      <c r="N87" s="1" t="e">
        <f t="shared" si="3"/>
        <v>#VALUE!</v>
      </c>
      <c r="O87" s="1" t="str">
        <f>IFERROR(VLOOKUP(A87:A178,'280726 ph.k.'!$A$2:$N$62,14,FALSE),"")</f>
        <v/>
      </c>
      <c r="P87" s="17" t="e">
        <f t="shared" si="15"/>
        <v>#VALUE!</v>
      </c>
      <c r="Q87" s="1">
        <v>0</v>
      </c>
      <c r="R87" s="1">
        <v>0</v>
      </c>
      <c r="S87" s="17">
        <f t="shared" si="17"/>
        <v>0</v>
      </c>
      <c r="T87" s="1">
        <v>0</v>
      </c>
      <c r="U87" s="1">
        <v>0</v>
      </c>
      <c r="V87" s="17">
        <f t="shared" si="16"/>
        <v>0</v>
      </c>
      <c r="W87" s="1"/>
      <c r="X87" s="1">
        <v>0</v>
      </c>
      <c r="Y87" s="34" t="e">
        <f t="shared" si="4"/>
        <v>#VALUE!</v>
      </c>
      <c r="Z87" s="20" t="e">
        <f t="shared" si="5"/>
        <v>#VALUE!</v>
      </c>
      <c r="AA87" s="34" t="e">
        <f t="shared" si="6"/>
        <v>#VALUE!</v>
      </c>
      <c r="AB87" s="2" t="e">
        <f t="shared" si="7"/>
        <v>#VALUE!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</row>
    <row r="88" spans="1:68" x14ac:dyDescent="0.2">
      <c r="A88" s="1">
        <v>47048</v>
      </c>
      <c r="B88" s="1" t="s">
        <v>166</v>
      </c>
      <c r="C88" s="1">
        <v>4</v>
      </c>
      <c r="D88" s="1">
        <v>677</v>
      </c>
      <c r="E88" s="1" t="s">
        <v>64</v>
      </c>
      <c r="F88" s="1">
        <v>677</v>
      </c>
      <c r="G88" s="1" t="s">
        <v>84</v>
      </c>
      <c r="H88" s="2">
        <v>119.16</v>
      </c>
      <c r="I88" s="2">
        <v>476.64</v>
      </c>
      <c r="J88" s="14" t="e">
        <f t="shared" si="1"/>
        <v>#VALUE!</v>
      </c>
      <c r="K88" s="15" t="e">
        <f t="shared" si="2"/>
        <v>#VALUE!</v>
      </c>
      <c r="L88" s="1">
        <v>0</v>
      </c>
      <c r="M88" s="1" t="str">
        <f>IFERROR(VLOOKUP(A88:A179,'280726 ph.k.'!$A$2:$S$62,19,FALSE),"")</f>
        <v/>
      </c>
      <c r="N88" s="1" t="e">
        <f t="shared" si="3"/>
        <v>#VALUE!</v>
      </c>
      <c r="O88" s="1" t="str">
        <f>IFERROR(VLOOKUP(A88:A179,'280726 ph.k.'!$A$2:$N$62,14,FALSE),"")</f>
        <v/>
      </c>
      <c r="P88" s="17" t="e">
        <f t="shared" si="15"/>
        <v>#VALUE!</v>
      </c>
      <c r="Q88" s="1">
        <v>0</v>
      </c>
      <c r="R88" s="1">
        <v>0</v>
      </c>
      <c r="S88" s="17">
        <f t="shared" si="17"/>
        <v>0</v>
      </c>
      <c r="T88" s="1">
        <v>0</v>
      </c>
      <c r="U88" s="1">
        <v>0</v>
      </c>
      <c r="V88" s="17">
        <f t="shared" si="16"/>
        <v>0</v>
      </c>
      <c r="W88" s="1"/>
      <c r="X88" s="1">
        <v>0</v>
      </c>
      <c r="Y88" s="34" t="e">
        <f t="shared" si="4"/>
        <v>#VALUE!</v>
      </c>
      <c r="Z88" s="20" t="e">
        <f t="shared" si="5"/>
        <v>#VALUE!</v>
      </c>
      <c r="AA88" s="34" t="e">
        <f t="shared" si="6"/>
        <v>#VALUE!</v>
      </c>
      <c r="AB88" s="2" t="e">
        <f t="shared" si="7"/>
        <v>#VALUE!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</row>
    <row r="89" spans="1:68" x14ac:dyDescent="0.2">
      <c r="A89" s="1">
        <v>47049</v>
      </c>
      <c r="B89" s="1" t="s">
        <v>165</v>
      </c>
      <c r="C89" s="1">
        <v>12</v>
      </c>
      <c r="D89" s="1">
        <v>677</v>
      </c>
      <c r="E89" s="1" t="s">
        <v>64</v>
      </c>
      <c r="F89" s="1">
        <v>999</v>
      </c>
      <c r="G89" s="1" t="s">
        <v>67</v>
      </c>
      <c r="H89" s="2">
        <v>34.17</v>
      </c>
      <c r="I89" s="2">
        <v>410.04</v>
      </c>
      <c r="J89" s="14" t="e">
        <f t="shared" si="1"/>
        <v>#VALUE!</v>
      </c>
      <c r="K89" s="15" t="e">
        <f t="shared" si="2"/>
        <v>#VALUE!</v>
      </c>
      <c r="L89" s="1">
        <v>0</v>
      </c>
      <c r="M89" s="1" t="str">
        <f>IFERROR(VLOOKUP(A89:A180,'280726 ph.k.'!$A$2:$S$62,19,FALSE),"")</f>
        <v/>
      </c>
      <c r="N89" s="1" t="e">
        <f t="shared" si="3"/>
        <v>#VALUE!</v>
      </c>
      <c r="O89" s="1" t="str">
        <f>IFERROR(VLOOKUP(A89:A180,'280726 ph.k.'!$A$2:$N$62,14,FALSE),"")</f>
        <v/>
      </c>
      <c r="P89" s="17" t="e">
        <f t="shared" si="15"/>
        <v>#VALUE!</v>
      </c>
      <c r="Q89" s="1">
        <v>0</v>
      </c>
      <c r="R89" s="1">
        <v>0</v>
      </c>
      <c r="S89" s="17">
        <f t="shared" si="17"/>
        <v>0</v>
      </c>
      <c r="T89" s="1">
        <v>0</v>
      </c>
      <c r="U89" s="1">
        <v>0</v>
      </c>
      <c r="V89" s="17">
        <f t="shared" si="16"/>
        <v>0</v>
      </c>
      <c r="W89" s="1"/>
      <c r="X89" s="1">
        <v>0</v>
      </c>
      <c r="Y89" s="34" t="e">
        <f t="shared" si="4"/>
        <v>#VALUE!</v>
      </c>
      <c r="Z89" s="20" t="e">
        <f t="shared" si="5"/>
        <v>#VALUE!</v>
      </c>
      <c r="AA89" s="34" t="e">
        <f t="shared" si="6"/>
        <v>#VALUE!</v>
      </c>
      <c r="AB89" s="2" t="e">
        <f t="shared" si="7"/>
        <v>#VALUE!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</row>
    <row r="90" spans="1:68" x14ac:dyDescent="0.2">
      <c r="A90" s="1">
        <v>47050</v>
      </c>
      <c r="B90" s="1" t="s">
        <v>81</v>
      </c>
      <c r="C90" s="1">
        <v>24</v>
      </c>
      <c r="D90" s="1">
        <v>677</v>
      </c>
      <c r="E90" s="1" t="s">
        <v>64</v>
      </c>
      <c r="F90" s="1">
        <v>999</v>
      </c>
      <c r="G90" s="1" t="s">
        <v>67</v>
      </c>
      <c r="H90" s="2">
        <v>16.470099999999999</v>
      </c>
      <c r="I90" s="2">
        <v>395.2824</v>
      </c>
      <c r="J90" s="14" t="e">
        <f t="shared" si="1"/>
        <v>#VALUE!</v>
      </c>
      <c r="K90" s="15" t="e">
        <f t="shared" si="2"/>
        <v>#VALUE!</v>
      </c>
      <c r="L90" s="1">
        <v>0</v>
      </c>
      <c r="M90" s="1" t="str">
        <f>IFERROR(VLOOKUP(A90:A181,'280726 ph.k.'!$A$2:$S$62,19,FALSE),"")</f>
        <v/>
      </c>
      <c r="N90" s="1" t="e">
        <f t="shared" si="3"/>
        <v>#VALUE!</v>
      </c>
      <c r="O90" s="1" t="str">
        <f>IFERROR(VLOOKUP(A90:A181,'280726 ph.k.'!$A$2:$N$62,14,FALSE),"")</f>
        <v/>
      </c>
      <c r="P90" s="17" t="e">
        <f t="shared" si="15"/>
        <v>#VALUE!</v>
      </c>
      <c r="Q90" s="1">
        <v>0</v>
      </c>
      <c r="R90" s="1">
        <v>0</v>
      </c>
      <c r="S90" s="17">
        <f t="shared" si="17"/>
        <v>0</v>
      </c>
      <c r="T90" s="1">
        <v>0</v>
      </c>
      <c r="U90" s="1">
        <v>0</v>
      </c>
      <c r="V90" s="17">
        <f t="shared" si="16"/>
        <v>0</v>
      </c>
      <c r="W90" s="1"/>
      <c r="X90" s="1">
        <v>0</v>
      </c>
      <c r="Y90" s="34" t="e">
        <f t="shared" si="4"/>
        <v>#VALUE!</v>
      </c>
      <c r="Z90" s="20" t="e">
        <f t="shared" si="5"/>
        <v>#VALUE!</v>
      </c>
      <c r="AA90" s="34" t="e">
        <f t="shared" si="6"/>
        <v>#VALUE!</v>
      </c>
      <c r="AB90" s="2" t="e">
        <f t="shared" si="7"/>
        <v>#VALUE!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</row>
    <row r="91" spans="1:68" x14ac:dyDescent="0.2">
      <c r="A91" s="1">
        <v>47125</v>
      </c>
      <c r="B91" s="1" t="s">
        <v>81</v>
      </c>
      <c r="C91" s="1">
        <v>15</v>
      </c>
      <c r="D91" s="1">
        <v>677</v>
      </c>
      <c r="E91" s="1" t="s">
        <v>64</v>
      </c>
      <c r="F91" s="1">
        <v>999</v>
      </c>
      <c r="G91" s="1" t="s">
        <v>67</v>
      </c>
      <c r="H91" s="2">
        <v>37.9</v>
      </c>
      <c r="I91" s="2">
        <v>568.5</v>
      </c>
      <c r="J91" s="14" t="e">
        <f t="shared" si="1"/>
        <v>#VALUE!</v>
      </c>
      <c r="K91" s="15" t="e">
        <f t="shared" si="2"/>
        <v>#VALUE!</v>
      </c>
      <c r="L91" s="1">
        <v>0</v>
      </c>
      <c r="M91" s="1" t="str">
        <f>IFERROR(VLOOKUP(A91:A182,'280726 ph.k.'!$A$2:$S$62,19,FALSE),"")</f>
        <v/>
      </c>
      <c r="N91" s="1" t="e">
        <f t="shared" si="3"/>
        <v>#VALUE!</v>
      </c>
      <c r="O91" s="1" t="str">
        <f>IFERROR(VLOOKUP(A91:A182,'280726 ph.k.'!$A$2:$N$62,14,FALSE),"")</f>
        <v/>
      </c>
      <c r="P91" s="17" t="e">
        <f t="shared" si="15"/>
        <v>#VALUE!</v>
      </c>
      <c r="Q91" s="1">
        <v>0</v>
      </c>
      <c r="R91" s="1">
        <v>0</v>
      </c>
      <c r="S91" s="17">
        <f t="shared" si="17"/>
        <v>0</v>
      </c>
      <c r="T91" s="1">
        <v>0</v>
      </c>
      <c r="U91" s="1">
        <v>0</v>
      </c>
      <c r="V91" s="17">
        <f t="shared" si="16"/>
        <v>0</v>
      </c>
      <c r="W91" s="1"/>
      <c r="X91" s="1">
        <v>0</v>
      </c>
      <c r="Y91" s="34" t="e">
        <f t="shared" si="4"/>
        <v>#VALUE!</v>
      </c>
      <c r="Z91" s="20" t="e">
        <f t="shared" si="5"/>
        <v>#VALUE!</v>
      </c>
      <c r="AA91" s="34" t="e">
        <f t="shared" si="6"/>
        <v>#VALUE!</v>
      </c>
      <c r="AB91" s="2" t="e">
        <f t="shared" si="7"/>
        <v>#VALUE!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</row>
    <row r="92" spans="1:68" x14ac:dyDescent="0.2">
      <c r="A92" s="1">
        <v>48083</v>
      </c>
      <c r="B92" s="1" t="s">
        <v>142</v>
      </c>
      <c r="C92" s="1">
        <v>12</v>
      </c>
      <c r="D92" s="1">
        <v>677</v>
      </c>
      <c r="E92" s="1" t="s">
        <v>64</v>
      </c>
      <c r="F92" s="1">
        <v>690</v>
      </c>
      <c r="G92" s="1" t="s">
        <v>101</v>
      </c>
      <c r="H92" s="2">
        <v>42.332500000000003</v>
      </c>
      <c r="I92" s="2">
        <v>507.99</v>
      </c>
      <c r="J92" s="14" t="e">
        <f t="shared" si="1"/>
        <v>#VALUE!</v>
      </c>
      <c r="K92" s="15" t="e">
        <f t="shared" si="2"/>
        <v>#VALUE!</v>
      </c>
      <c r="L92" s="1">
        <v>0</v>
      </c>
      <c r="M92" s="1" t="str">
        <f>IFERROR(VLOOKUP(A92:A183,'280726 ph.k.'!$A$2:$S$62,19,FALSE),"")</f>
        <v/>
      </c>
      <c r="N92" s="1" t="e">
        <f t="shared" si="3"/>
        <v>#VALUE!</v>
      </c>
      <c r="O92" s="1" t="str">
        <f>IFERROR(VLOOKUP(A92:A183,'280726 ph.k.'!$A$2:$N$62,14,FALSE),"")</f>
        <v/>
      </c>
      <c r="P92" s="17" t="e">
        <f t="shared" si="15"/>
        <v>#VALUE!</v>
      </c>
      <c r="Q92" s="1">
        <v>0</v>
      </c>
      <c r="R92" s="1">
        <v>0</v>
      </c>
      <c r="S92" s="17">
        <f t="shared" si="17"/>
        <v>0</v>
      </c>
      <c r="T92" s="1">
        <v>0</v>
      </c>
      <c r="U92" s="1">
        <v>0</v>
      </c>
      <c r="V92" s="17">
        <f t="shared" si="16"/>
        <v>0</v>
      </c>
      <c r="W92" s="1"/>
      <c r="X92" s="1">
        <v>0</v>
      </c>
      <c r="Y92" s="34" t="e">
        <f t="shared" si="4"/>
        <v>#VALUE!</v>
      </c>
      <c r="Z92" s="20" t="e">
        <f t="shared" si="5"/>
        <v>#VALUE!</v>
      </c>
      <c r="AA92" s="34" t="e">
        <f t="shared" si="6"/>
        <v>#VALUE!</v>
      </c>
      <c r="AB92" s="2" t="e">
        <f t="shared" si="7"/>
        <v>#VALUE!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</row>
    <row r="93" spans="1:68" x14ac:dyDescent="0.2">
      <c r="A93" s="1">
        <v>47055</v>
      </c>
      <c r="B93" s="1" t="s">
        <v>231</v>
      </c>
      <c r="C93" s="1">
        <v>18</v>
      </c>
      <c r="D93" s="1">
        <v>677</v>
      </c>
      <c r="E93" s="1" t="s">
        <v>64</v>
      </c>
      <c r="F93" s="1">
        <v>61</v>
      </c>
      <c r="G93" s="1" t="s">
        <v>66</v>
      </c>
      <c r="H93" s="2">
        <v>32.665999999999997</v>
      </c>
      <c r="I93" s="2">
        <v>587.98800000000006</v>
      </c>
      <c r="J93" s="14">
        <f t="shared" si="1"/>
        <v>-1763.9640000000002</v>
      </c>
      <c r="K93" s="15">
        <f t="shared" si="2"/>
        <v>-3</v>
      </c>
      <c r="L93" s="1">
        <v>0</v>
      </c>
      <c r="M93" s="1">
        <f>IFERROR(VLOOKUP(A93:A184,'280726 ph.k.'!$A$2:$S$62,19,FALSE),"")</f>
        <v>0</v>
      </c>
      <c r="N93" s="1">
        <f t="shared" si="3"/>
        <v>0</v>
      </c>
      <c r="O93" s="1">
        <f>IFERROR(VLOOKUP(A93:A184,'280726 ph.k.'!$A$2:$N$62,14,FALSE),"")</f>
        <v>0</v>
      </c>
      <c r="P93" s="17">
        <f t="shared" si="15"/>
        <v>0</v>
      </c>
      <c r="Q93" s="1">
        <v>0</v>
      </c>
      <c r="R93" s="1">
        <v>3</v>
      </c>
      <c r="S93" s="17">
        <f t="shared" si="17"/>
        <v>-3</v>
      </c>
      <c r="T93" s="1">
        <v>0</v>
      </c>
      <c r="U93" s="1">
        <v>0</v>
      </c>
      <c r="V93" s="17">
        <f t="shared" si="16"/>
        <v>0</v>
      </c>
      <c r="W93" s="1"/>
      <c r="X93" s="1">
        <v>2</v>
      </c>
      <c r="Y93" s="34">
        <f t="shared" si="4"/>
        <v>0</v>
      </c>
      <c r="Z93" s="20">
        <f t="shared" si="5"/>
        <v>0</v>
      </c>
      <c r="AA93" s="34">
        <f t="shared" si="6"/>
        <v>3</v>
      </c>
      <c r="AB93" s="2">
        <f t="shared" si="7"/>
        <v>1763.9640000000002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54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</row>
    <row r="94" spans="1:68" x14ac:dyDescent="0.2">
      <c r="A94" s="1">
        <v>47054</v>
      </c>
      <c r="B94" s="1" t="s">
        <v>230</v>
      </c>
      <c r="C94" s="1">
        <v>18</v>
      </c>
      <c r="D94" s="1">
        <v>677</v>
      </c>
      <c r="E94" s="1" t="s">
        <v>64</v>
      </c>
      <c r="F94" s="1">
        <v>61</v>
      </c>
      <c r="G94" s="1" t="s">
        <v>66</v>
      </c>
      <c r="H94" s="2">
        <v>32.665999999999997</v>
      </c>
      <c r="I94" s="2">
        <v>587.98800000000006</v>
      </c>
      <c r="J94" s="14">
        <f t="shared" si="1"/>
        <v>-3527.9280000000003</v>
      </c>
      <c r="K94" s="15">
        <f t="shared" si="2"/>
        <v>-6</v>
      </c>
      <c r="L94" s="1">
        <v>0</v>
      </c>
      <c r="M94" s="1">
        <f>IFERROR(VLOOKUP(A94:A185,'280726 ph.k.'!$A$2:$S$62,19,FALSE),"")</f>
        <v>0</v>
      </c>
      <c r="N94" s="1">
        <f t="shared" si="3"/>
        <v>0</v>
      </c>
      <c r="O94" s="1">
        <f>IFERROR(VLOOKUP(A94:A185,'280726 ph.k.'!$A$2:$N$62,14,FALSE),"")</f>
        <v>0</v>
      </c>
      <c r="P94" s="17">
        <f t="shared" si="15"/>
        <v>0</v>
      </c>
      <c r="Q94" s="1">
        <v>0</v>
      </c>
      <c r="R94" s="1">
        <v>6</v>
      </c>
      <c r="S94" s="17">
        <f t="shared" si="17"/>
        <v>-6</v>
      </c>
      <c r="T94" s="1">
        <v>0</v>
      </c>
      <c r="U94" s="1">
        <v>0</v>
      </c>
      <c r="V94" s="17">
        <f t="shared" si="16"/>
        <v>0</v>
      </c>
      <c r="W94" s="1"/>
      <c r="X94" s="1">
        <v>0</v>
      </c>
      <c r="Y94" s="34">
        <f t="shared" si="4"/>
        <v>0</v>
      </c>
      <c r="Z94" s="20">
        <f t="shared" si="5"/>
        <v>0</v>
      </c>
      <c r="AA94" s="34">
        <f t="shared" si="6"/>
        <v>6</v>
      </c>
      <c r="AB94" s="2">
        <f t="shared" si="7"/>
        <v>3527.9280000000003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108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</row>
    <row r="95" spans="1:68" x14ac:dyDescent="0.2">
      <c r="H95" s="26"/>
      <c r="I95" s="26"/>
      <c r="J95" s="26"/>
      <c r="Y95" s="96"/>
      <c r="Z95" s="26"/>
      <c r="AA95" s="96"/>
      <c r="AB95" s="26"/>
    </row>
    <row r="96" spans="1:68" x14ac:dyDescent="0.2">
      <c r="H96" s="26"/>
      <c r="I96" s="26"/>
      <c r="J96" s="26"/>
      <c r="Y96" s="96"/>
      <c r="Z96" s="26"/>
      <c r="AA96" s="96"/>
      <c r="AB96" s="26"/>
    </row>
    <row r="97" spans="8:28" x14ac:dyDescent="0.2">
      <c r="H97" s="26"/>
      <c r="I97" s="26"/>
      <c r="J97" s="26"/>
      <c r="Y97" s="96"/>
      <c r="Z97" s="26"/>
      <c r="AA97" s="96"/>
      <c r="AB97" s="26"/>
    </row>
    <row r="98" spans="8:28" x14ac:dyDescent="0.2">
      <c r="H98" s="26"/>
      <c r="I98" s="26"/>
      <c r="J98" s="26"/>
      <c r="Y98" s="96"/>
      <c r="Z98" s="26"/>
      <c r="AA98" s="96"/>
      <c r="AB98" s="26"/>
    </row>
    <row r="99" spans="8:28" x14ac:dyDescent="0.2">
      <c r="H99" s="26"/>
      <c r="I99" s="26"/>
      <c r="J99" s="26"/>
      <c r="Y99" s="96"/>
      <c r="Z99" s="26"/>
      <c r="AA99" s="96"/>
      <c r="AB99" s="26"/>
    </row>
    <row r="100" spans="8:28" x14ac:dyDescent="0.2">
      <c r="H100" s="26"/>
      <c r="I100" s="26"/>
      <c r="J100" s="26"/>
      <c r="Y100" s="96"/>
      <c r="Z100" s="26"/>
      <c r="AA100" s="96"/>
      <c r="AB100" s="26"/>
    </row>
    <row r="101" spans="8:28" x14ac:dyDescent="0.2">
      <c r="H101" s="26"/>
      <c r="I101" s="26"/>
      <c r="J101" s="26"/>
      <c r="Y101" s="96"/>
      <c r="Z101" s="26"/>
      <c r="AA101" s="96"/>
      <c r="AB101" s="26"/>
    </row>
    <row r="102" spans="8:28" x14ac:dyDescent="0.2">
      <c r="H102" s="26"/>
      <c r="I102" s="26"/>
      <c r="J102" s="26"/>
      <c r="Y102" s="96"/>
      <c r="Z102" s="26"/>
      <c r="AA102" s="96"/>
      <c r="AB102" s="26"/>
    </row>
    <row r="103" spans="8:28" x14ac:dyDescent="0.2">
      <c r="H103" s="26"/>
      <c r="I103" s="26"/>
      <c r="J103" s="26"/>
      <c r="Y103" s="96"/>
      <c r="Z103" s="26"/>
      <c r="AA103" s="96"/>
      <c r="AB103" s="26"/>
    </row>
    <row r="104" spans="8:28" x14ac:dyDescent="0.2">
      <c r="H104" s="26"/>
      <c r="I104" s="26"/>
      <c r="J104" s="26"/>
      <c r="Y104" s="96"/>
      <c r="Z104" s="26"/>
      <c r="AA104" s="96"/>
      <c r="AB104" s="26"/>
    </row>
    <row r="105" spans="8:28" x14ac:dyDescent="0.2">
      <c r="H105" s="26"/>
      <c r="I105" s="26"/>
      <c r="J105" s="26"/>
      <c r="Y105" s="96"/>
      <c r="Z105" s="26"/>
      <c r="AA105" s="96"/>
      <c r="AB105" s="26"/>
    </row>
    <row r="106" spans="8:28" x14ac:dyDescent="0.2">
      <c r="H106" s="26"/>
      <c r="I106" s="26"/>
      <c r="J106" s="26"/>
      <c r="Y106" s="96"/>
      <c r="Z106" s="26"/>
      <c r="AA106" s="96"/>
      <c r="AB106" s="26"/>
    </row>
    <row r="107" spans="8:28" x14ac:dyDescent="0.2">
      <c r="H107" s="26"/>
      <c r="I107" s="26"/>
      <c r="J107" s="26"/>
      <c r="Y107" s="96"/>
      <c r="Z107" s="26"/>
      <c r="AA107" s="96"/>
      <c r="AB107" s="26"/>
    </row>
    <row r="108" spans="8:28" x14ac:dyDescent="0.2">
      <c r="H108" s="26"/>
      <c r="I108" s="26"/>
      <c r="J108" s="26"/>
      <c r="Y108" s="96"/>
      <c r="Z108" s="26"/>
      <c r="AA108" s="96"/>
      <c r="AB108" s="26"/>
    </row>
    <row r="109" spans="8:28" x14ac:dyDescent="0.2">
      <c r="H109" s="26"/>
      <c r="I109" s="26"/>
      <c r="J109" s="26"/>
      <c r="Y109" s="96"/>
      <c r="Z109" s="26"/>
      <c r="AA109" s="96"/>
      <c r="AB109" s="26"/>
    </row>
    <row r="110" spans="8:28" x14ac:dyDescent="0.2">
      <c r="H110" s="26"/>
      <c r="I110" s="26"/>
      <c r="J110" s="26"/>
      <c r="Y110" s="96"/>
      <c r="Z110" s="26"/>
      <c r="AA110" s="96"/>
      <c r="AB110" s="26"/>
    </row>
    <row r="111" spans="8:28" x14ac:dyDescent="0.2">
      <c r="H111" s="26"/>
      <c r="I111" s="26"/>
      <c r="J111" s="26"/>
      <c r="Y111" s="96"/>
      <c r="Z111" s="26"/>
      <c r="AA111" s="96"/>
      <c r="AB111" s="26"/>
    </row>
    <row r="112" spans="8:28" x14ac:dyDescent="0.2">
      <c r="H112" s="26"/>
      <c r="I112" s="26"/>
      <c r="J112" s="26"/>
      <c r="Y112" s="96"/>
      <c r="Z112" s="26"/>
      <c r="AA112" s="96"/>
      <c r="AB112" s="26"/>
    </row>
    <row r="113" spans="8:28" x14ac:dyDescent="0.2">
      <c r="H113" s="26"/>
      <c r="I113" s="26"/>
      <c r="J113" s="26"/>
      <c r="Y113" s="96"/>
      <c r="Z113" s="26"/>
      <c r="AA113" s="96"/>
      <c r="AB113" s="26"/>
    </row>
    <row r="114" spans="8:28" x14ac:dyDescent="0.2">
      <c r="H114" s="26"/>
      <c r="I114" s="26"/>
      <c r="J114" s="26"/>
      <c r="Y114" s="96"/>
      <c r="Z114" s="26"/>
      <c r="AA114" s="96"/>
      <c r="AB114" s="26"/>
    </row>
    <row r="115" spans="8:28" x14ac:dyDescent="0.2">
      <c r="H115" s="26"/>
      <c r="I115" s="26"/>
      <c r="J115" s="26"/>
      <c r="Y115" s="96"/>
      <c r="Z115" s="26"/>
      <c r="AA115" s="96"/>
      <c r="AB115" s="26"/>
    </row>
    <row r="116" spans="8:28" x14ac:dyDescent="0.2">
      <c r="H116" s="26"/>
      <c r="I116" s="26"/>
      <c r="J116" s="26"/>
      <c r="Y116" s="96"/>
      <c r="Z116" s="26"/>
      <c r="AA116" s="96"/>
      <c r="AB116" s="26"/>
    </row>
    <row r="117" spans="8:28" x14ac:dyDescent="0.2">
      <c r="H117" s="26"/>
      <c r="I117" s="26"/>
      <c r="J117" s="26"/>
      <c r="Y117" s="96"/>
      <c r="Z117" s="26"/>
      <c r="AA117" s="96"/>
      <c r="AB117" s="26"/>
    </row>
    <row r="118" spans="8:28" x14ac:dyDescent="0.2">
      <c r="H118" s="26"/>
      <c r="I118" s="26"/>
      <c r="J118" s="26"/>
      <c r="Y118" s="96"/>
      <c r="Z118" s="26"/>
      <c r="AA118" s="96"/>
      <c r="AB118" s="26"/>
    </row>
    <row r="119" spans="8:28" x14ac:dyDescent="0.2">
      <c r="H119" s="26"/>
      <c r="I119" s="26"/>
      <c r="J119" s="26"/>
      <c r="Y119" s="96"/>
      <c r="Z119" s="26"/>
      <c r="AA119" s="96"/>
      <c r="AB119" s="26"/>
    </row>
    <row r="120" spans="8:28" x14ac:dyDescent="0.2">
      <c r="H120" s="26"/>
      <c r="I120" s="26"/>
      <c r="J120" s="26"/>
      <c r="Y120" s="96"/>
      <c r="Z120" s="26"/>
      <c r="AA120" s="96"/>
      <c r="AB120" s="26"/>
    </row>
    <row r="121" spans="8:28" x14ac:dyDescent="0.2">
      <c r="H121" s="26"/>
      <c r="I121" s="26"/>
      <c r="J121" s="26"/>
      <c r="Y121" s="96"/>
      <c r="Z121" s="26"/>
      <c r="AA121" s="96"/>
      <c r="AB121" s="26"/>
    </row>
    <row r="122" spans="8:28" x14ac:dyDescent="0.2">
      <c r="H122" s="26"/>
      <c r="I122" s="26"/>
      <c r="J122" s="26"/>
      <c r="Y122" s="96"/>
      <c r="Z122" s="26"/>
      <c r="AA122" s="96"/>
      <c r="AB122" s="26"/>
    </row>
    <row r="123" spans="8:28" x14ac:dyDescent="0.2">
      <c r="H123" s="26"/>
      <c r="I123" s="26"/>
      <c r="J123" s="26"/>
      <c r="Y123" s="96"/>
      <c r="Z123" s="26"/>
      <c r="AA123" s="96"/>
      <c r="AB123" s="26"/>
    </row>
    <row r="124" spans="8:28" x14ac:dyDescent="0.2">
      <c r="H124" s="26"/>
      <c r="I124" s="26"/>
      <c r="J124" s="26"/>
      <c r="Y124" s="96"/>
      <c r="Z124" s="26"/>
      <c r="AA124" s="96"/>
      <c r="AB124" s="26"/>
    </row>
    <row r="125" spans="8:28" x14ac:dyDescent="0.2">
      <c r="H125" s="26"/>
      <c r="I125" s="26"/>
      <c r="J125" s="26"/>
      <c r="Y125" s="96"/>
      <c r="Z125" s="26"/>
      <c r="AA125" s="96"/>
      <c r="AB125" s="26"/>
    </row>
    <row r="126" spans="8:28" x14ac:dyDescent="0.2">
      <c r="H126" s="26"/>
      <c r="I126" s="26"/>
      <c r="J126" s="26"/>
      <c r="Y126" s="96"/>
      <c r="Z126" s="26"/>
      <c r="AA126" s="96"/>
      <c r="AB126" s="26"/>
    </row>
    <row r="127" spans="8:28" x14ac:dyDescent="0.2">
      <c r="H127" s="26"/>
      <c r="I127" s="26"/>
      <c r="J127" s="26"/>
      <c r="Y127" s="96"/>
      <c r="Z127" s="26"/>
      <c r="AA127" s="96"/>
      <c r="AB127" s="26"/>
    </row>
    <row r="128" spans="8:28" x14ac:dyDescent="0.2">
      <c r="H128" s="26"/>
      <c r="I128" s="26"/>
      <c r="J128" s="26"/>
      <c r="Y128" s="96"/>
      <c r="Z128" s="26"/>
      <c r="AA128" s="96"/>
      <c r="AB128" s="26"/>
    </row>
    <row r="129" spans="8:28" x14ac:dyDescent="0.2">
      <c r="H129" s="26"/>
      <c r="I129" s="26"/>
      <c r="J129" s="26"/>
      <c r="Y129" s="96"/>
      <c r="Z129" s="26"/>
      <c r="AA129" s="96"/>
      <c r="AB129" s="26"/>
    </row>
    <row r="130" spans="8:28" x14ac:dyDescent="0.2">
      <c r="H130" s="26"/>
      <c r="I130" s="26"/>
      <c r="J130" s="26"/>
      <c r="Y130" s="96"/>
      <c r="Z130" s="26"/>
      <c r="AA130" s="96"/>
      <c r="AB130" s="26"/>
    </row>
    <row r="131" spans="8:28" x14ac:dyDescent="0.2">
      <c r="H131" s="26"/>
      <c r="I131" s="26"/>
      <c r="J131" s="26"/>
      <c r="Y131" s="96"/>
      <c r="Z131" s="26"/>
      <c r="AA131" s="96"/>
      <c r="AB131" s="26"/>
    </row>
    <row r="132" spans="8:28" x14ac:dyDescent="0.2">
      <c r="H132" s="26"/>
      <c r="I132" s="26"/>
      <c r="J132" s="26"/>
      <c r="Y132" s="96"/>
      <c r="Z132" s="26"/>
      <c r="AA132" s="96"/>
      <c r="AB132" s="26"/>
    </row>
    <row r="133" spans="8:28" x14ac:dyDescent="0.2">
      <c r="H133" s="26"/>
      <c r="I133" s="26"/>
      <c r="J133" s="26"/>
      <c r="Y133" s="96"/>
      <c r="Z133" s="26"/>
      <c r="AA133" s="96"/>
      <c r="AB133" s="26"/>
    </row>
    <row r="134" spans="8:28" x14ac:dyDescent="0.2">
      <c r="H134" s="26"/>
      <c r="I134" s="26"/>
      <c r="J134" s="26"/>
      <c r="Y134" s="96"/>
      <c r="Z134" s="26"/>
      <c r="AA134" s="96"/>
      <c r="AB134" s="26"/>
    </row>
    <row r="135" spans="8:28" x14ac:dyDescent="0.2">
      <c r="H135" s="26"/>
      <c r="I135" s="26"/>
      <c r="J135" s="26"/>
      <c r="Y135" s="96"/>
      <c r="Z135" s="26"/>
      <c r="AA135" s="96"/>
      <c r="AB135" s="26"/>
    </row>
    <row r="136" spans="8:28" x14ac:dyDescent="0.2">
      <c r="H136" s="26"/>
      <c r="I136" s="26"/>
      <c r="J136" s="26"/>
      <c r="Y136" s="96"/>
      <c r="Z136" s="26"/>
      <c r="AA136" s="96"/>
      <c r="AB136" s="26"/>
    </row>
    <row r="137" spans="8:28" x14ac:dyDescent="0.2">
      <c r="H137" s="26"/>
      <c r="I137" s="26"/>
      <c r="J137" s="26"/>
      <c r="Y137" s="96"/>
      <c r="Z137" s="26"/>
      <c r="AA137" s="96"/>
      <c r="AB137" s="26"/>
    </row>
    <row r="138" spans="8:28" x14ac:dyDescent="0.2">
      <c r="H138" s="26"/>
      <c r="I138" s="26"/>
      <c r="J138" s="26"/>
      <c r="Y138" s="96"/>
      <c r="Z138" s="26"/>
      <c r="AA138" s="96"/>
      <c r="AB138" s="26"/>
    </row>
    <row r="139" spans="8:28" x14ac:dyDescent="0.2">
      <c r="H139" s="26"/>
      <c r="I139" s="26"/>
      <c r="J139" s="26"/>
      <c r="Y139" s="96"/>
      <c r="Z139" s="26"/>
      <c r="AA139" s="96"/>
      <c r="AB139" s="26"/>
    </row>
    <row r="140" spans="8:28" x14ac:dyDescent="0.2">
      <c r="H140" s="26"/>
      <c r="I140" s="26"/>
      <c r="J140" s="26"/>
      <c r="Y140" s="96"/>
      <c r="Z140" s="26"/>
      <c r="AA140" s="96"/>
      <c r="AB140" s="26"/>
    </row>
    <row r="141" spans="8:28" x14ac:dyDescent="0.2">
      <c r="H141" s="26"/>
      <c r="I141" s="26"/>
      <c r="J141" s="26"/>
      <c r="Y141" s="96"/>
      <c r="Z141" s="26"/>
      <c r="AA141" s="96"/>
      <c r="AB141" s="26"/>
    </row>
    <row r="142" spans="8:28" x14ac:dyDescent="0.2">
      <c r="H142" s="26"/>
      <c r="I142" s="26"/>
      <c r="J142" s="26"/>
      <c r="Y142" s="96"/>
      <c r="Z142" s="26"/>
      <c r="AA142" s="96"/>
      <c r="AB142" s="26"/>
    </row>
    <row r="143" spans="8:28" x14ac:dyDescent="0.2">
      <c r="H143" s="26"/>
      <c r="I143" s="26"/>
      <c r="J143" s="26"/>
      <c r="Y143" s="96"/>
      <c r="Z143" s="26"/>
      <c r="AA143" s="96"/>
      <c r="AB143" s="26"/>
    </row>
    <row r="144" spans="8:28" x14ac:dyDescent="0.2">
      <c r="H144" s="26"/>
      <c r="I144" s="26"/>
      <c r="J144" s="26"/>
      <c r="Y144" s="96"/>
      <c r="Z144" s="26"/>
      <c r="AA144" s="96"/>
      <c r="AB144" s="26"/>
    </row>
    <row r="145" spans="8:28" x14ac:dyDescent="0.2">
      <c r="H145" s="26"/>
      <c r="I145" s="26"/>
      <c r="J145" s="26"/>
      <c r="Y145" s="96"/>
      <c r="Z145" s="26"/>
      <c r="AA145" s="96"/>
      <c r="AB145" s="26"/>
    </row>
    <row r="146" spans="8:28" x14ac:dyDescent="0.2">
      <c r="H146" s="26"/>
      <c r="I146" s="26"/>
      <c r="J146" s="26"/>
      <c r="Y146" s="96"/>
      <c r="Z146" s="26"/>
      <c r="AA146" s="96"/>
      <c r="AB146" s="26"/>
    </row>
    <row r="147" spans="8:28" x14ac:dyDescent="0.2">
      <c r="H147" s="26"/>
      <c r="I147" s="26"/>
      <c r="J147" s="26"/>
      <c r="Y147" s="96"/>
      <c r="Z147" s="26"/>
      <c r="AA147" s="96"/>
      <c r="AB147" s="26"/>
    </row>
    <row r="148" spans="8:28" x14ac:dyDescent="0.2">
      <c r="H148" s="26"/>
      <c r="I148" s="26"/>
      <c r="J148" s="26"/>
      <c r="Y148" s="96"/>
      <c r="Z148" s="26"/>
      <c r="AA148" s="96"/>
      <c r="AB148" s="26"/>
    </row>
    <row r="149" spans="8:28" x14ac:dyDescent="0.2">
      <c r="H149" s="26"/>
      <c r="I149" s="26"/>
      <c r="J149" s="26"/>
      <c r="Y149" s="96"/>
      <c r="Z149" s="26"/>
      <c r="AA149" s="96"/>
      <c r="AB149" s="26"/>
    </row>
    <row r="150" spans="8:28" x14ac:dyDescent="0.2">
      <c r="H150" s="26"/>
      <c r="I150" s="26"/>
      <c r="J150" s="26"/>
      <c r="Y150" s="96"/>
      <c r="Z150" s="26"/>
      <c r="AA150" s="96"/>
      <c r="AB150" s="26"/>
    </row>
    <row r="151" spans="8:28" x14ac:dyDescent="0.2">
      <c r="H151" s="26"/>
      <c r="I151" s="26"/>
      <c r="J151" s="26"/>
      <c r="Y151" s="96"/>
      <c r="Z151" s="26"/>
      <c r="AA151" s="96"/>
      <c r="AB151" s="26"/>
    </row>
    <row r="152" spans="8:28" x14ac:dyDescent="0.2">
      <c r="H152" s="26"/>
      <c r="I152" s="26"/>
      <c r="J152" s="26"/>
      <c r="Y152" s="96"/>
      <c r="Z152" s="26"/>
      <c r="AA152" s="96"/>
      <c r="AB152" s="26"/>
    </row>
    <row r="153" spans="8:28" x14ac:dyDescent="0.2">
      <c r="H153" s="26"/>
      <c r="I153" s="26"/>
      <c r="J153" s="26"/>
      <c r="Y153" s="96"/>
      <c r="Z153" s="26"/>
      <c r="AA153" s="96"/>
      <c r="AB153" s="26"/>
    </row>
    <row r="154" spans="8:28" x14ac:dyDescent="0.2">
      <c r="H154" s="26"/>
      <c r="I154" s="26"/>
      <c r="J154" s="26"/>
      <c r="Y154" s="96"/>
      <c r="Z154" s="26"/>
      <c r="AA154" s="96"/>
      <c r="AB154" s="26"/>
    </row>
    <row r="155" spans="8:28" x14ac:dyDescent="0.2">
      <c r="H155" s="26"/>
      <c r="I155" s="26"/>
      <c r="J155" s="26"/>
      <c r="Y155" s="96"/>
      <c r="Z155" s="26"/>
      <c r="AA155" s="96"/>
      <c r="AB155" s="26"/>
    </row>
    <row r="156" spans="8:28" x14ac:dyDescent="0.2">
      <c r="H156" s="26"/>
      <c r="I156" s="26"/>
      <c r="J156" s="26"/>
      <c r="Y156" s="96"/>
      <c r="Z156" s="26"/>
      <c r="AA156" s="96"/>
      <c r="AB156" s="26"/>
    </row>
    <row r="157" spans="8:28" x14ac:dyDescent="0.2">
      <c r="H157" s="26"/>
      <c r="I157" s="26"/>
      <c r="J157" s="26"/>
      <c r="Y157" s="96"/>
      <c r="Z157" s="26"/>
      <c r="AA157" s="96"/>
      <c r="AB157" s="26"/>
    </row>
    <row r="158" spans="8:28" x14ac:dyDescent="0.2">
      <c r="H158" s="26"/>
      <c r="I158" s="26"/>
      <c r="J158" s="26"/>
      <c r="Y158" s="96"/>
      <c r="Z158" s="26"/>
      <c r="AA158" s="96"/>
      <c r="AB158" s="26"/>
    </row>
    <row r="159" spans="8:28" x14ac:dyDescent="0.2">
      <c r="H159" s="26"/>
      <c r="I159" s="26"/>
      <c r="J159" s="26"/>
      <c r="Y159" s="96"/>
      <c r="Z159" s="26"/>
      <c r="AA159" s="96"/>
      <c r="AB159" s="26"/>
    </row>
    <row r="160" spans="8:28" x14ac:dyDescent="0.2">
      <c r="H160" s="26"/>
      <c r="I160" s="26"/>
      <c r="J160" s="26"/>
      <c r="Y160" s="96"/>
      <c r="Z160" s="26"/>
      <c r="AA160" s="96"/>
      <c r="AB160" s="26"/>
    </row>
    <row r="161" spans="8:28" x14ac:dyDescent="0.2">
      <c r="H161" s="26"/>
      <c r="I161" s="26"/>
      <c r="J161" s="26"/>
      <c r="Y161" s="96"/>
      <c r="Z161" s="26"/>
      <c r="AA161" s="96"/>
      <c r="AB161" s="26"/>
    </row>
    <row r="162" spans="8:28" x14ac:dyDescent="0.2">
      <c r="H162" s="26"/>
      <c r="I162" s="26"/>
      <c r="J162" s="26"/>
      <c r="Y162" s="96"/>
      <c r="Z162" s="26"/>
      <c r="AA162" s="96"/>
      <c r="AB162" s="26"/>
    </row>
    <row r="163" spans="8:28" x14ac:dyDescent="0.2">
      <c r="H163" s="26"/>
      <c r="I163" s="26"/>
      <c r="J163" s="26"/>
      <c r="Y163" s="96"/>
      <c r="Z163" s="26"/>
      <c r="AA163" s="96"/>
      <c r="AB163" s="26"/>
    </row>
    <row r="164" spans="8:28" x14ac:dyDescent="0.2">
      <c r="H164" s="26"/>
      <c r="I164" s="26"/>
      <c r="J164" s="26"/>
      <c r="Y164" s="96"/>
      <c r="Z164" s="26"/>
      <c r="AA164" s="96"/>
      <c r="AB164" s="26"/>
    </row>
    <row r="165" spans="8:28" x14ac:dyDescent="0.2">
      <c r="H165" s="26"/>
      <c r="I165" s="26"/>
      <c r="J165" s="26"/>
      <c r="Y165" s="96"/>
      <c r="Z165" s="26"/>
      <c r="AA165" s="96"/>
      <c r="AB165" s="26"/>
    </row>
    <row r="166" spans="8:28" x14ac:dyDescent="0.2">
      <c r="H166" s="26"/>
      <c r="I166" s="26"/>
      <c r="J166" s="26"/>
      <c r="Y166" s="96"/>
      <c r="Z166" s="26"/>
      <c r="AA166" s="96"/>
      <c r="AB166" s="26"/>
    </row>
    <row r="167" spans="8:28" x14ac:dyDescent="0.2">
      <c r="H167" s="26"/>
      <c r="I167" s="26"/>
      <c r="J167" s="26"/>
      <c r="Y167" s="96"/>
      <c r="Z167" s="26"/>
      <c r="AA167" s="96"/>
      <c r="AB167" s="26"/>
    </row>
    <row r="168" spans="8:28" x14ac:dyDescent="0.2">
      <c r="H168" s="26"/>
      <c r="I168" s="26"/>
      <c r="J168" s="26"/>
      <c r="Y168" s="96"/>
      <c r="Z168" s="26"/>
      <c r="AA168" s="96"/>
      <c r="AB168" s="26"/>
    </row>
    <row r="169" spans="8:28" x14ac:dyDescent="0.2">
      <c r="H169" s="26"/>
      <c r="I169" s="26"/>
      <c r="J169" s="26"/>
      <c r="Y169" s="96"/>
      <c r="Z169" s="26"/>
      <c r="AA169" s="96"/>
      <c r="AB169" s="26"/>
    </row>
    <row r="170" spans="8:28" x14ac:dyDescent="0.2">
      <c r="H170" s="26"/>
      <c r="I170" s="26"/>
      <c r="J170" s="26"/>
      <c r="Y170" s="96"/>
      <c r="Z170" s="26"/>
      <c r="AA170" s="96"/>
      <c r="AB170" s="26"/>
    </row>
    <row r="171" spans="8:28" x14ac:dyDescent="0.2">
      <c r="H171" s="26"/>
      <c r="I171" s="26"/>
      <c r="J171" s="26"/>
      <c r="Y171" s="96"/>
      <c r="Z171" s="26"/>
      <c r="AA171" s="96"/>
      <c r="AB171" s="26"/>
    </row>
    <row r="172" spans="8:28" x14ac:dyDescent="0.2">
      <c r="H172" s="26"/>
      <c r="I172" s="26"/>
      <c r="J172" s="26"/>
      <c r="Y172" s="96"/>
      <c r="Z172" s="26"/>
      <c r="AA172" s="96"/>
      <c r="AB172" s="26"/>
    </row>
    <row r="173" spans="8:28" x14ac:dyDescent="0.2">
      <c r="H173" s="26"/>
      <c r="I173" s="26"/>
      <c r="J173" s="26"/>
      <c r="Y173" s="96"/>
      <c r="Z173" s="26"/>
      <c r="AA173" s="96"/>
      <c r="AB173" s="26"/>
    </row>
    <row r="174" spans="8:28" x14ac:dyDescent="0.2">
      <c r="H174" s="26"/>
      <c r="I174" s="26"/>
      <c r="J174" s="26"/>
      <c r="Y174" s="96"/>
      <c r="Z174" s="26"/>
      <c r="AA174" s="96"/>
      <c r="AB174" s="26"/>
    </row>
    <row r="175" spans="8:28" x14ac:dyDescent="0.2">
      <c r="H175" s="26"/>
      <c r="I175" s="26"/>
      <c r="J175" s="26"/>
      <c r="Y175" s="96"/>
      <c r="Z175" s="26"/>
      <c r="AA175" s="96"/>
      <c r="AB175" s="26"/>
    </row>
    <row r="176" spans="8:28" x14ac:dyDescent="0.2">
      <c r="H176" s="26"/>
      <c r="I176" s="26"/>
      <c r="J176" s="26"/>
      <c r="Y176" s="96"/>
      <c r="Z176" s="26"/>
      <c r="AA176" s="96"/>
      <c r="AB176" s="26"/>
    </row>
    <row r="177" spans="8:28" x14ac:dyDescent="0.2">
      <c r="H177" s="26"/>
      <c r="I177" s="26"/>
      <c r="J177" s="26"/>
      <c r="Y177" s="96"/>
      <c r="Z177" s="26"/>
      <c r="AA177" s="96"/>
      <c r="AB177" s="26"/>
    </row>
    <row r="178" spans="8:28" x14ac:dyDescent="0.2">
      <c r="H178" s="26"/>
      <c r="I178" s="26"/>
      <c r="J178" s="26"/>
      <c r="Y178" s="96"/>
      <c r="Z178" s="26"/>
      <c r="AA178" s="96"/>
      <c r="AB178" s="26"/>
    </row>
    <row r="179" spans="8:28" x14ac:dyDescent="0.2">
      <c r="H179" s="26"/>
      <c r="I179" s="26"/>
      <c r="J179" s="26"/>
      <c r="Y179" s="96"/>
      <c r="Z179" s="26"/>
      <c r="AA179" s="96"/>
      <c r="AB179" s="26"/>
    </row>
    <row r="180" spans="8:28" x14ac:dyDescent="0.2">
      <c r="H180" s="26"/>
      <c r="I180" s="26"/>
      <c r="J180" s="26"/>
      <c r="Y180" s="96"/>
      <c r="Z180" s="26"/>
      <c r="AA180" s="96"/>
      <c r="AB180" s="26"/>
    </row>
    <row r="181" spans="8:28" x14ac:dyDescent="0.2">
      <c r="H181" s="26"/>
      <c r="I181" s="26"/>
      <c r="J181" s="26"/>
      <c r="Y181" s="96"/>
      <c r="Z181" s="26"/>
      <c r="AA181" s="96"/>
      <c r="AB181" s="26"/>
    </row>
    <row r="182" spans="8:28" x14ac:dyDescent="0.2">
      <c r="H182" s="26"/>
      <c r="I182" s="26"/>
      <c r="J182" s="26"/>
      <c r="Y182" s="96"/>
      <c r="Z182" s="26"/>
      <c r="AA182" s="96"/>
      <c r="AB182" s="26"/>
    </row>
    <row r="183" spans="8:28" x14ac:dyDescent="0.2">
      <c r="H183" s="26"/>
      <c r="I183" s="26"/>
      <c r="J183" s="26"/>
      <c r="Y183" s="96"/>
      <c r="Z183" s="26"/>
      <c r="AA183" s="96"/>
      <c r="AB183" s="26"/>
    </row>
    <row r="184" spans="8:28" x14ac:dyDescent="0.2">
      <c r="H184" s="26"/>
      <c r="I184" s="26"/>
      <c r="J184" s="26"/>
      <c r="Y184" s="96"/>
      <c r="Z184" s="26"/>
      <c r="AA184" s="96"/>
      <c r="AB184" s="26"/>
    </row>
    <row r="185" spans="8:28" x14ac:dyDescent="0.2">
      <c r="H185" s="26"/>
      <c r="I185" s="26"/>
      <c r="J185" s="26"/>
      <c r="Y185" s="96"/>
      <c r="Z185" s="26"/>
      <c r="AA185" s="96"/>
      <c r="AB185" s="26"/>
    </row>
    <row r="186" spans="8:28" x14ac:dyDescent="0.2">
      <c r="H186" s="26"/>
      <c r="I186" s="26"/>
      <c r="J186" s="26"/>
      <c r="Y186" s="96"/>
      <c r="Z186" s="26"/>
      <c r="AA186" s="96"/>
      <c r="AB186" s="26"/>
    </row>
    <row r="187" spans="8:28" x14ac:dyDescent="0.2">
      <c r="H187" s="26"/>
      <c r="I187" s="26"/>
      <c r="J187" s="26"/>
      <c r="Y187" s="96"/>
      <c r="Z187" s="26"/>
      <c r="AA187" s="96"/>
      <c r="AB187" s="26"/>
    </row>
    <row r="188" spans="8:28" x14ac:dyDescent="0.2">
      <c r="H188" s="26"/>
      <c r="I188" s="26"/>
      <c r="J188" s="26"/>
      <c r="Y188" s="96"/>
      <c r="Z188" s="26"/>
      <c r="AA188" s="96"/>
      <c r="AB188" s="26"/>
    </row>
    <row r="189" spans="8:28" x14ac:dyDescent="0.2">
      <c r="H189" s="26"/>
      <c r="I189" s="26"/>
      <c r="J189" s="26"/>
      <c r="Y189" s="96"/>
      <c r="Z189" s="26"/>
      <c r="AA189" s="96"/>
      <c r="AB189" s="26"/>
    </row>
    <row r="190" spans="8:28" x14ac:dyDescent="0.2">
      <c r="H190" s="26"/>
      <c r="I190" s="26"/>
      <c r="J190" s="26"/>
      <c r="Y190" s="96"/>
      <c r="Z190" s="26"/>
      <c r="AA190" s="96"/>
      <c r="AB190" s="26"/>
    </row>
    <row r="191" spans="8:28" x14ac:dyDescent="0.2">
      <c r="H191" s="26"/>
      <c r="I191" s="26"/>
      <c r="J191" s="26"/>
      <c r="Y191" s="96"/>
      <c r="Z191" s="26"/>
      <c r="AA191" s="96"/>
      <c r="AB191" s="26"/>
    </row>
    <row r="192" spans="8:28" x14ac:dyDescent="0.2">
      <c r="H192" s="26"/>
      <c r="I192" s="26"/>
      <c r="J192" s="26"/>
      <c r="Y192" s="96"/>
      <c r="Z192" s="26"/>
      <c r="AA192" s="96"/>
      <c r="AB192" s="26"/>
    </row>
    <row r="193" spans="8:28" x14ac:dyDescent="0.2">
      <c r="H193" s="26"/>
      <c r="I193" s="26"/>
      <c r="J193" s="26"/>
      <c r="Y193" s="96"/>
      <c r="Z193" s="26"/>
      <c r="AA193" s="96"/>
      <c r="AB193" s="26"/>
    </row>
    <row r="194" spans="8:28" x14ac:dyDescent="0.2">
      <c r="H194" s="26"/>
      <c r="I194" s="26"/>
      <c r="J194" s="26"/>
      <c r="Y194" s="96"/>
      <c r="Z194" s="26"/>
      <c r="AA194" s="96"/>
      <c r="AB194" s="26"/>
    </row>
    <row r="195" spans="8:28" x14ac:dyDescent="0.2">
      <c r="H195" s="26"/>
      <c r="I195" s="26"/>
      <c r="J195" s="26"/>
      <c r="Y195" s="96"/>
      <c r="Z195" s="26"/>
      <c r="AA195" s="96"/>
      <c r="AB195" s="26"/>
    </row>
    <row r="196" spans="8:28" x14ac:dyDescent="0.2">
      <c r="H196" s="26"/>
      <c r="I196" s="26"/>
      <c r="J196" s="26"/>
      <c r="Y196" s="96"/>
      <c r="Z196" s="26"/>
      <c r="AA196" s="96"/>
      <c r="AB196" s="26"/>
    </row>
    <row r="197" spans="8:28" x14ac:dyDescent="0.2">
      <c r="H197" s="26"/>
      <c r="I197" s="26"/>
      <c r="J197" s="26"/>
      <c r="Y197" s="96"/>
      <c r="Z197" s="26"/>
      <c r="AA197" s="96"/>
      <c r="AB197" s="26"/>
    </row>
    <row r="198" spans="8:28" x14ac:dyDescent="0.2">
      <c r="H198" s="26"/>
      <c r="I198" s="26"/>
      <c r="J198" s="26"/>
      <c r="Y198" s="96"/>
      <c r="Z198" s="26"/>
      <c r="AA198" s="96"/>
      <c r="AB198" s="26"/>
    </row>
    <row r="199" spans="8:28" x14ac:dyDescent="0.2">
      <c r="H199" s="26"/>
      <c r="I199" s="26"/>
      <c r="J199" s="26"/>
      <c r="Y199" s="96"/>
      <c r="Z199" s="26"/>
      <c r="AA199" s="96"/>
      <c r="AB199" s="26"/>
    </row>
    <row r="200" spans="8:28" x14ac:dyDescent="0.2">
      <c r="H200" s="26"/>
      <c r="I200" s="26"/>
      <c r="J200" s="26"/>
      <c r="Y200" s="96"/>
      <c r="Z200" s="26"/>
      <c r="AA200" s="96"/>
      <c r="AB200" s="26"/>
    </row>
    <row r="201" spans="8:28" x14ac:dyDescent="0.2">
      <c r="H201" s="26"/>
      <c r="I201" s="26"/>
      <c r="J201" s="26"/>
      <c r="Y201" s="96"/>
      <c r="Z201" s="26"/>
      <c r="AA201" s="96"/>
      <c r="AB201" s="26"/>
    </row>
    <row r="202" spans="8:28" x14ac:dyDescent="0.2">
      <c r="H202" s="26"/>
      <c r="I202" s="26"/>
      <c r="J202" s="26"/>
      <c r="Y202" s="96"/>
      <c r="Z202" s="26"/>
      <c r="AA202" s="96"/>
      <c r="AB202" s="26"/>
    </row>
    <row r="203" spans="8:28" x14ac:dyDescent="0.2">
      <c r="H203" s="26"/>
      <c r="I203" s="26"/>
      <c r="J203" s="26"/>
      <c r="Y203" s="96"/>
      <c r="Z203" s="26"/>
      <c r="AA203" s="96"/>
      <c r="AB203" s="26"/>
    </row>
    <row r="204" spans="8:28" x14ac:dyDescent="0.2">
      <c r="H204" s="26"/>
      <c r="I204" s="26"/>
      <c r="J204" s="26"/>
      <c r="Y204" s="96"/>
      <c r="Z204" s="26"/>
      <c r="AA204" s="96"/>
      <c r="AB204" s="26"/>
    </row>
    <row r="205" spans="8:28" x14ac:dyDescent="0.2">
      <c r="H205" s="26"/>
      <c r="I205" s="26"/>
      <c r="J205" s="26"/>
      <c r="Y205" s="96"/>
      <c r="Z205" s="26"/>
      <c r="AA205" s="96"/>
      <c r="AB205" s="26"/>
    </row>
    <row r="206" spans="8:28" x14ac:dyDescent="0.2">
      <c r="H206" s="26"/>
      <c r="I206" s="26"/>
      <c r="J206" s="26"/>
      <c r="Y206" s="96"/>
      <c r="Z206" s="26"/>
      <c r="AA206" s="96"/>
      <c r="AB206" s="26"/>
    </row>
    <row r="207" spans="8:28" x14ac:dyDescent="0.2">
      <c r="H207" s="26"/>
      <c r="I207" s="26"/>
      <c r="J207" s="26"/>
      <c r="Y207" s="96"/>
      <c r="Z207" s="26"/>
      <c r="AA207" s="96"/>
      <c r="AB207" s="26"/>
    </row>
    <row r="208" spans="8:28" x14ac:dyDescent="0.2">
      <c r="H208" s="26"/>
      <c r="I208" s="26"/>
      <c r="J208" s="26"/>
      <c r="Y208" s="96"/>
      <c r="Z208" s="26"/>
      <c r="AA208" s="96"/>
      <c r="AB208" s="26"/>
    </row>
    <row r="209" spans="8:28" x14ac:dyDescent="0.2">
      <c r="H209" s="26"/>
      <c r="I209" s="26"/>
      <c r="J209" s="26"/>
      <c r="Y209" s="96"/>
      <c r="Z209" s="26"/>
      <c r="AA209" s="96"/>
      <c r="AB209" s="26"/>
    </row>
    <row r="210" spans="8:28" x14ac:dyDescent="0.2">
      <c r="H210" s="26"/>
      <c r="I210" s="26"/>
      <c r="J210" s="26"/>
      <c r="Y210" s="96"/>
      <c r="Z210" s="26"/>
      <c r="AA210" s="96"/>
      <c r="AB210" s="26"/>
    </row>
    <row r="211" spans="8:28" x14ac:dyDescent="0.2">
      <c r="H211" s="26"/>
      <c r="I211" s="26"/>
      <c r="J211" s="26"/>
      <c r="Y211" s="96"/>
      <c r="Z211" s="26"/>
      <c r="AA211" s="96"/>
      <c r="AB211" s="26"/>
    </row>
    <row r="212" spans="8:28" x14ac:dyDescent="0.2">
      <c r="H212" s="26"/>
      <c r="I212" s="26"/>
      <c r="J212" s="26"/>
      <c r="Y212" s="96"/>
      <c r="Z212" s="26"/>
      <c r="AA212" s="96"/>
      <c r="AB212" s="26"/>
    </row>
    <row r="213" spans="8:28" x14ac:dyDescent="0.2">
      <c r="H213" s="26"/>
      <c r="I213" s="26"/>
      <c r="J213" s="26"/>
      <c r="Y213" s="96"/>
      <c r="Z213" s="26"/>
      <c r="AA213" s="96"/>
      <c r="AB213" s="26"/>
    </row>
    <row r="214" spans="8:28" x14ac:dyDescent="0.2">
      <c r="H214" s="26"/>
      <c r="I214" s="26"/>
      <c r="J214" s="26"/>
      <c r="Y214" s="96"/>
      <c r="Z214" s="26"/>
      <c r="AA214" s="96"/>
      <c r="AB214" s="26"/>
    </row>
    <row r="215" spans="8:28" x14ac:dyDescent="0.2">
      <c r="H215" s="26"/>
      <c r="I215" s="26"/>
      <c r="J215" s="26"/>
      <c r="Y215" s="96"/>
      <c r="Z215" s="26"/>
      <c r="AA215" s="96"/>
      <c r="AB215" s="26"/>
    </row>
    <row r="216" spans="8:28" x14ac:dyDescent="0.2">
      <c r="H216" s="26"/>
      <c r="I216" s="26"/>
      <c r="J216" s="26"/>
      <c r="Y216" s="96"/>
      <c r="Z216" s="26"/>
      <c r="AA216" s="96"/>
      <c r="AB216" s="26"/>
    </row>
    <row r="217" spans="8:28" x14ac:dyDescent="0.2">
      <c r="H217" s="26"/>
      <c r="I217" s="26"/>
      <c r="J217" s="26"/>
      <c r="Y217" s="96"/>
      <c r="Z217" s="26"/>
      <c r="AA217" s="96"/>
      <c r="AB217" s="26"/>
    </row>
    <row r="218" spans="8:28" x14ac:dyDescent="0.2">
      <c r="H218" s="26"/>
      <c r="I218" s="26"/>
      <c r="J218" s="26"/>
      <c r="Y218" s="96"/>
      <c r="Z218" s="26"/>
      <c r="AA218" s="96"/>
      <c r="AB218" s="26"/>
    </row>
    <row r="219" spans="8:28" x14ac:dyDescent="0.2">
      <c r="H219" s="26"/>
      <c r="I219" s="26"/>
      <c r="J219" s="26"/>
      <c r="Y219" s="96"/>
      <c r="Z219" s="26"/>
      <c r="AA219" s="96"/>
      <c r="AB219" s="26"/>
    </row>
    <row r="220" spans="8:28" x14ac:dyDescent="0.2">
      <c r="H220" s="26"/>
      <c r="I220" s="26"/>
      <c r="J220" s="26"/>
      <c r="Y220" s="96"/>
      <c r="Z220" s="26"/>
      <c r="AA220" s="96"/>
      <c r="AB220" s="26"/>
    </row>
    <row r="221" spans="8:28" x14ac:dyDescent="0.2">
      <c r="H221" s="26"/>
      <c r="I221" s="26"/>
      <c r="J221" s="26"/>
      <c r="Y221" s="96"/>
      <c r="Z221" s="26"/>
      <c r="AA221" s="96"/>
      <c r="AB221" s="26"/>
    </row>
    <row r="222" spans="8:28" x14ac:dyDescent="0.2">
      <c r="H222" s="26"/>
      <c r="I222" s="26"/>
      <c r="J222" s="26"/>
      <c r="Y222" s="96"/>
      <c r="Z222" s="26"/>
      <c r="AA222" s="96"/>
      <c r="AB222" s="26"/>
    </row>
    <row r="223" spans="8:28" x14ac:dyDescent="0.2">
      <c r="H223" s="26"/>
      <c r="I223" s="26"/>
      <c r="J223" s="26"/>
      <c r="Y223" s="96"/>
      <c r="Z223" s="26"/>
      <c r="AA223" s="96"/>
      <c r="AB223" s="26"/>
    </row>
    <row r="224" spans="8:28" x14ac:dyDescent="0.2">
      <c r="H224" s="26"/>
      <c r="I224" s="26"/>
      <c r="J224" s="26"/>
      <c r="Y224" s="96"/>
      <c r="Z224" s="26"/>
      <c r="AA224" s="96"/>
      <c r="AB224" s="26"/>
    </row>
    <row r="225" spans="8:28" x14ac:dyDescent="0.2">
      <c r="H225" s="26"/>
      <c r="I225" s="26"/>
      <c r="J225" s="26"/>
      <c r="Y225" s="96"/>
      <c r="Z225" s="26"/>
      <c r="AA225" s="96"/>
      <c r="AB225" s="26"/>
    </row>
    <row r="226" spans="8:28" x14ac:dyDescent="0.2">
      <c r="H226" s="26"/>
      <c r="I226" s="26"/>
      <c r="J226" s="26"/>
      <c r="Y226" s="96"/>
      <c r="Z226" s="26"/>
      <c r="AA226" s="96"/>
      <c r="AB226" s="26"/>
    </row>
    <row r="227" spans="8:28" x14ac:dyDescent="0.2">
      <c r="H227" s="26"/>
      <c r="I227" s="26"/>
      <c r="J227" s="26"/>
      <c r="Y227" s="96"/>
      <c r="Z227" s="26"/>
      <c r="AA227" s="96"/>
      <c r="AB227" s="26"/>
    </row>
    <row r="228" spans="8:28" x14ac:dyDescent="0.2">
      <c r="H228" s="26"/>
      <c r="I228" s="26"/>
      <c r="J228" s="26"/>
      <c r="Y228" s="96"/>
      <c r="Z228" s="26"/>
      <c r="AA228" s="96"/>
      <c r="AB228" s="26"/>
    </row>
    <row r="229" spans="8:28" x14ac:dyDescent="0.2">
      <c r="H229" s="26"/>
      <c r="I229" s="26"/>
      <c r="J229" s="26"/>
      <c r="Y229" s="96"/>
      <c r="Z229" s="26"/>
      <c r="AA229" s="96"/>
      <c r="AB229" s="26"/>
    </row>
    <row r="230" spans="8:28" x14ac:dyDescent="0.2">
      <c r="H230" s="26"/>
      <c r="I230" s="26"/>
      <c r="J230" s="26"/>
      <c r="Y230" s="96"/>
      <c r="Z230" s="26"/>
      <c r="AA230" s="96"/>
      <c r="AB230" s="26"/>
    </row>
    <row r="231" spans="8:28" x14ac:dyDescent="0.2">
      <c r="H231" s="26"/>
      <c r="I231" s="26"/>
      <c r="J231" s="26"/>
      <c r="Y231" s="96"/>
      <c r="Z231" s="26"/>
      <c r="AA231" s="96"/>
      <c r="AB231" s="26"/>
    </row>
    <row r="232" spans="8:28" x14ac:dyDescent="0.2">
      <c r="H232" s="26"/>
      <c r="I232" s="26"/>
      <c r="J232" s="26"/>
      <c r="Y232" s="96"/>
      <c r="Z232" s="26"/>
      <c r="AA232" s="96"/>
      <c r="AB232" s="26"/>
    </row>
    <row r="233" spans="8:28" x14ac:dyDescent="0.2">
      <c r="H233" s="26"/>
      <c r="I233" s="26"/>
      <c r="J233" s="26"/>
      <c r="Y233" s="96"/>
      <c r="Z233" s="26"/>
      <c r="AA233" s="96"/>
      <c r="AB233" s="26"/>
    </row>
    <row r="234" spans="8:28" x14ac:dyDescent="0.2">
      <c r="H234" s="26"/>
      <c r="I234" s="26"/>
      <c r="J234" s="26"/>
      <c r="Y234" s="96"/>
      <c r="Z234" s="26"/>
      <c r="AA234" s="96"/>
      <c r="AB234" s="26"/>
    </row>
    <row r="235" spans="8:28" x14ac:dyDescent="0.2">
      <c r="H235" s="26"/>
      <c r="I235" s="26"/>
      <c r="J235" s="26"/>
      <c r="Y235" s="96"/>
      <c r="Z235" s="26"/>
      <c r="AA235" s="96"/>
      <c r="AB235" s="26"/>
    </row>
    <row r="236" spans="8:28" x14ac:dyDescent="0.2">
      <c r="H236" s="26"/>
      <c r="I236" s="26"/>
      <c r="J236" s="26"/>
      <c r="Y236" s="96"/>
      <c r="Z236" s="26"/>
      <c r="AA236" s="96"/>
      <c r="AB236" s="26"/>
    </row>
    <row r="237" spans="8:28" x14ac:dyDescent="0.2">
      <c r="H237" s="26"/>
      <c r="I237" s="26"/>
      <c r="J237" s="26"/>
      <c r="Y237" s="96"/>
      <c r="Z237" s="26"/>
      <c r="AA237" s="96"/>
      <c r="AB237" s="26"/>
    </row>
    <row r="238" spans="8:28" x14ac:dyDescent="0.2">
      <c r="H238" s="26"/>
      <c r="I238" s="26"/>
      <c r="J238" s="26"/>
      <c r="Y238" s="96"/>
      <c r="Z238" s="26"/>
      <c r="AA238" s="96"/>
      <c r="AB238" s="26"/>
    </row>
    <row r="239" spans="8:28" x14ac:dyDescent="0.2">
      <c r="H239" s="26"/>
      <c r="I239" s="26"/>
      <c r="J239" s="26"/>
      <c r="Y239" s="96"/>
      <c r="Z239" s="26"/>
      <c r="AA239" s="96"/>
      <c r="AB239" s="26"/>
    </row>
    <row r="240" spans="8:28" x14ac:dyDescent="0.2">
      <c r="H240" s="26"/>
      <c r="I240" s="26"/>
      <c r="J240" s="26"/>
      <c r="Y240" s="96"/>
      <c r="Z240" s="26"/>
      <c r="AA240" s="96"/>
      <c r="AB240" s="26"/>
    </row>
    <row r="241" spans="8:28" x14ac:dyDescent="0.2">
      <c r="H241" s="26"/>
      <c r="I241" s="26"/>
      <c r="J241" s="26"/>
      <c r="Y241" s="96"/>
      <c r="Z241" s="26"/>
      <c r="AA241" s="96"/>
      <c r="AB241" s="26"/>
    </row>
    <row r="242" spans="8:28" x14ac:dyDescent="0.2">
      <c r="H242" s="26"/>
      <c r="I242" s="26"/>
      <c r="J242" s="26"/>
      <c r="Y242" s="96"/>
      <c r="Z242" s="26"/>
      <c r="AA242" s="96"/>
      <c r="AB242" s="26"/>
    </row>
    <row r="243" spans="8:28" x14ac:dyDescent="0.2">
      <c r="H243" s="26"/>
      <c r="I243" s="26"/>
      <c r="J243" s="26"/>
      <c r="Y243" s="96"/>
      <c r="Z243" s="26"/>
      <c r="AA243" s="96"/>
      <c r="AB243" s="26"/>
    </row>
    <row r="244" spans="8:28" x14ac:dyDescent="0.2">
      <c r="H244" s="26"/>
      <c r="I244" s="26"/>
      <c r="J244" s="26"/>
      <c r="Y244" s="96"/>
      <c r="Z244" s="26"/>
      <c r="AA244" s="96"/>
      <c r="AB244" s="26"/>
    </row>
    <row r="245" spans="8:28" x14ac:dyDescent="0.2">
      <c r="H245" s="26"/>
      <c r="I245" s="26"/>
      <c r="J245" s="26"/>
      <c r="Y245" s="96"/>
      <c r="Z245" s="26"/>
      <c r="AA245" s="96"/>
      <c r="AB245" s="26"/>
    </row>
    <row r="246" spans="8:28" x14ac:dyDescent="0.2">
      <c r="H246" s="26"/>
      <c r="I246" s="26"/>
      <c r="J246" s="26"/>
      <c r="Y246" s="96"/>
      <c r="Z246" s="26"/>
      <c r="AA246" s="96"/>
      <c r="AB246" s="26"/>
    </row>
    <row r="247" spans="8:28" x14ac:dyDescent="0.2">
      <c r="H247" s="26"/>
      <c r="I247" s="26"/>
      <c r="J247" s="26"/>
      <c r="Y247" s="96"/>
      <c r="Z247" s="26"/>
      <c r="AA247" s="96"/>
      <c r="AB247" s="26"/>
    </row>
    <row r="248" spans="8:28" x14ac:dyDescent="0.2">
      <c r="H248" s="26"/>
      <c r="I248" s="26"/>
      <c r="J248" s="26"/>
      <c r="Y248" s="96"/>
      <c r="Z248" s="26"/>
      <c r="AA248" s="96"/>
      <c r="AB248" s="26"/>
    </row>
    <row r="249" spans="8:28" x14ac:dyDescent="0.2">
      <c r="H249" s="26"/>
      <c r="I249" s="26"/>
      <c r="J249" s="26"/>
      <c r="Y249" s="96"/>
      <c r="Z249" s="26"/>
      <c r="AA249" s="96"/>
      <c r="AB249" s="26"/>
    </row>
    <row r="250" spans="8:28" x14ac:dyDescent="0.2">
      <c r="H250" s="26"/>
      <c r="I250" s="26"/>
      <c r="J250" s="26"/>
      <c r="Y250" s="96"/>
      <c r="Z250" s="26"/>
      <c r="AA250" s="96"/>
      <c r="AB250" s="26"/>
    </row>
    <row r="251" spans="8:28" x14ac:dyDescent="0.2">
      <c r="H251" s="26"/>
      <c r="I251" s="26"/>
      <c r="J251" s="26"/>
      <c r="Y251" s="96"/>
      <c r="Z251" s="26"/>
      <c r="AA251" s="96"/>
      <c r="AB251" s="26"/>
    </row>
    <row r="252" spans="8:28" x14ac:dyDescent="0.2">
      <c r="H252" s="26"/>
      <c r="I252" s="26"/>
      <c r="J252" s="26"/>
      <c r="Y252" s="96"/>
      <c r="Z252" s="26"/>
      <c r="AA252" s="96"/>
      <c r="AB252" s="26"/>
    </row>
    <row r="253" spans="8:28" x14ac:dyDescent="0.2">
      <c r="H253" s="26"/>
      <c r="I253" s="26"/>
      <c r="J253" s="26"/>
      <c r="Y253" s="96"/>
      <c r="Z253" s="26"/>
      <c r="AA253" s="96"/>
      <c r="AB253" s="26"/>
    </row>
    <row r="254" spans="8:28" x14ac:dyDescent="0.2">
      <c r="H254" s="26"/>
      <c r="I254" s="26"/>
      <c r="J254" s="26"/>
      <c r="Y254" s="96"/>
      <c r="Z254" s="26"/>
      <c r="AA254" s="96"/>
      <c r="AB254" s="26"/>
    </row>
    <row r="255" spans="8:28" x14ac:dyDescent="0.2">
      <c r="H255" s="26"/>
      <c r="I255" s="26"/>
      <c r="J255" s="26"/>
      <c r="Y255" s="96"/>
      <c r="Z255" s="26"/>
      <c r="AA255" s="96"/>
      <c r="AB255" s="26"/>
    </row>
    <row r="256" spans="8:28" x14ac:dyDescent="0.2">
      <c r="H256" s="26"/>
      <c r="I256" s="26"/>
      <c r="J256" s="26"/>
      <c r="Y256" s="96"/>
      <c r="Z256" s="26"/>
      <c r="AA256" s="96"/>
      <c r="AB256" s="26"/>
    </row>
    <row r="257" spans="8:28" x14ac:dyDescent="0.2">
      <c r="H257" s="26"/>
      <c r="I257" s="26"/>
      <c r="J257" s="26"/>
      <c r="Y257" s="96"/>
      <c r="Z257" s="26"/>
      <c r="AA257" s="96"/>
      <c r="AB257" s="26"/>
    </row>
    <row r="258" spans="8:28" x14ac:dyDescent="0.2">
      <c r="H258" s="26"/>
      <c r="I258" s="26"/>
      <c r="J258" s="26"/>
      <c r="Y258" s="96"/>
      <c r="Z258" s="26"/>
      <c r="AA258" s="96"/>
      <c r="AB258" s="26"/>
    </row>
    <row r="259" spans="8:28" x14ac:dyDescent="0.2">
      <c r="H259" s="26"/>
      <c r="I259" s="26"/>
      <c r="J259" s="26"/>
      <c r="Y259" s="96"/>
      <c r="Z259" s="26"/>
      <c r="AA259" s="96"/>
      <c r="AB259" s="26"/>
    </row>
    <row r="260" spans="8:28" x14ac:dyDescent="0.2">
      <c r="H260" s="26"/>
      <c r="I260" s="26"/>
      <c r="J260" s="26"/>
      <c r="Y260" s="96"/>
      <c r="Z260" s="26"/>
      <c r="AA260" s="96"/>
      <c r="AB260" s="26"/>
    </row>
    <row r="261" spans="8:28" x14ac:dyDescent="0.2">
      <c r="H261" s="26"/>
      <c r="I261" s="26"/>
      <c r="J261" s="26"/>
      <c r="Y261" s="96"/>
      <c r="Z261" s="26"/>
      <c r="AA261" s="96"/>
      <c r="AB261" s="26"/>
    </row>
    <row r="262" spans="8:28" x14ac:dyDescent="0.2">
      <c r="H262" s="26"/>
      <c r="I262" s="26"/>
      <c r="J262" s="26"/>
      <c r="Y262" s="96"/>
      <c r="Z262" s="26"/>
      <c r="AA262" s="96"/>
      <c r="AB262" s="26"/>
    </row>
    <row r="263" spans="8:28" x14ac:dyDescent="0.2">
      <c r="H263" s="26"/>
      <c r="I263" s="26"/>
      <c r="J263" s="26"/>
      <c r="Y263" s="96"/>
      <c r="Z263" s="26"/>
      <c r="AA263" s="96"/>
      <c r="AB263" s="26"/>
    </row>
    <row r="264" spans="8:28" x14ac:dyDescent="0.2">
      <c r="H264" s="26"/>
      <c r="I264" s="26"/>
      <c r="J264" s="26"/>
      <c r="Y264" s="96"/>
      <c r="Z264" s="26"/>
      <c r="AA264" s="96"/>
      <c r="AB264" s="26"/>
    </row>
    <row r="265" spans="8:28" x14ac:dyDescent="0.2">
      <c r="H265" s="26"/>
      <c r="I265" s="26"/>
      <c r="J265" s="26"/>
      <c r="Y265" s="96"/>
      <c r="Z265" s="26"/>
      <c r="AA265" s="96"/>
      <c r="AB265" s="26"/>
    </row>
    <row r="266" spans="8:28" x14ac:dyDescent="0.2">
      <c r="H266" s="26"/>
      <c r="I266" s="26"/>
      <c r="J266" s="26"/>
      <c r="Y266" s="96"/>
      <c r="Z266" s="26"/>
      <c r="AA266" s="96"/>
      <c r="AB266" s="26"/>
    </row>
    <row r="267" spans="8:28" x14ac:dyDescent="0.2">
      <c r="H267" s="26"/>
      <c r="I267" s="26"/>
      <c r="J267" s="26"/>
      <c r="Y267" s="96"/>
      <c r="Z267" s="26"/>
      <c r="AA267" s="96"/>
      <c r="AB267" s="26"/>
    </row>
    <row r="268" spans="8:28" x14ac:dyDescent="0.2">
      <c r="H268" s="26"/>
      <c r="I268" s="26"/>
      <c r="J268" s="26"/>
      <c r="Y268" s="96"/>
      <c r="Z268" s="26"/>
      <c r="AA268" s="96"/>
      <c r="AB268" s="26"/>
    </row>
    <row r="269" spans="8:28" x14ac:dyDescent="0.2">
      <c r="H269" s="26"/>
      <c r="I269" s="26"/>
      <c r="J269" s="26"/>
      <c r="Y269" s="96"/>
      <c r="Z269" s="26"/>
      <c r="AA269" s="96"/>
      <c r="AB269" s="26"/>
    </row>
    <row r="270" spans="8:28" x14ac:dyDescent="0.2">
      <c r="H270" s="26"/>
      <c r="I270" s="26"/>
      <c r="J270" s="26"/>
      <c r="Y270" s="96"/>
      <c r="Z270" s="26"/>
      <c r="AA270" s="96"/>
      <c r="AB270" s="26"/>
    </row>
    <row r="271" spans="8:28" x14ac:dyDescent="0.2">
      <c r="H271" s="26"/>
      <c r="I271" s="26"/>
      <c r="J271" s="26"/>
      <c r="Y271" s="96"/>
      <c r="Z271" s="26"/>
      <c r="AA271" s="96"/>
      <c r="AB271" s="26"/>
    </row>
    <row r="272" spans="8:28" x14ac:dyDescent="0.2">
      <c r="H272" s="26"/>
      <c r="I272" s="26"/>
      <c r="J272" s="26"/>
      <c r="Y272" s="96"/>
      <c r="Z272" s="26"/>
      <c r="AA272" s="96"/>
      <c r="AB272" s="26"/>
    </row>
    <row r="273" spans="8:28" x14ac:dyDescent="0.2">
      <c r="H273" s="26"/>
      <c r="I273" s="26"/>
      <c r="J273" s="26"/>
      <c r="Y273" s="96"/>
      <c r="Z273" s="26"/>
      <c r="AA273" s="96"/>
      <c r="AB273" s="26"/>
    </row>
    <row r="274" spans="8:28" x14ac:dyDescent="0.2">
      <c r="H274" s="26"/>
      <c r="I274" s="26"/>
      <c r="J274" s="26"/>
      <c r="Y274" s="96"/>
      <c r="Z274" s="26"/>
      <c r="AA274" s="96"/>
      <c r="AB274" s="26"/>
    </row>
    <row r="275" spans="8:28" x14ac:dyDescent="0.2">
      <c r="H275" s="26"/>
      <c r="I275" s="26"/>
      <c r="J275" s="26"/>
      <c r="Y275" s="96"/>
      <c r="Z275" s="26"/>
      <c r="AA275" s="96"/>
      <c r="AB275" s="26"/>
    </row>
    <row r="276" spans="8:28" x14ac:dyDescent="0.2">
      <c r="H276" s="26"/>
      <c r="I276" s="26"/>
      <c r="J276" s="26"/>
      <c r="Y276" s="96"/>
      <c r="Z276" s="26"/>
      <c r="AA276" s="96"/>
      <c r="AB276" s="26"/>
    </row>
    <row r="277" spans="8:28" x14ac:dyDescent="0.2">
      <c r="H277" s="26"/>
      <c r="I277" s="26"/>
      <c r="J277" s="26"/>
      <c r="Y277" s="96"/>
      <c r="Z277" s="26"/>
      <c r="AA277" s="96"/>
      <c r="AB277" s="26"/>
    </row>
    <row r="278" spans="8:28" x14ac:dyDescent="0.2">
      <c r="H278" s="26"/>
      <c r="I278" s="26"/>
      <c r="J278" s="26"/>
      <c r="Y278" s="96"/>
      <c r="Z278" s="26"/>
      <c r="AA278" s="96"/>
      <c r="AB278" s="26"/>
    </row>
    <row r="279" spans="8:28" x14ac:dyDescent="0.2">
      <c r="H279" s="26"/>
      <c r="I279" s="26"/>
      <c r="J279" s="26"/>
      <c r="Y279" s="96"/>
      <c r="Z279" s="26"/>
      <c r="AA279" s="96"/>
      <c r="AB279" s="26"/>
    </row>
    <row r="280" spans="8:28" x14ac:dyDescent="0.2">
      <c r="H280" s="26"/>
      <c r="I280" s="26"/>
      <c r="J280" s="26"/>
      <c r="Y280" s="96"/>
      <c r="Z280" s="26"/>
      <c r="AA280" s="96"/>
      <c r="AB280" s="26"/>
    </row>
    <row r="281" spans="8:28" x14ac:dyDescent="0.2">
      <c r="H281" s="26"/>
      <c r="I281" s="26"/>
      <c r="J281" s="26"/>
      <c r="Y281" s="96"/>
      <c r="Z281" s="26"/>
      <c r="AA281" s="96"/>
      <c r="AB281" s="26"/>
    </row>
    <row r="282" spans="8:28" x14ac:dyDescent="0.2">
      <c r="H282" s="26"/>
      <c r="I282" s="26"/>
      <c r="J282" s="26"/>
      <c r="Y282" s="96"/>
      <c r="Z282" s="26"/>
      <c r="AA282" s="96"/>
      <c r="AB282" s="26"/>
    </row>
    <row r="283" spans="8:28" x14ac:dyDescent="0.2">
      <c r="H283" s="26"/>
      <c r="I283" s="26"/>
      <c r="J283" s="26"/>
      <c r="Y283" s="96"/>
      <c r="Z283" s="26"/>
      <c r="AA283" s="96"/>
      <c r="AB283" s="26"/>
    </row>
    <row r="284" spans="8:28" x14ac:dyDescent="0.2">
      <c r="H284" s="26"/>
      <c r="I284" s="26"/>
      <c r="J284" s="26"/>
      <c r="Y284" s="96"/>
      <c r="Z284" s="26"/>
      <c r="AA284" s="96"/>
      <c r="AB284" s="26"/>
    </row>
    <row r="285" spans="8:28" x14ac:dyDescent="0.2">
      <c r="H285" s="26"/>
      <c r="I285" s="26"/>
      <c r="J285" s="26"/>
      <c r="Y285" s="96"/>
      <c r="Z285" s="26"/>
      <c r="AA285" s="96"/>
      <c r="AB285" s="26"/>
    </row>
    <row r="286" spans="8:28" x14ac:dyDescent="0.2">
      <c r="H286" s="26"/>
      <c r="I286" s="26"/>
      <c r="J286" s="26"/>
      <c r="Y286" s="96"/>
      <c r="Z286" s="26"/>
      <c r="AA286" s="96"/>
      <c r="AB286" s="26"/>
    </row>
    <row r="287" spans="8:28" x14ac:dyDescent="0.2">
      <c r="H287" s="26"/>
      <c r="I287" s="26"/>
      <c r="J287" s="26"/>
      <c r="Y287" s="96"/>
      <c r="Z287" s="26"/>
      <c r="AA287" s="96"/>
      <c r="AB287" s="26"/>
    </row>
    <row r="288" spans="8:28" x14ac:dyDescent="0.2">
      <c r="H288" s="26"/>
      <c r="I288" s="26"/>
      <c r="J288" s="26"/>
      <c r="Y288" s="96"/>
      <c r="Z288" s="26"/>
      <c r="AA288" s="96"/>
      <c r="AB288" s="26"/>
    </row>
    <row r="289" spans="8:28" x14ac:dyDescent="0.2">
      <c r="H289" s="26"/>
      <c r="I289" s="26"/>
      <c r="J289" s="26"/>
      <c r="Y289" s="96"/>
      <c r="Z289" s="26"/>
      <c r="AA289" s="96"/>
      <c r="AB289" s="26"/>
    </row>
    <row r="290" spans="8:28" x14ac:dyDescent="0.2">
      <c r="H290" s="26"/>
      <c r="I290" s="26"/>
      <c r="J290" s="26"/>
      <c r="Y290" s="96"/>
      <c r="Z290" s="26"/>
      <c r="AA290" s="96"/>
      <c r="AB290" s="26"/>
    </row>
    <row r="291" spans="8:28" x14ac:dyDescent="0.2">
      <c r="H291" s="26"/>
      <c r="I291" s="26"/>
      <c r="J291" s="26"/>
      <c r="Y291" s="96"/>
      <c r="Z291" s="26"/>
      <c r="AA291" s="96"/>
      <c r="AB291" s="26"/>
    </row>
    <row r="292" spans="8:28" x14ac:dyDescent="0.2">
      <c r="H292" s="26"/>
      <c r="I292" s="26"/>
      <c r="J292" s="26"/>
      <c r="Y292" s="96"/>
      <c r="Z292" s="26"/>
      <c r="AA292" s="96"/>
      <c r="AB292" s="26"/>
    </row>
    <row r="293" spans="8:28" x14ac:dyDescent="0.2">
      <c r="H293" s="26"/>
      <c r="I293" s="26"/>
      <c r="J293" s="26"/>
      <c r="Y293" s="96"/>
      <c r="Z293" s="26"/>
      <c r="AA293" s="96"/>
      <c r="AB293" s="26"/>
    </row>
    <row r="294" spans="8:28" x14ac:dyDescent="0.2">
      <c r="H294" s="26"/>
      <c r="I294" s="26"/>
      <c r="J294" s="26"/>
      <c r="Y294" s="96"/>
      <c r="Z294" s="26"/>
      <c r="AA294" s="96"/>
      <c r="AB294" s="26"/>
    </row>
    <row r="295" spans="8:28" x14ac:dyDescent="0.2">
      <c r="H295" s="26"/>
      <c r="I295" s="26"/>
      <c r="J295" s="26"/>
      <c r="Y295" s="96"/>
      <c r="Z295" s="26"/>
      <c r="AA295" s="96"/>
      <c r="AB295" s="26"/>
    </row>
    <row r="296" spans="8:28" x14ac:dyDescent="0.2">
      <c r="H296" s="26"/>
      <c r="I296" s="26"/>
      <c r="J296" s="26"/>
      <c r="Y296" s="96"/>
      <c r="Z296" s="26"/>
      <c r="AA296" s="96"/>
      <c r="AB296" s="26"/>
    </row>
    <row r="297" spans="8:28" x14ac:dyDescent="0.2">
      <c r="H297" s="26"/>
      <c r="I297" s="26"/>
      <c r="J297" s="26"/>
      <c r="Y297" s="96"/>
      <c r="Z297" s="26"/>
      <c r="AA297" s="96"/>
      <c r="AB297" s="26"/>
    </row>
    <row r="298" spans="8:28" x14ac:dyDescent="0.2">
      <c r="H298" s="26"/>
      <c r="I298" s="26"/>
      <c r="J298" s="26"/>
      <c r="Y298" s="96"/>
      <c r="Z298" s="26"/>
      <c r="AA298" s="96"/>
      <c r="AB298" s="26"/>
    </row>
    <row r="299" spans="8:28" x14ac:dyDescent="0.2">
      <c r="H299" s="26"/>
      <c r="I299" s="26"/>
      <c r="J299" s="26"/>
      <c r="Y299" s="96"/>
      <c r="Z299" s="26"/>
      <c r="AA299" s="96"/>
      <c r="AB299" s="26"/>
    </row>
    <row r="300" spans="8:28" x14ac:dyDescent="0.2">
      <c r="H300" s="26"/>
      <c r="I300" s="26"/>
      <c r="J300" s="26"/>
      <c r="Y300" s="96"/>
      <c r="Z300" s="26"/>
      <c r="AA300" s="96"/>
      <c r="AB300" s="26"/>
    </row>
    <row r="301" spans="8:28" x14ac:dyDescent="0.2">
      <c r="H301" s="26"/>
      <c r="I301" s="26"/>
      <c r="J301" s="26"/>
      <c r="Y301" s="96"/>
      <c r="Z301" s="26"/>
      <c r="AA301" s="96"/>
      <c r="AB301" s="26"/>
    </row>
    <row r="302" spans="8:28" x14ac:dyDescent="0.2">
      <c r="H302" s="26"/>
      <c r="I302" s="26"/>
      <c r="J302" s="26"/>
      <c r="Y302" s="96"/>
      <c r="Z302" s="26"/>
      <c r="AA302" s="96"/>
      <c r="AB302" s="26"/>
    </row>
    <row r="303" spans="8:28" x14ac:dyDescent="0.2">
      <c r="H303" s="26"/>
      <c r="I303" s="26"/>
      <c r="J303" s="26"/>
      <c r="Y303" s="96"/>
      <c r="Z303" s="26"/>
      <c r="AA303" s="96"/>
      <c r="AB303" s="26"/>
    </row>
    <row r="304" spans="8:28" x14ac:dyDescent="0.2">
      <c r="H304" s="26"/>
      <c r="I304" s="26"/>
      <c r="J304" s="26"/>
      <c r="Y304" s="96"/>
      <c r="Z304" s="26"/>
      <c r="AA304" s="96"/>
      <c r="AB304" s="26"/>
    </row>
    <row r="305" spans="8:28" x14ac:dyDescent="0.2">
      <c r="H305" s="26"/>
      <c r="I305" s="26"/>
      <c r="J305" s="26"/>
      <c r="Y305" s="96"/>
      <c r="Z305" s="26"/>
      <c r="AA305" s="96"/>
      <c r="AB305" s="26"/>
    </row>
    <row r="306" spans="8:28" x14ac:dyDescent="0.2">
      <c r="H306" s="26"/>
      <c r="I306" s="26"/>
      <c r="J306" s="26"/>
      <c r="Y306" s="96"/>
      <c r="Z306" s="26"/>
      <c r="AA306" s="96"/>
      <c r="AB306" s="26"/>
    </row>
    <row r="307" spans="8:28" x14ac:dyDescent="0.2">
      <c r="H307" s="26"/>
      <c r="I307" s="26"/>
      <c r="J307" s="26"/>
      <c r="Y307" s="96"/>
      <c r="Z307" s="26"/>
      <c r="AA307" s="96"/>
      <c r="AB307" s="26"/>
    </row>
    <row r="308" spans="8:28" x14ac:dyDescent="0.2">
      <c r="H308" s="26"/>
      <c r="I308" s="26"/>
      <c r="J308" s="26"/>
      <c r="Y308" s="96"/>
      <c r="Z308" s="26"/>
      <c r="AA308" s="96"/>
      <c r="AB308" s="26"/>
    </row>
    <row r="309" spans="8:28" x14ac:dyDescent="0.2">
      <c r="H309" s="26"/>
      <c r="I309" s="26"/>
      <c r="J309" s="26"/>
      <c r="Y309" s="96"/>
      <c r="Z309" s="26"/>
      <c r="AA309" s="96"/>
      <c r="AB309" s="26"/>
    </row>
    <row r="310" spans="8:28" x14ac:dyDescent="0.2">
      <c r="H310" s="26"/>
      <c r="I310" s="26"/>
      <c r="J310" s="26"/>
      <c r="Y310" s="96"/>
      <c r="Z310" s="26"/>
      <c r="AA310" s="96"/>
      <c r="AB310" s="26"/>
    </row>
    <row r="311" spans="8:28" x14ac:dyDescent="0.2">
      <c r="H311" s="26"/>
      <c r="I311" s="26"/>
      <c r="J311" s="26"/>
      <c r="Y311" s="96"/>
      <c r="Z311" s="26"/>
      <c r="AA311" s="96"/>
      <c r="AB311" s="26"/>
    </row>
    <row r="312" spans="8:28" x14ac:dyDescent="0.2">
      <c r="H312" s="26"/>
      <c r="I312" s="26"/>
      <c r="J312" s="26"/>
      <c r="Y312" s="96"/>
      <c r="Z312" s="26"/>
      <c r="AA312" s="96"/>
      <c r="AB312" s="26"/>
    </row>
    <row r="313" spans="8:28" x14ac:dyDescent="0.2">
      <c r="H313" s="26"/>
      <c r="I313" s="26"/>
      <c r="J313" s="26"/>
      <c r="Y313" s="96"/>
      <c r="Z313" s="26"/>
      <c r="AA313" s="96"/>
      <c r="AB313" s="26"/>
    </row>
    <row r="314" spans="8:28" x14ac:dyDescent="0.2">
      <c r="H314" s="26"/>
      <c r="I314" s="26"/>
      <c r="J314" s="26"/>
      <c r="Y314" s="96"/>
      <c r="Z314" s="26"/>
      <c r="AA314" s="96"/>
      <c r="AB314" s="26"/>
    </row>
    <row r="315" spans="8:28" x14ac:dyDescent="0.2">
      <c r="H315" s="26"/>
      <c r="I315" s="26"/>
      <c r="J315" s="26"/>
      <c r="Y315" s="96"/>
      <c r="Z315" s="26"/>
      <c r="AA315" s="96"/>
      <c r="AB315" s="26"/>
    </row>
    <row r="316" spans="8:28" x14ac:dyDescent="0.2">
      <c r="H316" s="26"/>
      <c r="I316" s="26"/>
      <c r="J316" s="26"/>
      <c r="Y316" s="96"/>
      <c r="Z316" s="26"/>
      <c r="AA316" s="96"/>
      <c r="AB316" s="26"/>
    </row>
    <row r="317" spans="8:28" x14ac:dyDescent="0.2">
      <c r="H317" s="26"/>
      <c r="I317" s="26"/>
      <c r="J317" s="26"/>
      <c r="Y317" s="96"/>
      <c r="Z317" s="26"/>
      <c r="AA317" s="96"/>
      <c r="AB317" s="26"/>
    </row>
    <row r="318" spans="8:28" x14ac:dyDescent="0.2">
      <c r="H318" s="26"/>
      <c r="I318" s="26"/>
      <c r="J318" s="26"/>
      <c r="Y318" s="96"/>
      <c r="Z318" s="26"/>
      <c r="AA318" s="96"/>
      <c r="AB318" s="26"/>
    </row>
    <row r="319" spans="8:28" x14ac:dyDescent="0.2">
      <c r="H319" s="26"/>
      <c r="I319" s="26"/>
      <c r="J319" s="26"/>
      <c r="Y319" s="96"/>
      <c r="Z319" s="26"/>
      <c r="AA319" s="96"/>
      <c r="AB319" s="26"/>
    </row>
    <row r="320" spans="8:28" x14ac:dyDescent="0.2">
      <c r="H320" s="26"/>
      <c r="I320" s="26"/>
      <c r="J320" s="26"/>
      <c r="Y320" s="96"/>
      <c r="Z320" s="26"/>
      <c r="AA320" s="96"/>
      <c r="AB320" s="26"/>
    </row>
    <row r="321" spans="8:28" x14ac:dyDescent="0.2">
      <c r="H321" s="26"/>
      <c r="I321" s="26"/>
      <c r="J321" s="26"/>
      <c r="Y321" s="96"/>
      <c r="Z321" s="26"/>
      <c r="AA321" s="96"/>
      <c r="AB321" s="26"/>
    </row>
    <row r="322" spans="8:28" x14ac:dyDescent="0.2">
      <c r="H322" s="26"/>
      <c r="I322" s="26"/>
      <c r="J322" s="26"/>
      <c r="Y322" s="96"/>
      <c r="Z322" s="26"/>
      <c r="AA322" s="96"/>
      <c r="AB322" s="26"/>
    </row>
    <row r="323" spans="8:28" x14ac:dyDescent="0.2">
      <c r="H323" s="26"/>
      <c r="I323" s="26"/>
      <c r="J323" s="26"/>
      <c r="Y323" s="96"/>
      <c r="Z323" s="26"/>
      <c r="AA323" s="96"/>
      <c r="AB323" s="26"/>
    </row>
    <row r="324" spans="8:28" x14ac:dyDescent="0.2">
      <c r="H324" s="26"/>
      <c r="I324" s="26"/>
      <c r="J324" s="26"/>
      <c r="Y324" s="96"/>
      <c r="Z324" s="26"/>
      <c r="AA324" s="96"/>
      <c r="AB324" s="26"/>
    </row>
    <row r="325" spans="8:28" x14ac:dyDescent="0.2">
      <c r="H325" s="26"/>
      <c r="I325" s="26"/>
      <c r="J325" s="26"/>
      <c r="Y325" s="96"/>
      <c r="Z325" s="26"/>
      <c r="AA325" s="96"/>
      <c r="AB325" s="26"/>
    </row>
    <row r="326" spans="8:28" x14ac:dyDescent="0.2">
      <c r="H326" s="26"/>
      <c r="I326" s="26"/>
      <c r="J326" s="26"/>
      <c r="Y326" s="96"/>
      <c r="Z326" s="26"/>
      <c r="AA326" s="96"/>
      <c r="AB326" s="26"/>
    </row>
    <row r="327" spans="8:28" x14ac:dyDescent="0.2">
      <c r="H327" s="26"/>
      <c r="I327" s="26"/>
      <c r="J327" s="26"/>
      <c r="Y327" s="96"/>
      <c r="Z327" s="26"/>
      <c r="AA327" s="96"/>
      <c r="AB327" s="26"/>
    </row>
    <row r="328" spans="8:28" x14ac:dyDescent="0.2">
      <c r="H328" s="26"/>
      <c r="I328" s="26"/>
      <c r="J328" s="26"/>
      <c r="Y328" s="96"/>
      <c r="Z328" s="26"/>
      <c r="AA328" s="96"/>
      <c r="AB328" s="26"/>
    </row>
    <row r="329" spans="8:28" x14ac:dyDescent="0.2">
      <c r="H329" s="26"/>
      <c r="I329" s="26"/>
      <c r="J329" s="26"/>
      <c r="Y329" s="96"/>
      <c r="Z329" s="26"/>
      <c r="AA329" s="96"/>
      <c r="AB329" s="26"/>
    </row>
    <row r="330" spans="8:28" x14ac:dyDescent="0.2">
      <c r="H330" s="26"/>
      <c r="I330" s="26"/>
      <c r="J330" s="26"/>
      <c r="Y330" s="96"/>
      <c r="Z330" s="26"/>
      <c r="AA330" s="96"/>
      <c r="AB330" s="26"/>
    </row>
    <row r="331" spans="8:28" x14ac:dyDescent="0.2">
      <c r="H331" s="26"/>
      <c r="I331" s="26"/>
      <c r="J331" s="26"/>
      <c r="Y331" s="96"/>
      <c r="Z331" s="26"/>
      <c r="AA331" s="96"/>
      <c r="AB331" s="26"/>
    </row>
    <row r="332" spans="8:28" x14ac:dyDescent="0.2">
      <c r="H332" s="26"/>
      <c r="I332" s="26"/>
      <c r="J332" s="26"/>
      <c r="Y332" s="96"/>
      <c r="Z332" s="26"/>
      <c r="AA332" s="96"/>
      <c r="AB332" s="26"/>
    </row>
    <row r="333" spans="8:28" x14ac:dyDescent="0.2">
      <c r="H333" s="26"/>
      <c r="I333" s="26"/>
      <c r="J333" s="26"/>
      <c r="Y333" s="96"/>
      <c r="Z333" s="26"/>
      <c r="AA333" s="96"/>
      <c r="AB333" s="26"/>
    </row>
    <row r="334" spans="8:28" x14ac:dyDescent="0.2">
      <c r="H334" s="26"/>
      <c r="I334" s="26"/>
      <c r="J334" s="26"/>
      <c r="Y334" s="96"/>
      <c r="Z334" s="26"/>
      <c r="AA334" s="96"/>
      <c r="AB334" s="26"/>
    </row>
    <row r="335" spans="8:28" x14ac:dyDescent="0.2">
      <c r="H335" s="26"/>
      <c r="I335" s="26"/>
      <c r="J335" s="26"/>
      <c r="Y335" s="96"/>
      <c r="Z335" s="26"/>
      <c r="AA335" s="96"/>
      <c r="AB335" s="26"/>
    </row>
    <row r="336" spans="8:28" x14ac:dyDescent="0.2">
      <c r="H336" s="26"/>
      <c r="I336" s="26"/>
      <c r="J336" s="26"/>
      <c r="Y336" s="96"/>
      <c r="Z336" s="26"/>
      <c r="AA336" s="96"/>
      <c r="AB336" s="26"/>
    </row>
    <row r="337" spans="8:28" x14ac:dyDescent="0.2">
      <c r="H337" s="26"/>
      <c r="I337" s="26"/>
      <c r="J337" s="26"/>
      <c r="Y337" s="96"/>
      <c r="Z337" s="26"/>
      <c r="AA337" s="96"/>
      <c r="AB337" s="26"/>
    </row>
    <row r="338" spans="8:28" x14ac:dyDescent="0.2">
      <c r="H338" s="26"/>
      <c r="I338" s="26"/>
      <c r="J338" s="26"/>
      <c r="Y338" s="96"/>
      <c r="Z338" s="26"/>
      <c r="AA338" s="96"/>
      <c r="AB338" s="26"/>
    </row>
    <row r="339" spans="8:28" x14ac:dyDescent="0.2">
      <c r="H339" s="26"/>
      <c r="I339" s="26"/>
      <c r="J339" s="26"/>
      <c r="Y339" s="96"/>
      <c r="Z339" s="26"/>
      <c r="AA339" s="96"/>
      <c r="AB339" s="26"/>
    </row>
    <row r="340" spans="8:28" x14ac:dyDescent="0.2">
      <c r="H340" s="26"/>
      <c r="I340" s="26"/>
      <c r="J340" s="26"/>
      <c r="Y340" s="96"/>
      <c r="Z340" s="26"/>
      <c r="AA340" s="96"/>
      <c r="AB340" s="26"/>
    </row>
    <row r="341" spans="8:28" x14ac:dyDescent="0.2">
      <c r="H341" s="26"/>
      <c r="I341" s="26"/>
      <c r="J341" s="26"/>
      <c r="Y341" s="96"/>
      <c r="Z341" s="26"/>
      <c r="AA341" s="96"/>
      <c r="AB341" s="26"/>
    </row>
    <row r="342" spans="8:28" x14ac:dyDescent="0.2">
      <c r="H342" s="26"/>
      <c r="I342" s="26"/>
      <c r="J342" s="26"/>
      <c r="Y342" s="96"/>
      <c r="Z342" s="26"/>
      <c r="AA342" s="96"/>
      <c r="AB342" s="26"/>
    </row>
    <row r="343" spans="8:28" x14ac:dyDescent="0.2">
      <c r="H343" s="26"/>
      <c r="I343" s="26"/>
      <c r="J343" s="26"/>
      <c r="Y343" s="96"/>
      <c r="Z343" s="26"/>
      <c r="AA343" s="96"/>
      <c r="AB343" s="26"/>
    </row>
    <row r="344" spans="8:28" x14ac:dyDescent="0.2">
      <c r="H344" s="26"/>
      <c r="I344" s="26"/>
      <c r="J344" s="26"/>
      <c r="Y344" s="96"/>
      <c r="Z344" s="26"/>
      <c r="AA344" s="96"/>
      <c r="AB344" s="26"/>
    </row>
    <row r="345" spans="8:28" x14ac:dyDescent="0.2">
      <c r="H345" s="26"/>
      <c r="I345" s="26"/>
      <c r="J345" s="26"/>
      <c r="Y345" s="96"/>
      <c r="Z345" s="26"/>
      <c r="AA345" s="96"/>
      <c r="AB345" s="26"/>
    </row>
    <row r="346" spans="8:28" x14ac:dyDescent="0.2">
      <c r="H346" s="26"/>
      <c r="I346" s="26"/>
      <c r="J346" s="26"/>
      <c r="Y346" s="96"/>
      <c r="Z346" s="26"/>
      <c r="AA346" s="96"/>
      <c r="AB346" s="26"/>
    </row>
    <row r="347" spans="8:28" x14ac:dyDescent="0.2">
      <c r="H347" s="26"/>
      <c r="I347" s="26"/>
      <c r="J347" s="26"/>
      <c r="Y347" s="96"/>
      <c r="Z347" s="26"/>
      <c r="AA347" s="96"/>
      <c r="AB347" s="26"/>
    </row>
    <row r="348" spans="8:28" x14ac:dyDescent="0.2">
      <c r="H348" s="26"/>
      <c r="I348" s="26"/>
      <c r="J348" s="26"/>
      <c r="Y348" s="96"/>
      <c r="Z348" s="26"/>
      <c r="AA348" s="96"/>
      <c r="AB348" s="26"/>
    </row>
    <row r="349" spans="8:28" x14ac:dyDescent="0.2">
      <c r="H349" s="26"/>
      <c r="I349" s="26"/>
      <c r="J349" s="26"/>
      <c r="Y349" s="96"/>
      <c r="Z349" s="26"/>
      <c r="AA349" s="96"/>
      <c r="AB349" s="26"/>
    </row>
    <row r="350" spans="8:28" x14ac:dyDescent="0.2">
      <c r="H350" s="26"/>
      <c r="I350" s="26"/>
      <c r="J350" s="26"/>
      <c r="Y350" s="96"/>
      <c r="Z350" s="26"/>
      <c r="AA350" s="96"/>
      <c r="AB350" s="26"/>
    </row>
    <row r="351" spans="8:28" x14ac:dyDescent="0.2">
      <c r="H351" s="26"/>
      <c r="I351" s="26"/>
      <c r="J351" s="26"/>
      <c r="Y351" s="96"/>
      <c r="Z351" s="26"/>
      <c r="AA351" s="96"/>
      <c r="AB351" s="26"/>
    </row>
    <row r="352" spans="8:28" x14ac:dyDescent="0.2">
      <c r="H352" s="26"/>
      <c r="I352" s="26"/>
      <c r="J352" s="26"/>
      <c r="Y352" s="96"/>
      <c r="Z352" s="26"/>
      <c r="AA352" s="96"/>
      <c r="AB352" s="26"/>
    </row>
    <row r="353" spans="8:28" x14ac:dyDescent="0.2">
      <c r="H353" s="26"/>
      <c r="I353" s="26"/>
      <c r="J353" s="26"/>
      <c r="Y353" s="96"/>
      <c r="Z353" s="26"/>
      <c r="AA353" s="96"/>
      <c r="AB353" s="26"/>
    </row>
    <row r="354" spans="8:28" x14ac:dyDescent="0.2">
      <c r="H354" s="26"/>
      <c r="I354" s="26"/>
      <c r="J354" s="26"/>
      <c r="Y354" s="96"/>
      <c r="Z354" s="26"/>
      <c r="AA354" s="96"/>
      <c r="AB354" s="26"/>
    </row>
    <row r="355" spans="8:28" x14ac:dyDescent="0.2">
      <c r="H355" s="26"/>
      <c r="I355" s="26"/>
      <c r="J355" s="26"/>
      <c r="Y355" s="96"/>
      <c r="Z355" s="26"/>
      <c r="AA355" s="96"/>
      <c r="AB355" s="26"/>
    </row>
    <row r="356" spans="8:28" x14ac:dyDescent="0.2">
      <c r="H356" s="26"/>
      <c r="I356" s="26"/>
      <c r="J356" s="26"/>
      <c r="Y356" s="96"/>
      <c r="Z356" s="26"/>
      <c r="AA356" s="96"/>
      <c r="AB356" s="26"/>
    </row>
    <row r="357" spans="8:28" x14ac:dyDescent="0.2">
      <c r="H357" s="26"/>
      <c r="I357" s="26"/>
      <c r="J357" s="26"/>
      <c r="Y357" s="96"/>
      <c r="Z357" s="26"/>
      <c r="AA357" s="96"/>
      <c r="AB357" s="26"/>
    </row>
    <row r="358" spans="8:28" x14ac:dyDescent="0.2">
      <c r="H358" s="26"/>
      <c r="I358" s="26"/>
      <c r="J358" s="26"/>
      <c r="Y358" s="96"/>
      <c r="Z358" s="26"/>
      <c r="AA358" s="96"/>
      <c r="AB358" s="26"/>
    </row>
    <row r="359" spans="8:28" x14ac:dyDescent="0.2">
      <c r="H359" s="26"/>
      <c r="I359" s="26"/>
      <c r="J359" s="26"/>
      <c r="Y359" s="96"/>
      <c r="Z359" s="26"/>
      <c r="AA359" s="96"/>
      <c r="AB359" s="26"/>
    </row>
    <row r="360" spans="8:28" x14ac:dyDescent="0.2">
      <c r="H360" s="26"/>
      <c r="I360" s="26"/>
      <c r="J360" s="26"/>
      <c r="Y360" s="96"/>
      <c r="Z360" s="26"/>
      <c r="AA360" s="96"/>
      <c r="AB360" s="26"/>
    </row>
    <row r="361" spans="8:28" x14ac:dyDescent="0.2">
      <c r="H361" s="26"/>
      <c r="I361" s="26"/>
      <c r="J361" s="26"/>
      <c r="Y361" s="96"/>
      <c r="Z361" s="26"/>
      <c r="AA361" s="96"/>
      <c r="AB361" s="26"/>
    </row>
    <row r="362" spans="8:28" x14ac:dyDescent="0.2">
      <c r="H362" s="26"/>
      <c r="I362" s="26"/>
      <c r="J362" s="26"/>
      <c r="Y362" s="96"/>
      <c r="Z362" s="26"/>
      <c r="AA362" s="96"/>
      <c r="AB362" s="26"/>
    </row>
    <row r="363" spans="8:28" x14ac:dyDescent="0.2">
      <c r="H363" s="26"/>
      <c r="I363" s="26"/>
      <c r="J363" s="26"/>
      <c r="Y363" s="96"/>
      <c r="Z363" s="26"/>
      <c r="AA363" s="96"/>
      <c r="AB363" s="26"/>
    </row>
    <row r="364" spans="8:28" x14ac:dyDescent="0.2">
      <c r="H364" s="26"/>
      <c r="I364" s="26"/>
      <c r="J364" s="26"/>
      <c r="Y364" s="96"/>
      <c r="Z364" s="26"/>
      <c r="AA364" s="96"/>
      <c r="AB364" s="26"/>
    </row>
    <row r="365" spans="8:28" x14ac:dyDescent="0.2">
      <c r="H365" s="26"/>
      <c r="I365" s="26"/>
      <c r="J365" s="26"/>
      <c r="Y365" s="96"/>
      <c r="Z365" s="26"/>
      <c r="AA365" s="96"/>
      <c r="AB365" s="26"/>
    </row>
    <row r="366" spans="8:28" x14ac:dyDescent="0.2">
      <c r="H366" s="26"/>
      <c r="I366" s="26"/>
      <c r="J366" s="26"/>
      <c r="Y366" s="96"/>
      <c r="Z366" s="26"/>
      <c r="AA366" s="96"/>
      <c r="AB366" s="26"/>
    </row>
    <row r="367" spans="8:28" x14ac:dyDescent="0.2">
      <c r="H367" s="26"/>
      <c r="I367" s="26"/>
      <c r="J367" s="26"/>
      <c r="Y367" s="96"/>
      <c r="Z367" s="26"/>
      <c r="AA367" s="96"/>
      <c r="AB367" s="26"/>
    </row>
    <row r="368" spans="8:28" x14ac:dyDescent="0.2">
      <c r="H368" s="26"/>
      <c r="I368" s="26"/>
      <c r="J368" s="26"/>
      <c r="Y368" s="96"/>
      <c r="Z368" s="26"/>
      <c r="AA368" s="96"/>
      <c r="AB368" s="26"/>
    </row>
    <row r="369" spans="8:28" x14ac:dyDescent="0.2">
      <c r="H369" s="26"/>
      <c r="I369" s="26"/>
      <c r="J369" s="26"/>
      <c r="Y369" s="96"/>
      <c r="Z369" s="26"/>
      <c r="AA369" s="96"/>
      <c r="AB369" s="26"/>
    </row>
    <row r="370" spans="8:28" x14ac:dyDescent="0.2">
      <c r="H370" s="26"/>
      <c r="I370" s="26"/>
      <c r="J370" s="26"/>
      <c r="Y370" s="96"/>
      <c r="Z370" s="26"/>
      <c r="AA370" s="96"/>
      <c r="AB370" s="26"/>
    </row>
    <row r="371" spans="8:28" x14ac:dyDescent="0.2">
      <c r="H371" s="26"/>
      <c r="I371" s="26"/>
      <c r="J371" s="26"/>
      <c r="Y371" s="96"/>
      <c r="Z371" s="26"/>
      <c r="AA371" s="96"/>
      <c r="AB371" s="26"/>
    </row>
    <row r="372" spans="8:28" x14ac:dyDescent="0.2">
      <c r="H372" s="26"/>
      <c r="I372" s="26"/>
      <c r="J372" s="26"/>
      <c r="Y372" s="96"/>
      <c r="Z372" s="26"/>
      <c r="AA372" s="96"/>
      <c r="AB372" s="26"/>
    </row>
    <row r="373" spans="8:28" x14ac:dyDescent="0.2">
      <c r="H373" s="26"/>
      <c r="I373" s="26"/>
      <c r="J373" s="26"/>
      <c r="Y373" s="96"/>
      <c r="Z373" s="26"/>
      <c r="AA373" s="96"/>
      <c r="AB373" s="26"/>
    </row>
    <row r="374" spans="8:28" x14ac:dyDescent="0.2">
      <c r="H374" s="26"/>
      <c r="I374" s="26"/>
      <c r="J374" s="26"/>
      <c r="Y374" s="96"/>
      <c r="Z374" s="26"/>
      <c r="AA374" s="96"/>
      <c r="AB374" s="26"/>
    </row>
    <row r="375" spans="8:28" x14ac:dyDescent="0.2">
      <c r="H375" s="26"/>
      <c r="I375" s="26"/>
      <c r="J375" s="26"/>
      <c r="Y375" s="96"/>
      <c r="Z375" s="26"/>
      <c r="AA375" s="96"/>
      <c r="AB375" s="26"/>
    </row>
    <row r="376" spans="8:28" x14ac:dyDescent="0.2">
      <c r="H376" s="26"/>
      <c r="I376" s="26"/>
      <c r="J376" s="26"/>
      <c r="Y376" s="96"/>
      <c r="Z376" s="26"/>
      <c r="AA376" s="96"/>
      <c r="AB376" s="26"/>
    </row>
    <row r="377" spans="8:28" x14ac:dyDescent="0.2">
      <c r="H377" s="26"/>
      <c r="I377" s="26"/>
      <c r="J377" s="26"/>
      <c r="Y377" s="96"/>
      <c r="Z377" s="26"/>
      <c r="AA377" s="96"/>
      <c r="AB377" s="26"/>
    </row>
    <row r="378" spans="8:28" x14ac:dyDescent="0.2">
      <c r="H378" s="26"/>
      <c r="I378" s="26"/>
      <c r="J378" s="26"/>
      <c r="Y378" s="96"/>
      <c r="Z378" s="26"/>
      <c r="AA378" s="96"/>
      <c r="AB378" s="26"/>
    </row>
    <row r="379" spans="8:28" x14ac:dyDescent="0.2">
      <c r="H379" s="26"/>
      <c r="I379" s="26"/>
      <c r="J379" s="26"/>
      <c r="Y379" s="96"/>
      <c r="Z379" s="26"/>
      <c r="AA379" s="96"/>
      <c r="AB379" s="26"/>
    </row>
    <row r="380" spans="8:28" x14ac:dyDescent="0.2">
      <c r="H380" s="26"/>
      <c r="I380" s="26"/>
      <c r="J380" s="26"/>
      <c r="Y380" s="96"/>
      <c r="Z380" s="26"/>
      <c r="AA380" s="96"/>
      <c r="AB380" s="26"/>
    </row>
    <row r="381" spans="8:28" x14ac:dyDescent="0.2">
      <c r="H381" s="26"/>
      <c r="I381" s="26"/>
      <c r="J381" s="26"/>
      <c r="Y381" s="96"/>
      <c r="Z381" s="26"/>
      <c r="AA381" s="96"/>
      <c r="AB381" s="26"/>
    </row>
    <row r="382" spans="8:28" x14ac:dyDescent="0.2">
      <c r="H382" s="26"/>
      <c r="I382" s="26"/>
      <c r="J382" s="26"/>
      <c r="Y382" s="96"/>
      <c r="Z382" s="26"/>
      <c r="AA382" s="96"/>
      <c r="AB382" s="26"/>
    </row>
    <row r="383" spans="8:28" x14ac:dyDescent="0.2">
      <c r="H383" s="26"/>
      <c r="I383" s="26"/>
      <c r="J383" s="26"/>
      <c r="Y383" s="96"/>
      <c r="Z383" s="26"/>
      <c r="AA383" s="96"/>
      <c r="AB383" s="26"/>
    </row>
    <row r="384" spans="8:28" x14ac:dyDescent="0.2">
      <c r="H384" s="26"/>
      <c r="I384" s="26"/>
      <c r="J384" s="26"/>
      <c r="Y384" s="96"/>
      <c r="Z384" s="26"/>
      <c r="AA384" s="96"/>
      <c r="AB384" s="26"/>
    </row>
    <row r="385" spans="8:28" x14ac:dyDescent="0.2">
      <c r="H385" s="26"/>
      <c r="I385" s="26"/>
      <c r="J385" s="26"/>
      <c r="Y385" s="96"/>
      <c r="Z385" s="26"/>
      <c r="AA385" s="96"/>
      <c r="AB385" s="26"/>
    </row>
    <row r="386" spans="8:28" x14ac:dyDescent="0.2">
      <c r="H386" s="26"/>
      <c r="I386" s="26"/>
      <c r="J386" s="26"/>
      <c r="Y386" s="96"/>
      <c r="Z386" s="26"/>
      <c r="AA386" s="96"/>
      <c r="AB386" s="26"/>
    </row>
    <row r="387" spans="8:28" x14ac:dyDescent="0.2">
      <c r="H387" s="26"/>
      <c r="I387" s="26"/>
      <c r="J387" s="26"/>
      <c r="Y387" s="96"/>
      <c r="Z387" s="26"/>
      <c r="AA387" s="96"/>
      <c r="AB387" s="26"/>
    </row>
    <row r="388" spans="8:28" x14ac:dyDescent="0.2">
      <c r="H388" s="26"/>
      <c r="I388" s="26"/>
      <c r="J388" s="26"/>
      <c r="Y388" s="96"/>
      <c r="Z388" s="26"/>
      <c r="AA388" s="96"/>
      <c r="AB388" s="26"/>
    </row>
    <row r="389" spans="8:28" x14ac:dyDescent="0.2">
      <c r="H389" s="26"/>
      <c r="I389" s="26"/>
      <c r="J389" s="26"/>
      <c r="Y389" s="96"/>
      <c r="Z389" s="26"/>
      <c r="AA389" s="96"/>
      <c r="AB389" s="26"/>
    </row>
    <row r="390" spans="8:28" x14ac:dyDescent="0.2">
      <c r="H390" s="26"/>
      <c r="I390" s="26"/>
      <c r="J390" s="26"/>
      <c r="Y390" s="96"/>
      <c r="Z390" s="26"/>
      <c r="AA390" s="96"/>
      <c r="AB390" s="26"/>
    </row>
    <row r="391" spans="8:28" x14ac:dyDescent="0.2">
      <c r="H391" s="26"/>
      <c r="I391" s="26"/>
      <c r="J391" s="26"/>
      <c r="Y391" s="96"/>
      <c r="Z391" s="26"/>
      <c r="AA391" s="96"/>
      <c r="AB391" s="26"/>
    </row>
    <row r="392" spans="8:28" x14ac:dyDescent="0.2">
      <c r="H392" s="26"/>
      <c r="I392" s="26"/>
      <c r="J392" s="26"/>
      <c r="Y392" s="96"/>
      <c r="Z392" s="26"/>
      <c r="AA392" s="96"/>
      <c r="AB392" s="26"/>
    </row>
    <row r="393" spans="8:28" x14ac:dyDescent="0.2">
      <c r="H393" s="26"/>
      <c r="I393" s="26"/>
      <c r="J393" s="26"/>
      <c r="Y393" s="96"/>
      <c r="Z393" s="26"/>
      <c r="AA393" s="96"/>
      <c r="AB393" s="26"/>
    </row>
    <row r="394" spans="8:28" x14ac:dyDescent="0.2">
      <c r="H394" s="26"/>
      <c r="I394" s="26"/>
      <c r="J394" s="26"/>
      <c r="Y394" s="96"/>
      <c r="Z394" s="26"/>
      <c r="AA394" s="96"/>
      <c r="AB394" s="26"/>
    </row>
    <row r="395" spans="8:28" x14ac:dyDescent="0.2">
      <c r="H395" s="26"/>
      <c r="I395" s="26"/>
      <c r="J395" s="26"/>
      <c r="Y395" s="96"/>
      <c r="Z395" s="26"/>
      <c r="AA395" s="96"/>
      <c r="AB395" s="26"/>
    </row>
    <row r="396" spans="8:28" x14ac:dyDescent="0.2">
      <c r="H396" s="26"/>
      <c r="I396" s="26"/>
      <c r="J396" s="26"/>
      <c r="Y396" s="96"/>
      <c r="Z396" s="26"/>
      <c r="AA396" s="96"/>
      <c r="AB396" s="26"/>
    </row>
    <row r="397" spans="8:28" x14ac:dyDescent="0.2">
      <c r="H397" s="26"/>
      <c r="I397" s="26"/>
      <c r="J397" s="26"/>
      <c r="Y397" s="96"/>
      <c r="Z397" s="26"/>
      <c r="AA397" s="96"/>
      <c r="AB397" s="26"/>
    </row>
    <row r="398" spans="8:28" x14ac:dyDescent="0.2">
      <c r="H398" s="26"/>
      <c r="I398" s="26"/>
      <c r="J398" s="26"/>
      <c r="Y398" s="96"/>
      <c r="Z398" s="26"/>
      <c r="AA398" s="96"/>
      <c r="AB398" s="26"/>
    </row>
    <row r="399" spans="8:28" x14ac:dyDescent="0.2">
      <c r="H399" s="26"/>
      <c r="I399" s="26"/>
      <c r="J399" s="26"/>
      <c r="Y399" s="96"/>
      <c r="Z399" s="26"/>
      <c r="AA399" s="96"/>
      <c r="AB399" s="26"/>
    </row>
    <row r="400" spans="8:28" x14ac:dyDescent="0.2">
      <c r="H400" s="26"/>
      <c r="I400" s="26"/>
      <c r="J400" s="26"/>
      <c r="Y400" s="96"/>
      <c r="Z400" s="26"/>
      <c r="AA400" s="96"/>
      <c r="AB400" s="26"/>
    </row>
    <row r="401" spans="8:28" x14ac:dyDescent="0.2">
      <c r="H401" s="26"/>
      <c r="I401" s="26"/>
      <c r="J401" s="26"/>
      <c r="Y401" s="96"/>
      <c r="Z401" s="26"/>
      <c r="AA401" s="96"/>
      <c r="AB401" s="26"/>
    </row>
    <row r="402" spans="8:28" x14ac:dyDescent="0.2">
      <c r="H402" s="26"/>
      <c r="I402" s="26"/>
      <c r="J402" s="26"/>
      <c r="Y402" s="96"/>
      <c r="Z402" s="26"/>
      <c r="AA402" s="96"/>
      <c r="AB402" s="26"/>
    </row>
    <row r="403" spans="8:28" x14ac:dyDescent="0.2">
      <c r="H403" s="26"/>
      <c r="I403" s="26"/>
      <c r="J403" s="26"/>
      <c r="Y403" s="96"/>
      <c r="Z403" s="26"/>
      <c r="AA403" s="96"/>
      <c r="AB403" s="26"/>
    </row>
    <row r="404" spans="8:28" x14ac:dyDescent="0.2">
      <c r="H404" s="26"/>
      <c r="I404" s="26"/>
      <c r="J404" s="26"/>
      <c r="Y404" s="96"/>
      <c r="Z404" s="26"/>
      <c r="AA404" s="96"/>
      <c r="AB404" s="26"/>
    </row>
    <row r="405" spans="8:28" x14ac:dyDescent="0.2">
      <c r="H405" s="26"/>
      <c r="I405" s="26"/>
      <c r="J405" s="26"/>
      <c r="Y405" s="96"/>
      <c r="Z405" s="26"/>
      <c r="AA405" s="96"/>
      <c r="AB405" s="26"/>
    </row>
    <row r="406" spans="8:28" x14ac:dyDescent="0.2">
      <c r="H406" s="26"/>
      <c r="I406" s="26"/>
      <c r="J406" s="26"/>
      <c r="Y406" s="96"/>
      <c r="Z406" s="26"/>
      <c r="AA406" s="96"/>
      <c r="AB406" s="26"/>
    </row>
    <row r="407" spans="8:28" x14ac:dyDescent="0.2">
      <c r="H407" s="26"/>
      <c r="I407" s="26"/>
      <c r="J407" s="26"/>
      <c r="Y407" s="96"/>
      <c r="Z407" s="26"/>
      <c r="AA407" s="96"/>
      <c r="AB407" s="26"/>
    </row>
    <row r="408" spans="8:28" x14ac:dyDescent="0.2">
      <c r="H408" s="26"/>
      <c r="I408" s="26"/>
      <c r="J408" s="26"/>
      <c r="Y408" s="96"/>
      <c r="Z408" s="26"/>
      <c r="AA408" s="96"/>
      <c r="AB408" s="26"/>
    </row>
    <row r="409" spans="8:28" x14ac:dyDescent="0.2">
      <c r="H409" s="26"/>
      <c r="I409" s="26"/>
      <c r="J409" s="26"/>
      <c r="Y409" s="96"/>
      <c r="Z409" s="26"/>
      <c r="AA409" s="96"/>
      <c r="AB409" s="26"/>
    </row>
    <row r="410" spans="8:28" x14ac:dyDescent="0.2">
      <c r="H410" s="26"/>
      <c r="I410" s="26"/>
      <c r="J410" s="26"/>
      <c r="Y410" s="96"/>
      <c r="Z410" s="26"/>
      <c r="AA410" s="96"/>
      <c r="AB410" s="26"/>
    </row>
    <row r="411" spans="8:28" x14ac:dyDescent="0.2">
      <c r="H411" s="26"/>
      <c r="I411" s="26"/>
      <c r="J411" s="26"/>
      <c r="Y411" s="96"/>
      <c r="Z411" s="26"/>
      <c r="AA411" s="96"/>
      <c r="AB411" s="26"/>
    </row>
    <row r="412" spans="8:28" x14ac:dyDescent="0.2">
      <c r="H412" s="26"/>
      <c r="I412" s="26"/>
      <c r="J412" s="26"/>
      <c r="Y412" s="96"/>
      <c r="Z412" s="26"/>
      <c r="AA412" s="96"/>
      <c r="AB412" s="26"/>
    </row>
    <row r="413" spans="8:28" x14ac:dyDescent="0.2">
      <c r="H413" s="26"/>
      <c r="I413" s="26"/>
      <c r="J413" s="26"/>
      <c r="Y413" s="96"/>
      <c r="Z413" s="26"/>
      <c r="AA413" s="96"/>
      <c r="AB413" s="26"/>
    </row>
    <row r="414" spans="8:28" x14ac:dyDescent="0.2">
      <c r="H414" s="26"/>
      <c r="I414" s="26"/>
      <c r="J414" s="26"/>
      <c r="Y414" s="96"/>
      <c r="Z414" s="26"/>
      <c r="AA414" s="96"/>
      <c r="AB414" s="26"/>
    </row>
    <row r="415" spans="8:28" x14ac:dyDescent="0.2">
      <c r="H415" s="26"/>
      <c r="I415" s="26"/>
      <c r="J415" s="26"/>
      <c r="Y415" s="96"/>
      <c r="Z415" s="26"/>
      <c r="AA415" s="96"/>
      <c r="AB415" s="26"/>
    </row>
    <row r="416" spans="8:28" x14ac:dyDescent="0.2">
      <c r="H416" s="26"/>
      <c r="I416" s="26"/>
      <c r="J416" s="26"/>
      <c r="Y416" s="96"/>
      <c r="Z416" s="26"/>
      <c r="AA416" s="96"/>
      <c r="AB416" s="26"/>
    </row>
    <row r="417" spans="8:28" x14ac:dyDescent="0.2">
      <c r="H417" s="26"/>
      <c r="I417" s="26"/>
      <c r="J417" s="26"/>
      <c r="Y417" s="96"/>
      <c r="Z417" s="26"/>
      <c r="AA417" s="96"/>
      <c r="AB417" s="26"/>
    </row>
    <row r="418" spans="8:28" x14ac:dyDescent="0.2">
      <c r="H418" s="26"/>
      <c r="I418" s="26"/>
      <c r="J418" s="26"/>
      <c r="Y418" s="96"/>
      <c r="Z418" s="26"/>
      <c r="AA418" s="96"/>
      <c r="AB418" s="26"/>
    </row>
    <row r="419" spans="8:28" x14ac:dyDescent="0.2">
      <c r="H419" s="26"/>
      <c r="I419" s="26"/>
      <c r="J419" s="26"/>
      <c r="Y419" s="96"/>
      <c r="Z419" s="26"/>
      <c r="AA419" s="96"/>
      <c r="AB419" s="26"/>
    </row>
    <row r="420" spans="8:28" x14ac:dyDescent="0.2">
      <c r="H420" s="26"/>
      <c r="I420" s="26"/>
      <c r="J420" s="26"/>
      <c r="Y420" s="96"/>
      <c r="Z420" s="26"/>
      <c r="AA420" s="96"/>
      <c r="AB420" s="26"/>
    </row>
    <row r="421" spans="8:28" x14ac:dyDescent="0.2">
      <c r="H421" s="26"/>
      <c r="I421" s="26"/>
      <c r="J421" s="26"/>
      <c r="Y421" s="96"/>
      <c r="Z421" s="26"/>
      <c r="AA421" s="96"/>
      <c r="AB421" s="26"/>
    </row>
    <row r="422" spans="8:28" x14ac:dyDescent="0.2">
      <c r="H422" s="26"/>
      <c r="I422" s="26"/>
      <c r="J422" s="26"/>
      <c r="Y422" s="96"/>
      <c r="Z422" s="26"/>
      <c r="AA422" s="96"/>
      <c r="AB422" s="26"/>
    </row>
    <row r="423" spans="8:28" x14ac:dyDescent="0.2">
      <c r="H423" s="26"/>
      <c r="I423" s="26"/>
      <c r="J423" s="26"/>
      <c r="Y423" s="96"/>
      <c r="Z423" s="26"/>
      <c r="AA423" s="96"/>
      <c r="AB423" s="26"/>
    </row>
    <row r="424" spans="8:28" x14ac:dyDescent="0.2">
      <c r="H424" s="26"/>
      <c r="I424" s="26"/>
      <c r="J424" s="26"/>
      <c r="Y424" s="96"/>
      <c r="Z424" s="26"/>
      <c r="AA424" s="96"/>
      <c r="AB424" s="26"/>
    </row>
    <row r="425" spans="8:28" x14ac:dyDescent="0.2">
      <c r="H425" s="26"/>
      <c r="I425" s="26"/>
      <c r="J425" s="26"/>
      <c r="Y425" s="96"/>
      <c r="Z425" s="26"/>
      <c r="AA425" s="96"/>
      <c r="AB425" s="26"/>
    </row>
    <row r="426" spans="8:28" x14ac:dyDescent="0.2">
      <c r="H426" s="26"/>
      <c r="I426" s="26"/>
      <c r="J426" s="26"/>
      <c r="Y426" s="96"/>
      <c r="Z426" s="26"/>
      <c r="AA426" s="96"/>
      <c r="AB426" s="26"/>
    </row>
    <row r="427" spans="8:28" x14ac:dyDescent="0.2">
      <c r="H427" s="26"/>
      <c r="I427" s="26"/>
      <c r="J427" s="26"/>
      <c r="Y427" s="96"/>
      <c r="Z427" s="26"/>
      <c r="AA427" s="96"/>
      <c r="AB427" s="26"/>
    </row>
    <row r="428" spans="8:28" x14ac:dyDescent="0.2">
      <c r="H428" s="26"/>
      <c r="I428" s="26"/>
      <c r="J428" s="26"/>
      <c r="Y428" s="96"/>
      <c r="Z428" s="26"/>
      <c r="AA428" s="96"/>
      <c r="AB428" s="26"/>
    </row>
    <row r="429" spans="8:28" x14ac:dyDescent="0.2">
      <c r="H429" s="26"/>
      <c r="I429" s="26"/>
      <c r="J429" s="26"/>
      <c r="Y429" s="96"/>
      <c r="Z429" s="26"/>
      <c r="AA429" s="96"/>
      <c r="AB429" s="26"/>
    </row>
    <row r="430" spans="8:28" x14ac:dyDescent="0.2">
      <c r="H430" s="26"/>
      <c r="I430" s="26"/>
      <c r="J430" s="26"/>
      <c r="Y430" s="96"/>
      <c r="Z430" s="26"/>
      <c r="AA430" s="96"/>
      <c r="AB430" s="26"/>
    </row>
    <row r="431" spans="8:28" x14ac:dyDescent="0.2">
      <c r="H431" s="26"/>
      <c r="I431" s="26"/>
      <c r="J431" s="26"/>
      <c r="Y431" s="96"/>
      <c r="Z431" s="26"/>
      <c r="AA431" s="96"/>
      <c r="AB431" s="26"/>
    </row>
    <row r="432" spans="8:28" x14ac:dyDescent="0.2">
      <c r="H432" s="26"/>
      <c r="I432" s="26"/>
      <c r="J432" s="26"/>
      <c r="Y432" s="96"/>
      <c r="Z432" s="26"/>
      <c r="AA432" s="96"/>
      <c r="AB432" s="26"/>
    </row>
    <row r="433" spans="8:28" x14ac:dyDescent="0.2">
      <c r="H433" s="26"/>
      <c r="I433" s="26"/>
      <c r="J433" s="26"/>
      <c r="Y433" s="96"/>
      <c r="Z433" s="26"/>
      <c r="AA433" s="96"/>
      <c r="AB433" s="26"/>
    </row>
    <row r="434" spans="8:28" x14ac:dyDescent="0.2">
      <c r="H434" s="26"/>
      <c r="I434" s="26"/>
      <c r="J434" s="26"/>
      <c r="Y434" s="96"/>
      <c r="Z434" s="26"/>
      <c r="AA434" s="96"/>
      <c r="AB434" s="26"/>
    </row>
    <row r="435" spans="8:28" x14ac:dyDescent="0.2">
      <c r="H435" s="26"/>
      <c r="I435" s="26"/>
      <c r="J435" s="26"/>
      <c r="Y435" s="96"/>
      <c r="Z435" s="26"/>
      <c r="AA435" s="96"/>
      <c r="AB435" s="26"/>
    </row>
    <row r="436" spans="8:28" x14ac:dyDescent="0.2">
      <c r="H436" s="26"/>
      <c r="I436" s="26"/>
      <c r="J436" s="26"/>
      <c r="Y436" s="96"/>
      <c r="Z436" s="26"/>
      <c r="AA436" s="96"/>
      <c r="AB436" s="26"/>
    </row>
    <row r="437" spans="8:28" x14ac:dyDescent="0.2">
      <c r="H437" s="26"/>
      <c r="I437" s="26"/>
      <c r="J437" s="26"/>
      <c r="Y437" s="96"/>
      <c r="Z437" s="26"/>
      <c r="AA437" s="96"/>
      <c r="AB437" s="26"/>
    </row>
    <row r="438" spans="8:28" x14ac:dyDescent="0.2">
      <c r="H438" s="26"/>
      <c r="I438" s="26"/>
      <c r="J438" s="26"/>
      <c r="Y438" s="96"/>
      <c r="Z438" s="26"/>
      <c r="AA438" s="96"/>
      <c r="AB438" s="26"/>
    </row>
    <row r="439" spans="8:28" x14ac:dyDescent="0.2">
      <c r="H439" s="26"/>
      <c r="I439" s="26"/>
      <c r="J439" s="26"/>
      <c r="Y439" s="96"/>
      <c r="Z439" s="26"/>
      <c r="AA439" s="96"/>
      <c r="AB439" s="26"/>
    </row>
    <row r="440" spans="8:28" x14ac:dyDescent="0.2">
      <c r="H440" s="26"/>
      <c r="I440" s="26"/>
      <c r="J440" s="26"/>
      <c r="Y440" s="96"/>
      <c r="Z440" s="26"/>
      <c r="AA440" s="96"/>
      <c r="AB440" s="26"/>
    </row>
    <row r="441" spans="8:28" x14ac:dyDescent="0.2">
      <c r="H441" s="26"/>
      <c r="I441" s="26"/>
      <c r="J441" s="26"/>
      <c r="Y441" s="96"/>
      <c r="Z441" s="26"/>
      <c r="AA441" s="96"/>
      <c r="AB441" s="26"/>
    </row>
    <row r="442" spans="8:28" x14ac:dyDescent="0.2">
      <c r="H442" s="26"/>
      <c r="I442" s="26"/>
      <c r="J442" s="26"/>
      <c r="Y442" s="96"/>
      <c r="Z442" s="26"/>
      <c r="AA442" s="96"/>
      <c r="AB442" s="26"/>
    </row>
    <row r="443" spans="8:28" x14ac:dyDescent="0.2">
      <c r="H443" s="26"/>
      <c r="I443" s="26"/>
      <c r="J443" s="26"/>
      <c r="Y443" s="96"/>
      <c r="Z443" s="26"/>
      <c r="AA443" s="96"/>
      <c r="AB443" s="26"/>
    </row>
    <row r="444" spans="8:28" x14ac:dyDescent="0.2">
      <c r="H444" s="26"/>
      <c r="I444" s="26"/>
      <c r="J444" s="26"/>
      <c r="Y444" s="96"/>
      <c r="Z444" s="26"/>
      <c r="AA444" s="96"/>
      <c r="AB444" s="26"/>
    </row>
    <row r="445" spans="8:28" x14ac:dyDescent="0.2">
      <c r="H445" s="26"/>
      <c r="I445" s="26"/>
      <c r="J445" s="26"/>
      <c r="Y445" s="96"/>
      <c r="Z445" s="26"/>
      <c r="AA445" s="96"/>
      <c r="AB445" s="26"/>
    </row>
    <row r="446" spans="8:28" x14ac:dyDescent="0.2">
      <c r="H446" s="26"/>
      <c r="I446" s="26"/>
      <c r="J446" s="26"/>
      <c r="Y446" s="96"/>
      <c r="Z446" s="26"/>
      <c r="AA446" s="96"/>
      <c r="AB446" s="26"/>
    </row>
    <row r="447" spans="8:28" x14ac:dyDescent="0.2">
      <c r="H447" s="26"/>
      <c r="I447" s="26"/>
      <c r="J447" s="26"/>
      <c r="Y447" s="96"/>
      <c r="Z447" s="26"/>
      <c r="AA447" s="96"/>
      <c r="AB447" s="26"/>
    </row>
    <row r="448" spans="8:28" x14ac:dyDescent="0.2">
      <c r="H448" s="26"/>
      <c r="I448" s="26"/>
      <c r="J448" s="26"/>
      <c r="Y448" s="96"/>
      <c r="Z448" s="26"/>
      <c r="AA448" s="96"/>
      <c r="AB448" s="26"/>
    </row>
    <row r="449" spans="8:28" x14ac:dyDescent="0.2">
      <c r="H449" s="26"/>
      <c r="I449" s="26"/>
      <c r="J449" s="26"/>
      <c r="Y449" s="96"/>
      <c r="Z449" s="26"/>
      <c r="AA449" s="96"/>
      <c r="AB449" s="26"/>
    </row>
    <row r="450" spans="8:28" x14ac:dyDescent="0.2">
      <c r="H450" s="26"/>
      <c r="I450" s="26"/>
      <c r="J450" s="26"/>
      <c r="Y450" s="96"/>
      <c r="Z450" s="26"/>
      <c r="AA450" s="96"/>
      <c r="AB450" s="26"/>
    </row>
    <row r="451" spans="8:28" x14ac:dyDescent="0.2">
      <c r="H451" s="26"/>
      <c r="I451" s="26"/>
      <c r="J451" s="26"/>
      <c r="Y451" s="96"/>
      <c r="Z451" s="26"/>
      <c r="AA451" s="96"/>
      <c r="AB451" s="26"/>
    </row>
    <row r="452" spans="8:28" x14ac:dyDescent="0.2">
      <c r="H452" s="26"/>
      <c r="I452" s="26"/>
      <c r="J452" s="26"/>
      <c r="Y452" s="96"/>
      <c r="Z452" s="26"/>
      <c r="AA452" s="96"/>
      <c r="AB452" s="26"/>
    </row>
    <row r="453" spans="8:28" x14ac:dyDescent="0.2">
      <c r="H453" s="26"/>
      <c r="I453" s="26"/>
      <c r="J453" s="26"/>
      <c r="Y453" s="96"/>
      <c r="Z453" s="26"/>
      <c r="AA453" s="96"/>
      <c r="AB453" s="26"/>
    </row>
    <row r="454" spans="8:28" x14ac:dyDescent="0.2">
      <c r="H454" s="26"/>
      <c r="I454" s="26"/>
      <c r="J454" s="26"/>
      <c r="Y454" s="96"/>
      <c r="Z454" s="26"/>
      <c r="AA454" s="96"/>
      <c r="AB454" s="26"/>
    </row>
    <row r="455" spans="8:28" x14ac:dyDescent="0.2">
      <c r="H455" s="26"/>
      <c r="I455" s="26"/>
      <c r="J455" s="26"/>
      <c r="Y455" s="96"/>
      <c r="Z455" s="26"/>
      <c r="AA455" s="96"/>
      <c r="AB455" s="26"/>
    </row>
    <row r="456" spans="8:28" x14ac:dyDescent="0.2">
      <c r="H456" s="26"/>
      <c r="I456" s="26"/>
      <c r="J456" s="26"/>
      <c r="Y456" s="96"/>
      <c r="Z456" s="26"/>
      <c r="AA456" s="96"/>
      <c r="AB456" s="26"/>
    </row>
    <row r="457" spans="8:28" x14ac:dyDescent="0.2">
      <c r="H457" s="26"/>
      <c r="I457" s="26"/>
      <c r="J457" s="26"/>
      <c r="Y457" s="96"/>
      <c r="Z457" s="26"/>
      <c r="AA457" s="96"/>
      <c r="AB457" s="26"/>
    </row>
    <row r="458" spans="8:28" x14ac:dyDescent="0.2">
      <c r="H458" s="26"/>
      <c r="I458" s="26"/>
      <c r="J458" s="26"/>
      <c r="Y458" s="96"/>
      <c r="Z458" s="26"/>
      <c r="AA458" s="96"/>
      <c r="AB458" s="26"/>
    </row>
    <row r="459" spans="8:28" x14ac:dyDescent="0.2">
      <c r="H459" s="26"/>
      <c r="I459" s="26"/>
      <c r="J459" s="26"/>
      <c r="Y459" s="96"/>
      <c r="Z459" s="26"/>
      <c r="AA459" s="96"/>
      <c r="AB459" s="26"/>
    </row>
    <row r="460" spans="8:28" x14ac:dyDescent="0.2">
      <c r="H460" s="26"/>
      <c r="I460" s="26"/>
      <c r="J460" s="26"/>
      <c r="Y460" s="96"/>
      <c r="Z460" s="26"/>
      <c r="AA460" s="96"/>
      <c r="AB460" s="26"/>
    </row>
    <row r="461" spans="8:28" x14ac:dyDescent="0.2">
      <c r="H461" s="26"/>
      <c r="I461" s="26"/>
      <c r="J461" s="26"/>
      <c r="Y461" s="96"/>
      <c r="Z461" s="26"/>
      <c r="AA461" s="96"/>
      <c r="AB461" s="26"/>
    </row>
    <row r="462" spans="8:28" x14ac:dyDescent="0.2">
      <c r="H462" s="26"/>
      <c r="I462" s="26"/>
      <c r="J462" s="26"/>
      <c r="Y462" s="96"/>
      <c r="Z462" s="26"/>
      <c r="AA462" s="96"/>
      <c r="AB462" s="26"/>
    </row>
    <row r="463" spans="8:28" x14ac:dyDescent="0.2">
      <c r="H463" s="26"/>
      <c r="I463" s="26"/>
      <c r="J463" s="26"/>
      <c r="Y463" s="96"/>
      <c r="Z463" s="26"/>
      <c r="AA463" s="96"/>
      <c r="AB463" s="26"/>
    </row>
    <row r="464" spans="8:28" x14ac:dyDescent="0.2">
      <c r="H464" s="26"/>
      <c r="I464" s="26"/>
      <c r="J464" s="26"/>
      <c r="Y464" s="96"/>
      <c r="Z464" s="26"/>
      <c r="AA464" s="96"/>
      <c r="AB464" s="26"/>
    </row>
    <row r="465" spans="8:28" x14ac:dyDescent="0.2">
      <c r="H465" s="26"/>
      <c r="I465" s="26"/>
      <c r="J465" s="26"/>
      <c r="Y465" s="96"/>
      <c r="Z465" s="26"/>
      <c r="AA465" s="96"/>
      <c r="AB465" s="26"/>
    </row>
    <row r="466" spans="8:28" x14ac:dyDescent="0.2">
      <c r="H466" s="26"/>
      <c r="I466" s="26"/>
      <c r="J466" s="26"/>
      <c r="Y466" s="96"/>
      <c r="Z466" s="26"/>
      <c r="AA466" s="96"/>
      <c r="AB466" s="26"/>
    </row>
    <row r="467" spans="8:28" x14ac:dyDescent="0.2">
      <c r="H467" s="26"/>
      <c r="I467" s="26"/>
      <c r="J467" s="26"/>
      <c r="Y467" s="96"/>
      <c r="Z467" s="26"/>
      <c r="AA467" s="96"/>
      <c r="AB467" s="26"/>
    </row>
    <row r="468" spans="8:28" x14ac:dyDescent="0.2">
      <c r="H468" s="26"/>
      <c r="I468" s="26"/>
      <c r="J468" s="26"/>
      <c r="Y468" s="96"/>
      <c r="Z468" s="26"/>
      <c r="AA468" s="96"/>
      <c r="AB468" s="26"/>
    </row>
    <row r="469" spans="8:28" x14ac:dyDescent="0.2">
      <c r="H469" s="26"/>
      <c r="I469" s="26"/>
      <c r="J469" s="26"/>
      <c r="Y469" s="96"/>
      <c r="Z469" s="26"/>
      <c r="AA469" s="96"/>
      <c r="AB469" s="26"/>
    </row>
    <row r="470" spans="8:28" x14ac:dyDescent="0.2">
      <c r="H470" s="26"/>
      <c r="I470" s="26"/>
      <c r="J470" s="26"/>
      <c r="Y470" s="96"/>
      <c r="Z470" s="26"/>
      <c r="AA470" s="96"/>
      <c r="AB470" s="26"/>
    </row>
    <row r="471" spans="8:28" x14ac:dyDescent="0.2">
      <c r="H471" s="26"/>
      <c r="I471" s="26"/>
      <c r="J471" s="26"/>
      <c r="Y471" s="96"/>
      <c r="Z471" s="26"/>
      <c r="AA471" s="96"/>
      <c r="AB471" s="26"/>
    </row>
    <row r="472" spans="8:28" x14ac:dyDescent="0.2">
      <c r="H472" s="26"/>
      <c r="I472" s="26"/>
      <c r="J472" s="26"/>
      <c r="Y472" s="96"/>
      <c r="Z472" s="26"/>
      <c r="AA472" s="96"/>
      <c r="AB472" s="26"/>
    </row>
    <row r="473" spans="8:28" x14ac:dyDescent="0.2">
      <c r="H473" s="26"/>
      <c r="I473" s="26"/>
      <c r="J473" s="26"/>
      <c r="Y473" s="96"/>
      <c r="Z473" s="26"/>
      <c r="AA473" s="96"/>
      <c r="AB473" s="26"/>
    </row>
    <row r="474" spans="8:28" x14ac:dyDescent="0.2">
      <c r="H474" s="26"/>
      <c r="I474" s="26"/>
      <c r="J474" s="26"/>
      <c r="Y474" s="96"/>
      <c r="Z474" s="26"/>
      <c r="AA474" s="96"/>
      <c r="AB474" s="26"/>
    </row>
    <row r="475" spans="8:28" x14ac:dyDescent="0.2">
      <c r="H475" s="26"/>
      <c r="I475" s="26"/>
      <c r="J475" s="26"/>
      <c r="Y475" s="96"/>
      <c r="Z475" s="26"/>
      <c r="AA475" s="96"/>
      <c r="AB475" s="26"/>
    </row>
    <row r="476" spans="8:28" x14ac:dyDescent="0.2">
      <c r="H476" s="26"/>
      <c r="I476" s="26"/>
      <c r="J476" s="26"/>
      <c r="Y476" s="96"/>
      <c r="Z476" s="26"/>
      <c r="AA476" s="96"/>
      <c r="AB476" s="26"/>
    </row>
    <row r="477" spans="8:28" x14ac:dyDescent="0.2">
      <c r="H477" s="26"/>
      <c r="I477" s="26"/>
      <c r="J477" s="26"/>
      <c r="Y477" s="96"/>
      <c r="Z477" s="26"/>
      <c r="AA477" s="96"/>
      <c r="AB477" s="26"/>
    </row>
    <row r="478" spans="8:28" x14ac:dyDescent="0.2">
      <c r="H478" s="26"/>
      <c r="I478" s="26"/>
      <c r="J478" s="26"/>
      <c r="Y478" s="96"/>
      <c r="Z478" s="26"/>
      <c r="AA478" s="96"/>
      <c r="AB478" s="26"/>
    </row>
    <row r="479" spans="8:28" x14ac:dyDescent="0.2">
      <c r="H479" s="26"/>
      <c r="I479" s="26"/>
      <c r="J479" s="26"/>
      <c r="Y479" s="96"/>
      <c r="Z479" s="26"/>
      <c r="AA479" s="96"/>
      <c r="AB479" s="26"/>
    </row>
    <row r="480" spans="8:28" x14ac:dyDescent="0.2">
      <c r="H480" s="26"/>
      <c r="I480" s="26"/>
      <c r="J480" s="26"/>
      <c r="Y480" s="96"/>
      <c r="Z480" s="26"/>
      <c r="AA480" s="96"/>
      <c r="AB480" s="26"/>
    </row>
    <row r="481" spans="8:28" x14ac:dyDescent="0.2">
      <c r="H481" s="26"/>
      <c r="I481" s="26"/>
      <c r="J481" s="26"/>
      <c r="Y481" s="96"/>
      <c r="Z481" s="26"/>
      <c r="AA481" s="96"/>
      <c r="AB481" s="26"/>
    </row>
    <row r="482" spans="8:28" x14ac:dyDescent="0.2">
      <c r="H482" s="26"/>
      <c r="I482" s="26"/>
      <c r="J482" s="26"/>
      <c r="Y482" s="96"/>
      <c r="Z482" s="26"/>
      <c r="AA482" s="96"/>
      <c r="AB482" s="26"/>
    </row>
    <row r="483" spans="8:28" x14ac:dyDescent="0.2">
      <c r="H483" s="26"/>
      <c r="I483" s="26"/>
      <c r="J483" s="26"/>
      <c r="Y483" s="96"/>
      <c r="Z483" s="26"/>
      <c r="AA483" s="96"/>
      <c r="AB483" s="26"/>
    </row>
    <row r="484" spans="8:28" x14ac:dyDescent="0.2">
      <c r="H484" s="26"/>
      <c r="I484" s="26"/>
      <c r="J484" s="26"/>
      <c r="Y484" s="96"/>
      <c r="Z484" s="26"/>
      <c r="AA484" s="96"/>
      <c r="AB484" s="26"/>
    </row>
    <row r="485" spans="8:28" x14ac:dyDescent="0.2">
      <c r="H485" s="26"/>
      <c r="I485" s="26"/>
      <c r="J485" s="26"/>
      <c r="Y485" s="96"/>
      <c r="Z485" s="26"/>
      <c r="AA485" s="96"/>
      <c r="AB485" s="26"/>
    </row>
    <row r="486" spans="8:28" x14ac:dyDescent="0.2">
      <c r="H486" s="26"/>
      <c r="I486" s="26"/>
      <c r="J486" s="26"/>
      <c r="Y486" s="96"/>
      <c r="Z486" s="26"/>
      <c r="AA486" s="96"/>
      <c r="AB486" s="26"/>
    </row>
    <row r="487" spans="8:28" x14ac:dyDescent="0.2">
      <c r="H487" s="26"/>
      <c r="I487" s="26"/>
      <c r="J487" s="26"/>
      <c r="Y487" s="96"/>
      <c r="Z487" s="26"/>
      <c r="AA487" s="96"/>
      <c r="AB487" s="26"/>
    </row>
    <row r="488" spans="8:28" x14ac:dyDescent="0.2">
      <c r="H488" s="26"/>
      <c r="I488" s="26"/>
      <c r="J488" s="26"/>
      <c r="Y488" s="96"/>
      <c r="Z488" s="26"/>
      <c r="AA488" s="96"/>
      <c r="AB488" s="26"/>
    </row>
    <row r="489" spans="8:28" x14ac:dyDescent="0.2">
      <c r="H489" s="26"/>
      <c r="I489" s="26"/>
      <c r="J489" s="26"/>
      <c r="Y489" s="96"/>
      <c r="Z489" s="26"/>
      <c r="AA489" s="96"/>
      <c r="AB489" s="26"/>
    </row>
    <row r="490" spans="8:28" x14ac:dyDescent="0.2">
      <c r="H490" s="26"/>
      <c r="I490" s="26"/>
      <c r="J490" s="26"/>
      <c r="Y490" s="96"/>
      <c r="Z490" s="26"/>
      <c r="AA490" s="96"/>
      <c r="AB490" s="26"/>
    </row>
    <row r="491" spans="8:28" x14ac:dyDescent="0.2">
      <c r="H491" s="26"/>
      <c r="I491" s="26"/>
      <c r="J491" s="26"/>
      <c r="Y491" s="96"/>
      <c r="Z491" s="26"/>
      <c r="AA491" s="96"/>
      <c r="AB491" s="26"/>
    </row>
    <row r="492" spans="8:28" x14ac:dyDescent="0.2">
      <c r="H492" s="26"/>
      <c r="I492" s="26"/>
      <c r="J492" s="26"/>
      <c r="Y492" s="96"/>
      <c r="Z492" s="26"/>
      <c r="AA492" s="96"/>
      <c r="AB492" s="26"/>
    </row>
    <row r="493" spans="8:28" x14ac:dyDescent="0.2">
      <c r="H493" s="26"/>
      <c r="I493" s="26"/>
      <c r="J493" s="26"/>
      <c r="Y493" s="96"/>
      <c r="Z493" s="26"/>
      <c r="AA493" s="96"/>
      <c r="AB493" s="26"/>
    </row>
    <row r="494" spans="8:28" x14ac:dyDescent="0.2">
      <c r="H494" s="26"/>
      <c r="I494" s="26"/>
      <c r="J494" s="26"/>
      <c r="Y494" s="96"/>
      <c r="Z494" s="26"/>
      <c r="AA494" s="96"/>
      <c r="AB494" s="26"/>
    </row>
    <row r="495" spans="8:28" x14ac:dyDescent="0.2">
      <c r="H495" s="26"/>
      <c r="I495" s="26"/>
      <c r="J495" s="26"/>
      <c r="Y495" s="96"/>
      <c r="Z495" s="26"/>
      <c r="AA495" s="96"/>
      <c r="AB495" s="26"/>
    </row>
    <row r="496" spans="8:28" x14ac:dyDescent="0.2">
      <c r="H496" s="26"/>
      <c r="I496" s="26"/>
      <c r="J496" s="26"/>
      <c r="Y496" s="96"/>
      <c r="Z496" s="26"/>
      <c r="AA496" s="96"/>
      <c r="AB496" s="26"/>
    </row>
    <row r="497" spans="8:28" x14ac:dyDescent="0.2">
      <c r="H497" s="26"/>
      <c r="I497" s="26"/>
      <c r="J497" s="26"/>
      <c r="Y497" s="96"/>
      <c r="Z497" s="26"/>
      <c r="AA497" s="96"/>
      <c r="AB497" s="26"/>
    </row>
    <row r="498" spans="8:28" x14ac:dyDescent="0.2">
      <c r="H498" s="26"/>
      <c r="I498" s="26"/>
      <c r="J498" s="26"/>
      <c r="Y498" s="96"/>
      <c r="Z498" s="26"/>
      <c r="AA498" s="96"/>
      <c r="AB498" s="26"/>
    </row>
    <row r="499" spans="8:28" x14ac:dyDescent="0.2">
      <c r="H499" s="26"/>
      <c r="I499" s="26"/>
      <c r="J499" s="26"/>
      <c r="Y499" s="96"/>
      <c r="Z499" s="26"/>
      <c r="AA499" s="96"/>
      <c r="AB499" s="26"/>
    </row>
    <row r="500" spans="8:28" x14ac:dyDescent="0.2">
      <c r="H500" s="26"/>
      <c r="I500" s="26"/>
      <c r="J500" s="26"/>
      <c r="Y500" s="96"/>
      <c r="Z500" s="26"/>
      <c r="AA500" s="96"/>
      <c r="AB500" s="26"/>
    </row>
    <row r="501" spans="8:28" x14ac:dyDescent="0.2">
      <c r="H501" s="26"/>
      <c r="I501" s="26"/>
      <c r="J501" s="26"/>
      <c r="Y501" s="96"/>
      <c r="Z501" s="26"/>
      <c r="AA501" s="96"/>
      <c r="AB501" s="26"/>
    </row>
    <row r="502" spans="8:28" x14ac:dyDescent="0.2">
      <c r="H502" s="26"/>
      <c r="I502" s="26"/>
      <c r="J502" s="26"/>
      <c r="Y502" s="96"/>
      <c r="Z502" s="26"/>
      <c r="AA502" s="96"/>
      <c r="AB502" s="26"/>
    </row>
    <row r="503" spans="8:28" x14ac:dyDescent="0.2">
      <c r="H503" s="26"/>
      <c r="I503" s="26"/>
      <c r="J503" s="26"/>
      <c r="Y503" s="96"/>
      <c r="Z503" s="26"/>
      <c r="AA503" s="96"/>
      <c r="AB503" s="26"/>
    </row>
    <row r="504" spans="8:28" x14ac:dyDescent="0.2">
      <c r="H504" s="26"/>
      <c r="I504" s="26"/>
      <c r="J504" s="26"/>
      <c r="Y504" s="96"/>
      <c r="Z504" s="26"/>
      <c r="AA504" s="96"/>
      <c r="AB504" s="26"/>
    </row>
    <row r="505" spans="8:28" x14ac:dyDescent="0.2">
      <c r="H505" s="26"/>
      <c r="I505" s="26"/>
      <c r="J505" s="26"/>
      <c r="Y505" s="96"/>
      <c r="Z505" s="26"/>
      <c r="AA505" s="96"/>
      <c r="AB505" s="26"/>
    </row>
    <row r="506" spans="8:28" x14ac:dyDescent="0.2">
      <c r="H506" s="26"/>
      <c r="I506" s="26"/>
      <c r="J506" s="26"/>
      <c r="Y506" s="96"/>
      <c r="Z506" s="26"/>
      <c r="AA506" s="96"/>
      <c r="AB506" s="26"/>
    </row>
    <row r="507" spans="8:28" x14ac:dyDescent="0.2">
      <c r="H507" s="26"/>
      <c r="I507" s="26"/>
      <c r="J507" s="26"/>
      <c r="Y507" s="96"/>
      <c r="Z507" s="26"/>
      <c r="AA507" s="96"/>
      <c r="AB507" s="26"/>
    </row>
    <row r="508" spans="8:28" x14ac:dyDescent="0.2">
      <c r="H508" s="26"/>
      <c r="I508" s="26"/>
      <c r="J508" s="26"/>
      <c r="Y508" s="96"/>
      <c r="Z508" s="26"/>
      <c r="AA508" s="96"/>
      <c r="AB508" s="26"/>
    </row>
    <row r="509" spans="8:28" x14ac:dyDescent="0.2">
      <c r="H509" s="26"/>
      <c r="I509" s="26"/>
      <c r="J509" s="26"/>
      <c r="Y509" s="96"/>
      <c r="Z509" s="26"/>
      <c r="AA509" s="96"/>
      <c r="AB509" s="26"/>
    </row>
    <row r="510" spans="8:28" x14ac:dyDescent="0.2">
      <c r="H510" s="26"/>
      <c r="I510" s="26"/>
      <c r="J510" s="26"/>
      <c r="Y510" s="96"/>
      <c r="Z510" s="26"/>
      <c r="AA510" s="96"/>
      <c r="AB510" s="26"/>
    </row>
    <row r="511" spans="8:28" x14ac:dyDescent="0.2">
      <c r="H511" s="26"/>
      <c r="I511" s="26"/>
      <c r="J511" s="26"/>
      <c r="Y511" s="96"/>
      <c r="Z511" s="26"/>
      <c r="AA511" s="96"/>
      <c r="AB511" s="26"/>
    </row>
    <row r="512" spans="8:28" x14ac:dyDescent="0.2">
      <c r="H512" s="26"/>
      <c r="I512" s="26"/>
      <c r="J512" s="26"/>
      <c r="Y512" s="96"/>
      <c r="Z512" s="26"/>
      <c r="AA512" s="96"/>
      <c r="AB512" s="26"/>
    </row>
    <row r="513" spans="8:28" x14ac:dyDescent="0.2">
      <c r="H513" s="26"/>
      <c r="I513" s="26"/>
      <c r="J513" s="26"/>
      <c r="Y513" s="96"/>
      <c r="Z513" s="26"/>
      <c r="AA513" s="96"/>
      <c r="AB513" s="26"/>
    </row>
    <row r="514" spans="8:28" x14ac:dyDescent="0.2">
      <c r="H514" s="26"/>
      <c r="I514" s="26"/>
      <c r="J514" s="26"/>
      <c r="Y514" s="96"/>
      <c r="Z514" s="26"/>
      <c r="AA514" s="96"/>
      <c r="AB514" s="26"/>
    </row>
    <row r="515" spans="8:28" x14ac:dyDescent="0.2">
      <c r="H515" s="26"/>
      <c r="I515" s="26"/>
      <c r="J515" s="26"/>
      <c r="Y515" s="96"/>
      <c r="Z515" s="26"/>
      <c r="AA515" s="96"/>
      <c r="AB515" s="26"/>
    </row>
    <row r="516" spans="8:28" x14ac:dyDescent="0.2">
      <c r="H516" s="26"/>
      <c r="I516" s="26"/>
      <c r="J516" s="26"/>
      <c r="Y516" s="96"/>
      <c r="Z516" s="26"/>
      <c r="AA516" s="96"/>
      <c r="AB516" s="26"/>
    </row>
    <row r="517" spans="8:28" x14ac:dyDescent="0.2">
      <c r="H517" s="26"/>
      <c r="I517" s="26"/>
      <c r="J517" s="26"/>
      <c r="Y517" s="96"/>
      <c r="Z517" s="26"/>
      <c r="AA517" s="96"/>
      <c r="AB517" s="26"/>
    </row>
    <row r="518" spans="8:28" x14ac:dyDescent="0.2">
      <c r="H518" s="26"/>
      <c r="I518" s="26"/>
      <c r="J518" s="26"/>
      <c r="Y518" s="96"/>
      <c r="Z518" s="26"/>
      <c r="AA518" s="96"/>
      <c r="AB518" s="26"/>
    </row>
    <row r="519" spans="8:28" x14ac:dyDescent="0.2">
      <c r="H519" s="26"/>
      <c r="I519" s="26"/>
      <c r="J519" s="26"/>
      <c r="Y519" s="96"/>
      <c r="Z519" s="26"/>
      <c r="AA519" s="96"/>
      <c r="AB519" s="26"/>
    </row>
    <row r="520" spans="8:28" x14ac:dyDescent="0.2">
      <c r="H520" s="26"/>
      <c r="I520" s="26"/>
      <c r="J520" s="26"/>
      <c r="Y520" s="96"/>
      <c r="Z520" s="26"/>
      <c r="AA520" s="96"/>
      <c r="AB520" s="26"/>
    </row>
    <row r="521" spans="8:28" x14ac:dyDescent="0.2">
      <c r="H521" s="26"/>
      <c r="I521" s="26"/>
      <c r="J521" s="26"/>
      <c r="Y521" s="96"/>
      <c r="Z521" s="26"/>
      <c r="AA521" s="96"/>
      <c r="AB521" s="26"/>
    </row>
    <row r="522" spans="8:28" x14ac:dyDescent="0.2">
      <c r="H522" s="26"/>
      <c r="I522" s="26"/>
      <c r="J522" s="26"/>
      <c r="Y522" s="96"/>
      <c r="Z522" s="26"/>
      <c r="AA522" s="96"/>
      <c r="AB522" s="26"/>
    </row>
    <row r="523" spans="8:28" x14ac:dyDescent="0.2">
      <c r="H523" s="26"/>
      <c r="I523" s="26"/>
      <c r="J523" s="26"/>
      <c r="Y523" s="96"/>
      <c r="Z523" s="26"/>
      <c r="AA523" s="96"/>
      <c r="AB523" s="26"/>
    </row>
    <row r="524" spans="8:28" x14ac:dyDescent="0.2">
      <c r="H524" s="26"/>
      <c r="I524" s="26"/>
      <c r="J524" s="26"/>
      <c r="Y524" s="96"/>
      <c r="Z524" s="26"/>
      <c r="AA524" s="96"/>
      <c r="AB524" s="26"/>
    </row>
    <row r="525" spans="8:28" x14ac:dyDescent="0.2">
      <c r="H525" s="26"/>
      <c r="I525" s="26"/>
      <c r="J525" s="26"/>
      <c r="Y525" s="96"/>
      <c r="Z525" s="26"/>
      <c r="AA525" s="96"/>
      <c r="AB525" s="26"/>
    </row>
    <row r="526" spans="8:28" x14ac:dyDescent="0.2">
      <c r="H526" s="26"/>
      <c r="I526" s="26"/>
      <c r="J526" s="26"/>
      <c r="Y526" s="96"/>
      <c r="Z526" s="26"/>
      <c r="AA526" s="96"/>
      <c r="AB526" s="26"/>
    </row>
    <row r="527" spans="8:28" x14ac:dyDescent="0.2">
      <c r="H527" s="26"/>
      <c r="I527" s="26"/>
      <c r="J527" s="26"/>
      <c r="Y527" s="96"/>
      <c r="Z527" s="26"/>
      <c r="AA527" s="96"/>
      <c r="AB527" s="26"/>
    </row>
    <row r="528" spans="8:28" x14ac:dyDescent="0.2">
      <c r="H528" s="26"/>
      <c r="I528" s="26"/>
      <c r="J528" s="26"/>
      <c r="Y528" s="96"/>
      <c r="Z528" s="26"/>
      <c r="AA528" s="96"/>
      <c r="AB528" s="26"/>
    </row>
    <row r="529" spans="8:28" x14ac:dyDescent="0.2">
      <c r="H529" s="26"/>
      <c r="I529" s="26"/>
      <c r="J529" s="26"/>
      <c r="Y529" s="96"/>
      <c r="Z529" s="26"/>
      <c r="AA529" s="96"/>
      <c r="AB529" s="26"/>
    </row>
    <row r="530" spans="8:28" x14ac:dyDescent="0.2">
      <c r="H530" s="26"/>
      <c r="I530" s="26"/>
      <c r="J530" s="26"/>
      <c r="Y530" s="96"/>
      <c r="Z530" s="26"/>
      <c r="AA530" s="96"/>
      <c r="AB530" s="26"/>
    </row>
    <row r="531" spans="8:28" x14ac:dyDescent="0.2">
      <c r="H531" s="26"/>
      <c r="I531" s="26"/>
      <c r="J531" s="26"/>
      <c r="Y531" s="96"/>
      <c r="Z531" s="26"/>
      <c r="AA531" s="96"/>
      <c r="AB531" s="26"/>
    </row>
    <row r="532" spans="8:28" x14ac:dyDescent="0.2">
      <c r="H532" s="26"/>
      <c r="I532" s="26"/>
      <c r="J532" s="26"/>
      <c r="Y532" s="96"/>
      <c r="Z532" s="26"/>
      <c r="AA532" s="96"/>
      <c r="AB532" s="26"/>
    </row>
    <row r="533" spans="8:28" x14ac:dyDescent="0.2">
      <c r="H533" s="26"/>
      <c r="I533" s="26"/>
      <c r="J533" s="26"/>
      <c r="Y533" s="96"/>
      <c r="Z533" s="26"/>
      <c r="AA533" s="96"/>
      <c r="AB533" s="26"/>
    </row>
    <row r="534" spans="8:28" x14ac:dyDescent="0.2">
      <c r="H534" s="26"/>
      <c r="I534" s="26"/>
      <c r="J534" s="26"/>
      <c r="Y534" s="96"/>
      <c r="Z534" s="26"/>
      <c r="AA534" s="96"/>
      <c r="AB534" s="26"/>
    </row>
    <row r="535" spans="8:28" x14ac:dyDescent="0.2">
      <c r="H535" s="26"/>
      <c r="I535" s="26"/>
      <c r="J535" s="26"/>
      <c r="Y535" s="96"/>
      <c r="Z535" s="26"/>
      <c r="AA535" s="96"/>
      <c r="AB535" s="26"/>
    </row>
    <row r="536" spans="8:28" x14ac:dyDescent="0.2">
      <c r="H536" s="26"/>
      <c r="I536" s="26"/>
      <c r="J536" s="26"/>
      <c r="Y536" s="96"/>
      <c r="Z536" s="26"/>
      <c r="AA536" s="96"/>
      <c r="AB536" s="26"/>
    </row>
    <row r="537" spans="8:28" x14ac:dyDescent="0.2">
      <c r="H537" s="26"/>
      <c r="I537" s="26"/>
      <c r="J537" s="26"/>
      <c r="Y537" s="96"/>
      <c r="Z537" s="26"/>
      <c r="AA537" s="96"/>
      <c r="AB537" s="26"/>
    </row>
    <row r="538" spans="8:28" x14ac:dyDescent="0.2">
      <c r="H538" s="26"/>
      <c r="I538" s="26"/>
      <c r="J538" s="26"/>
      <c r="Y538" s="96"/>
      <c r="Z538" s="26"/>
      <c r="AA538" s="96"/>
      <c r="AB538" s="26"/>
    </row>
    <row r="539" spans="8:28" x14ac:dyDescent="0.2">
      <c r="H539" s="26"/>
      <c r="I539" s="26"/>
      <c r="J539" s="26"/>
      <c r="Y539" s="96"/>
      <c r="Z539" s="26"/>
      <c r="AA539" s="96"/>
      <c r="AB539" s="26"/>
    </row>
    <row r="540" spans="8:28" x14ac:dyDescent="0.2">
      <c r="H540" s="26"/>
      <c r="I540" s="26"/>
      <c r="J540" s="26"/>
      <c r="Y540" s="96"/>
      <c r="Z540" s="26"/>
      <c r="AA540" s="96"/>
      <c r="AB540" s="26"/>
    </row>
    <row r="541" spans="8:28" x14ac:dyDescent="0.2">
      <c r="H541" s="26"/>
      <c r="I541" s="26"/>
      <c r="J541" s="26"/>
      <c r="Y541" s="96"/>
      <c r="Z541" s="26"/>
      <c r="AA541" s="96"/>
      <c r="AB541" s="26"/>
    </row>
    <row r="542" spans="8:28" x14ac:dyDescent="0.2">
      <c r="H542" s="26"/>
      <c r="I542" s="26"/>
      <c r="J542" s="26"/>
      <c r="Y542" s="96"/>
      <c r="Z542" s="26"/>
      <c r="AA542" s="96"/>
      <c r="AB542" s="26"/>
    </row>
    <row r="543" spans="8:28" x14ac:dyDescent="0.2">
      <c r="H543" s="26"/>
      <c r="I543" s="26"/>
      <c r="J543" s="26"/>
      <c r="Y543" s="96"/>
      <c r="Z543" s="26"/>
      <c r="AA543" s="96"/>
      <c r="AB543" s="26"/>
    </row>
    <row r="544" spans="8:28" x14ac:dyDescent="0.2">
      <c r="H544" s="26"/>
      <c r="I544" s="26"/>
      <c r="J544" s="26"/>
      <c r="Y544" s="96"/>
      <c r="Z544" s="26"/>
      <c r="AA544" s="96"/>
      <c r="AB544" s="26"/>
    </row>
    <row r="545" spans="8:28" x14ac:dyDescent="0.2">
      <c r="H545" s="26"/>
      <c r="I545" s="26"/>
      <c r="J545" s="26"/>
      <c r="Y545" s="96"/>
      <c r="Z545" s="26"/>
      <c r="AA545" s="96"/>
      <c r="AB545" s="26"/>
    </row>
    <row r="546" spans="8:28" x14ac:dyDescent="0.2">
      <c r="H546" s="26"/>
      <c r="I546" s="26"/>
      <c r="J546" s="26"/>
      <c r="Y546" s="96"/>
      <c r="Z546" s="26"/>
      <c r="AA546" s="96"/>
      <c r="AB546" s="26"/>
    </row>
    <row r="547" spans="8:28" x14ac:dyDescent="0.2">
      <c r="H547" s="26"/>
      <c r="I547" s="26"/>
      <c r="J547" s="26"/>
      <c r="Y547" s="96"/>
      <c r="Z547" s="26"/>
      <c r="AA547" s="96"/>
      <c r="AB547" s="26"/>
    </row>
    <row r="548" spans="8:28" x14ac:dyDescent="0.2">
      <c r="H548" s="26"/>
      <c r="I548" s="26"/>
      <c r="J548" s="26"/>
      <c r="Y548" s="96"/>
      <c r="Z548" s="26"/>
      <c r="AA548" s="96"/>
      <c r="AB548" s="26"/>
    </row>
    <row r="549" spans="8:28" x14ac:dyDescent="0.2">
      <c r="H549" s="26"/>
      <c r="I549" s="26"/>
      <c r="J549" s="26"/>
      <c r="Y549" s="96"/>
      <c r="Z549" s="26"/>
      <c r="AA549" s="96"/>
      <c r="AB549" s="26"/>
    </row>
    <row r="550" spans="8:28" x14ac:dyDescent="0.2">
      <c r="H550" s="26"/>
      <c r="I550" s="26"/>
      <c r="J550" s="26"/>
      <c r="Y550" s="96"/>
      <c r="Z550" s="26"/>
      <c r="AA550" s="96"/>
      <c r="AB550" s="26"/>
    </row>
    <row r="551" spans="8:28" x14ac:dyDescent="0.2">
      <c r="H551" s="26"/>
      <c r="I551" s="26"/>
      <c r="J551" s="26"/>
      <c r="Y551" s="96"/>
      <c r="Z551" s="26"/>
      <c r="AA551" s="96"/>
      <c r="AB551" s="26"/>
    </row>
    <row r="552" spans="8:28" x14ac:dyDescent="0.2">
      <c r="H552" s="26"/>
      <c r="I552" s="26"/>
      <c r="J552" s="26"/>
      <c r="Y552" s="96"/>
      <c r="Z552" s="26"/>
      <c r="AA552" s="96"/>
      <c r="AB552" s="26"/>
    </row>
    <row r="553" spans="8:28" x14ac:dyDescent="0.2">
      <c r="H553" s="26"/>
      <c r="I553" s="26"/>
      <c r="J553" s="26"/>
      <c r="Y553" s="96"/>
      <c r="Z553" s="26"/>
      <c r="AA553" s="96"/>
      <c r="AB553" s="26"/>
    </row>
    <row r="554" spans="8:28" x14ac:dyDescent="0.2">
      <c r="H554" s="26"/>
      <c r="I554" s="26"/>
      <c r="J554" s="26"/>
      <c r="Y554" s="96"/>
      <c r="Z554" s="26"/>
      <c r="AA554" s="96"/>
      <c r="AB554" s="26"/>
    </row>
    <row r="555" spans="8:28" x14ac:dyDescent="0.2">
      <c r="H555" s="26"/>
      <c r="I555" s="26"/>
      <c r="J555" s="26"/>
      <c r="Y555" s="96"/>
      <c r="Z555" s="26"/>
      <c r="AA555" s="96"/>
      <c r="AB555" s="26"/>
    </row>
    <row r="556" spans="8:28" x14ac:dyDescent="0.2">
      <c r="H556" s="26"/>
      <c r="I556" s="26"/>
      <c r="J556" s="26"/>
      <c r="Y556" s="96"/>
      <c r="Z556" s="26"/>
      <c r="AA556" s="96"/>
      <c r="AB556" s="26"/>
    </row>
    <row r="557" spans="8:28" x14ac:dyDescent="0.2">
      <c r="H557" s="26"/>
      <c r="I557" s="26"/>
      <c r="J557" s="26"/>
      <c r="Y557" s="96"/>
      <c r="Z557" s="26"/>
      <c r="AA557" s="96"/>
      <c r="AB557" s="26"/>
    </row>
    <row r="558" spans="8:28" x14ac:dyDescent="0.2">
      <c r="H558" s="26"/>
      <c r="I558" s="26"/>
      <c r="J558" s="26"/>
      <c r="Y558" s="96"/>
      <c r="Z558" s="26"/>
      <c r="AA558" s="96"/>
      <c r="AB558" s="26"/>
    </row>
    <row r="559" spans="8:28" x14ac:dyDescent="0.2">
      <c r="H559" s="26"/>
      <c r="I559" s="26"/>
      <c r="J559" s="26"/>
      <c r="Y559" s="96"/>
      <c r="Z559" s="26"/>
      <c r="AA559" s="96"/>
      <c r="AB559" s="26"/>
    </row>
    <row r="560" spans="8:28" x14ac:dyDescent="0.2">
      <c r="H560" s="26"/>
      <c r="I560" s="26"/>
      <c r="J560" s="26"/>
      <c r="Y560" s="96"/>
      <c r="Z560" s="26"/>
      <c r="AA560" s="96"/>
      <c r="AB560" s="26"/>
    </row>
    <row r="561" spans="8:28" x14ac:dyDescent="0.2">
      <c r="H561" s="26"/>
      <c r="I561" s="26"/>
      <c r="J561" s="26"/>
      <c r="Y561" s="96"/>
      <c r="Z561" s="26"/>
      <c r="AA561" s="96"/>
      <c r="AB561" s="26"/>
    </row>
    <row r="562" spans="8:28" x14ac:dyDescent="0.2">
      <c r="H562" s="26"/>
      <c r="I562" s="26"/>
      <c r="J562" s="26"/>
      <c r="Y562" s="96"/>
      <c r="Z562" s="26"/>
      <c r="AA562" s="96"/>
      <c r="AB562" s="26"/>
    </row>
    <row r="563" spans="8:28" x14ac:dyDescent="0.2">
      <c r="H563" s="26"/>
      <c r="I563" s="26"/>
      <c r="J563" s="26"/>
      <c r="Y563" s="96"/>
      <c r="Z563" s="26"/>
      <c r="AA563" s="96"/>
      <c r="AB563" s="26"/>
    </row>
    <row r="564" spans="8:28" x14ac:dyDescent="0.2">
      <c r="H564" s="26"/>
      <c r="I564" s="26"/>
      <c r="J564" s="26"/>
      <c r="Y564" s="96"/>
      <c r="Z564" s="26"/>
      <c r="AA564" s="96"/>
      <c r="AB564" s="26"/>
    </row>
    <row r="565" spans="8:28" x14ac:dyDescent="0.2">
      <c r="H565" s="26"/>
      <c r="I565" s="26"/>
      <c r="J565" s="26"/>
      <c r="Y565" s="96"/>
      <c r="Z565" s="26"/>
      <c r="AA565" s="96"/>
      <c r="AB565" s="26"/>
    </row>
    <row r="566" spans="8:28" x14ac:dyDescent="0.2">
      <c r="H566" s="26"/>
      <c r="I566" s="26"/>
      <c r="J566" s="26"/>
      <c r="Y566" s="96"/>
      <c r="Z566" s="26"/>
      <c r="AA566" s="96"/>
      <c r="AB566" s="26"/>
    </row>
    <row r="567" spans="8:28" x14ac:dyDescent="0.2">
      <c r="H567" s="26"/>
      <c r="I567" s="26"/>
      <c r="J567" s="26"/>
      <c r="Y567" s="96"/>
      <c r="Z567" s="26"/>
      <c r="AA567" s="96"/>
      <c r="AB567" s="26"/>
    </row>
    <row r="568" spans="8:28" x14ac:dyDescent="0.2">
      <c r="H568" s="26"/>
      <c r="I568" s="26"/>
      <c r="J568" s="26"/>
      <c r="Y568" s="96"/>
      <c r="Z568" s="26"/>
      <c r="AA568" s="96"/>
      <c r="AB568" s="26"/>
    </row>
    <row r="569" spans="8:28" x14ac:dyDescent="0.2">
      <c r="H569" s="26"/>
      <c r="I569" s="26"/>
      <c r="J569" s="26"/>
      <c r="Y569" s="96"/>
      <c r="Z569" s="26"/>
      <c r="AA569" s="96"/>
      <c r="AB569" s="26"/>
    </row>
    <row r="570" spans="8:28" x14ac:dyDescent="0.2">
      <c r="H570" s="26"/>
      <c r="I570" s="26"/>
      <c r="J570" s="26"/>
      <c r="Y570" s="96"/>
      <c r="Z570" s="26"/>
      <c r="AA570" s="96"/>
      <c r="AB570" s="26"/>
    </row>
    <row r="571" spans="8:28" x14ac:dyDescent="0.2">
      <c r="H571" s="26"/>
      <c r="I571" s="26"/>
      <c r="J571" s="26"/>
      <c r="Y571" s="96"/>
      <c r="Z571" s="26"/>
      <c r="AA571" s="96"/>
      <c r="AB571" s="26"/>
    </row>
    <row r="572" spans="8:28" x14ac:dyDescent="0.2">
      <c r="H572" s="26"/>
      <c r="I572" s="26"/>
      <c r="J572" s="26"/>
      <c r="Y572" s="96"/>
      <c r="Z572" s="26"/>
      <c r="AA572" s="96"/>
      <c r="AB572" s="26"/>
    </row>
    <row r="573" spans="8:28" x14ac:dyDescent="0.2">
      <c r="H573" s="26"/>
      <c r="I573" s="26"/>
      <c r="J573" s="26"/>
      <c r="Y573" s="96"/>
      <c r="Z573" s="26"/>
      <c r="AA573" s="96"/>
      <c r="AB573" s="26"/>
    </row>
    <row r="574" spans="8:28" x14ac:dyDescent="0.2">
      <c r="H574" s="26"/>
      <c r="I574" s="26"/>
      <c r="J574" s="26"/>
      <c r="Y574" s="96"/>
      <c r="Z574" s="26"/>
      <c r="AA574" s="96"/>
      <c r="AB574" s="26"/>
    </row>
    <row r="575" spans="8:28" x14ac:dyDescent="0.2">
      <c r="H575" s="26"/>
      <c r="I575" s="26"/>
      <c r="J575" s="26"/>
      <c r="Y575" s="96"/>
      <c r="Z575" s="26"/>
      <c r="AA575" s="96"/>
      <c r="AB575" s="26"/>
    </row>
    <row r="576" spans="8:28" x14ac:dyDescent="0.2">
      <c r="H576" s="26"/>
      <c r="I576" s="26"/>
      <c r="J576" s="26"/>
      <c r="Y576" s="96"/>
      <c r="Z576" s="26"/>
      <c r="AA576" s="96"/>
      <c r="AB576" s="26"/>
    </row>
    <row r="577" spans="8:28" x14ac:dyDescent="0.2">
      <c r="H577" s="26"/>
      <c r="I577" s="26"/>
      <c r="J577" s="26"/>
      <c r="Y577" s="96"/>
      <c r="Z577" s="26"/>
      <c r="AA577" s="96"/>
      <c r="AB577" s="26"/>
    </row>
    <row r="578" spans="8:28" x14ac:dyDescent="0.2">
      <c r="H578" s="26"/>
      <c r="I578" s="26"/>
      <c r="J578" s="26"/>
      <c r="Y578" s="96"/>
      <c r="Z578" s="26"/>
      <c r="AA578" s="96"/>
      <c r="AB578" s="26"/>
    </row>
    <row r="579" spans="8:28" x14ac:dyDescent="0.2">
      <c r="H579" s="26"/>
      <c r="I579" s="26"/>
      <c r="J579" s="26"/>
      <c r="Y579" s="96"/>
      <c r="Z579" s="26"/>
      <c r="AA579" s="96"/>
      <c r="AB579" s="26"/>
    </row>
    <row r="580" spans="8:28" x14ac:dyDescent="0.2">
      <c r="H580" s="26"/>
      <c r="I580" s="26"/>
      <c r="J580" s="26"/>
      <c r="Y580" s="96"/>
      <c r="Z580" s="26"/>
      <c r="AA580" s="96"/>
      <c r="AB580" s="26"/>
    </row>
    <row r="581" spans="8:28" x14ac:dyDescent="0.2">
      <c r="H581" s="26"/>
      <c r="I581" s="26"/>
      <c r="J581" s="26"/>
      <c r="Y581" s="96"/>
      <c r="Z581" s="26"/>
      <c r="AA581" s="96"/>
      <c r="AB581" s="26"/>
    </row>
    <row r="582" spans="8:28" x14ac:dyDescent="0.2">
      <c r="H582" s="26"/>
      <c r="I582" s="26"/>
      <c r="J582" s="26"/>
      <c r="Y582" s="96"/>
      <c r="Z582" s="26"/>
      <c r="AA582" s="96"/>
      <c r="AB582" s="26"/>
    </row>
    <row r="583" spans="8:28" x14ac:dyDescent="0.2">
      <c r="H583" s="26"/>
      <c r="I583" s="26"/>
      <c r="J583" s="26"/>
      <c r="Y583" s="96"/>
      <c r="Z583" s="26"/>
      <c r="AA583" s="96"/>
      <c r="AB583" s="26"/>
    </row>
    <row r="584" spans="8:28" x14ac:dyDescent="0.2">
      <c r="H584" s="26"/>
      <c r="I584" s="26"/>
      <c r="J584" s="26"/>
      <c r="Y584" s="96"/>
      <c r="Z584" s="26"/>
      <c r="AA584" s="96"/>
      <c r="AB584" s="26"/>
    </row>
    <row r="585" spans="8:28" x14ac:dyDescent="0.2">
      <c r="H585" s="26"/>
      <c r="I585" s="26"/>
      <c r="J585" s="26"/>
      <c r="Y585" s="96"/>
      <c r="Z585" s="26"/>
      <c r="AA585" s="96"/>
      <c r="AB585" s="26"/>
    </row>
    <row r="586" spans="8:28" x14ac:dyDescent="0.2">
      <c r="H586" s="26"/>
      <c r="I586" s="26"/>
      <c r="J586" s="26"/>
      <c r="Y586" s="96"/>
      <c r="Z586" s="26"/>
      <c r="AA586" s="96"/>
      <c r="AB586" s="26"/>
    </row>
    <row r="587" spans="8:28" x14ac:dyDescent="0.2">
      <c r="H587" s="26"/>
      <c r="I587" s="26"/>
      <c r="J587" s="26"/>
      <c r="Y587" s="96"/>
      <c r="Z587" s="26"/>
      <c r="AA587" s="96"/>
      <c r="AB587" s="26"/>
    </row>
    <row r="588" spans="8:28" x14ac:dyDescent="0.2">
      <c r="H588" s="26"/>
      <c r="I588" s="26"/>
      <c r="J588" s="26"/>
      <c r="Y588" s="96"/>
      <c r="Z588" s="26"/>
      <c r="AA588" s="96"/>
      <c r="AB588" s="26"/>
    </row>
    <row r="589" spans="8:28" x14ac:dyDescent="0.2">
      <c r="H589" s="26"/>
      <c r="I589" s="26"/>
      <c r="J589" s="26"/>
      <c r="Y589" s="96"/>
      <c r="Z589" s="26"/>
      <c r="AA589" s="96"/>
      <c r="AB589" s="26"/>
    </row>
    <row r="590" spans="8:28" x14ac:dyDescent="0.2">
      <c r="H590" s="26"/>
      <c r="I590" s="26"/>
      <c r="J590" s="26"/>
      <c r="Y590" s="96"/>
      <c r="Z590" s="26"/>
      <c r="AA590" s="96"/>
      <c r="AB590" s="26"/>
    </row>
    <row r="591" spans="8:28" x14ac:dyDescent="0.2">
      <c r="H591" s="26"/>
      <c r="I591" s="26"/>
      <c r="J591" s="26"/>
      <c r="Y591" s="96"/>
      <c r="Z591" s="26"/>
      <c r="AA591" s="96"/>
      <c r="AB591" s="26"/>
    </row>
    <row r="592" spans="8:28" x14ac:dyDescent="0.2">
      <c r="H592" s="26"/>
      <c r="I592" s="26"/>
      <c r="J592" s="26"/>
      <c r="Y592" s="96"/>
      <c r="Z592" s="26"/>
      <c r="AA592" s="96"/>
      <c r="AB592" s="26"/>
    </row>
    <row r="593" spans="8:28" x14ac:dyDescent="0.2">
      <c r="H593" s="26"/>
      <c r="I593" s="26"/>
      <c r="J593" s="26"/>
      <c r="Y593" s="96"/>
      <c r="Z593" s="26"/>
      <c r="AA593" s="96"/>
      <c r="AB593" s="26"/>
    </row>
    <row r="594" spans="8:28" x14ac:dyDescent="0.2">
      <c r="H594" s="26"/>
      <c r="I594" s="26"/>
      <c r="J594" s="26"/>
      <c r="Y594" s="96"/>
      <c r="Z594" s="26"/>
      <c r="AA594" s="96"/>
      <c r="AB594" s="26"/>
    </row>
    <row r="595" spans="8:28" x14ac:dyDescent="0.2">
      <c r="H595" s="26"/>
      <c r="I595" s="26"/>
      <c r="J595" s="26"/>
      <c r="Y595" s="96"/>
      <c r="Z595" s="26"/>
      <c r="AA595" s="96"/>
      <c r="AB595" s="26"/>
    </row>
    <row r="596" spans="8:28" x14ac:dyDescent="0.2">
      <c r="H596" s="26"/>
      <c r="I596" s="26"/>
      <c r="J596" s="26"/>
      <c r="Y596" s="96"/>
      <c r="Z596" s="26"/>
      <c r="AA596" s="96"/>
      <c r="AB596" s="26"/>
    </row>
    <row r="597" spans="8:28" x14ac:dyDescent="0.2">
      <c r="H597" s="26"/>
      <c r="I597" s="26"/>
      <c r="J597" s="26"/>
      <c r="Y597" s="96"/>
      <c r="Z597" s="26"/>
      <c r="AA597" s="96"/>
      <c r="AB597" s="26"/>
    </row>
    <row r="598" spans="8:28" x14ac:dyDescent="0.2">
      <c r="H598" s="26"/>
      <c r="I598" s="26"/>
      <c r="J598" s="26"/>
      <c r="Y598" s="96"/>
      <c r="Z598" s="26"/>
      <c r="AA598" s="96"/>
      <c r="AB598" s="26"/>
    </row>
    <row r="599" spans="8:28" x14ac:dyDescent="0.2">
      <c r="H599" s="26"/>
      <c r="I599" s="26"/>
      <c r="J599" s="26"/>
      <c r="Y599" s="96"/>
      <c r="Z599" s="26"/>
      <c r="AA599" s="96"/>
      <c r="AB599" s="26"/>
    </row>
    <row r="600" spans="8:28" x14ac:dyDescent="0.2">
      <c r="H600" s="26"/>
      <c r="I600" s="26"/>
      <c r="J600" s="26"/>
      <c r="Y600" s="96"/>
      <c r="Z600" s="26"/>
      <c r="AA600" s="96"/>
      <c r="AB600" s="26"/>
    </row>
    <row r="601" spans="8:28" x14ac:dyDescent="0.2">
      <c r="H601" s="26"/>
      <c r="I601" s="26"/>
      <c r="J601" s="26"/>
      <c r="Y601" s="96"/>
      <c r="Z601" s="26"/>
      <c r="AA601" s="96"/>
      <c r="AB601" s="26"/>
    </row>
    <row r="602" spans="8:28" x14ac:dyDescent="0.2">
      <c r="H602" s="26"/>
      <c r="I602" s="26"/>
      <c r="J602" s="26"/>
      <c r="Y602" s="96"/>
      <c r="Z602" s="26"/>
      <c r="AA602" s="96"/>
      <c r="AB602" s="26"/>
    </row>
    <row r="603" spans="8:28" x14ac:dyDescent="0.2">
      <c r="H603" s="26"/>
      <c r="I603" s="26"/>
      <c r="J603" s="26"/>
      <c r="Y603" s="96"/>
      <c r="Z603" s="26"/>
      <c r="AA603" s="96"/>
      <c r="AB603" s="26"/>
    </row>
    <row r="604" spans="8:28" x14ac:dyDescent="0.2">
      <c r="H604" s="26"/>
      <c r="I604" s="26"/>
      <c r="J604" s="26"/>
      <c r="Y604" s="96"/>
      <c r="Z604" s="26"/>
      <c r="AA604" s="96"/>
      <c r="AB604" s="26"/>
    </row>
    <row r="605" spans="8:28" x14ac:dyDescent="0.2">
      <c r="H605" s="26"/>
      <c r="I605" s="26"/>
      <c r="J605" s="26"/>
      <c r="Y605" s="96"/>
      <c r="Z605" s="26"/>
      <c r="AA605" s="96"/>
      <c r="AB605" s="26"/>
    </row>
    <row r="606" spans="8:28" x14ac:dyDescent="0.2">
      <c r="H606" s="26"/>
      <c r="I606" s="26"/>
      <c r="J606" s="26"/>
      <c r="Y606" s="96"/>
      <c r="Z606" s="26"/>
      <c r="AA606" s="96"/>
      <c r="AB606" s="26"/>
    </row>
    <row r="607" spans="8:28" x14ac:dyDescent="0.2">
      <c r="H607" s="26"/>
      <c r="I607" s="26"/>
      <c r="J607" s="26"/>
      <c r="Y607" s="96"/>
      <c r="Z607" s="26"/>
      <c r="AA607" s="96"/>
      <c r="AB607" s="26"/>
    </row>
    <row r="608" spans="8:28" x14ac:dyDescent="0.2">
      <c r="H608" s="26"/>
      <c r="I608" s="26"/>
      <c r="J608" s="26"/>
      <c r="Y608" s="96"/>
      <c r="Z608" s="26"/>
      <c r="AA608" s="96"/>
      <c r="AB608" s="26"/>
    </row>
    <row r="609" spans="8:28" x14ac:dyDescent="0.2">
      <c r="H609" s="26"/>
      <c r="I609" s="26"/>
      <c r="J609" s="26"/>
      <c r="Y609" s="96"/>
      <c r="Z609" s="26"/>
      <c r="AA609" s="96"/>
      <c r="AB609" s="26"/>
    </row>
    <row r="610" spans="8:28" x14ac:dyDescent="0.2">
      <c r="H610" s="26"/>
      <c r="I610" s="26"/>
      <c r="J610" s="26"/>
      <c r="Y610" s="96"/>
      <c r="Z610" s="26"/>
      <c r="AA610" s="96"/>
      <c r="AB610" s="26"/>
    </row>
    <row r="611" spans="8:28" x14ac:dyDescent="0.2">
      <c r="H611" s="26"/>
      <c r="I611" s="26"/>
      <c r="J611" s="26"/>
      <c r="Y611" s="96"/>
      <c r="Z611" s="26"/>
      <c r="AA611" s="96"/>
      <c r="AB611" s="26"/>
    </row>
    <row r="612" spans="8:28" x14ac:dyDescent="0.2">
      <c r="H612" s="26"/>
      <c r="I612" s="26"/>
      <c r="J612" s="26"/>
      <c r="Y612" s="96"/>
      <c r="Z612" s="26"/>
      <c r="AA612" s="96"/>
      <c r="AB612" s="26"/>
    </row>
    <row r="613" spans="8:28" x14ac:dyDescent="0.2">
      <c r="H613" s="26"/>
      <c r="I613" s="26"/>
      <c r="J613" s="26"/>
      <c r="Y613" s="96"/>
      <c r="Z613" s="26"/>
      <c r="AA613" s="96"/>
      <c r="AB613" s="26"/>
    </row>
    <row r="614" spans="8:28" x14ac:dyDescent="0.2">
      <c r="H614" s="26"/>
      <c r="I614" s="26"/>
      <c r="J614" s="26"/>
      <c r="Y614" s="96"/>
      <c r="Z614" s="26"/>
      <c r="AA614" s="96"/>
      <c r="AB614" s="26"/>
    </row>
    <row r="615" spans="8:28" x14ac:dyDescent="0.2">
      <c r="H615" s="26"/>
      <c r="I615" s="26"/>
      <c r="J615" s="26"/>
      <c r="Y615" s="96"/>
      <c r="Z615" s="26"/>
      <c r="AA615" s="96"/>
      <c r="AB615" s="26"/>
    </row>
    <row r="616" spans="8:28" x14ac:dyDescent="0.2">
      <c r="H616" s="26"/>
      <c r="I616" s="26"/>
      <c r="J616" s="26"/>
      <c r="Y616" s="96"/>
      <c r="Z616" s="26"/>
      <c r="AA616" s="96"/>
      <c r="AB616" s="26"/>
    </row>
    <row r="617" spans="8:28" x14ac:dyDescent="0.2">
      <c r="H617" s="26"/>
      <c r="I617" s="26"/>
      <c r="J617" s="26"/>
      <c r="Y617" s="96"/>
      <c r="Z617" s="26"/>
      <c r="AA617" s="96"/>
      <c r="AB617" s="26"/>
    </row>
    <row r="618" spans="8:28" x14ac:dyDescent="0.2">
      <c r="H618" s="26"/>
      <c r="I618" s="26"/>
      <c r="J618" s="26"/>
      <c r="Y618" s="96"/>
      <c r="Z618" s="26"/>
      <c r="AA618" s="96"/>
      <c r="AB618" s="26"/>
    </row>
    <row r="619" spans="8:28" x14ac:dyDescent="0.2">
      <c r="H619" s="26"/>
      <c r="I619" s="26"/>
      <c r="J619" s="26"/>
      <c r="Y619" s="96"/>
      <c r="Z619" s="26"/>
      <c r="AA619" s="96"/>
      <c r="AB619" s="26"/>
    </row>
    <row r="620" spans="8:28" x14ac:dyDescent="0.2">
      <c r="H620" s="26"/>
      <c r="I620" s="26"/>
      <c r="J620" s="26"/>
      <c r="Y620" s="96"/>
      <c r="Z620" s="26"/>
      <c r="AA620" s="96"/>
      <c r="AB620" s="26"/>
    </row>
    <row r="621" spans="8:28" x14ac:dyDescent="0.2">
      <c r="H621" s="26"/>
      <c r="I621" s="26"/>
      <c r="J621" s="26"/>
      <c r="Y621" s="96"/>
      <c r="Z621" s="26"/>
      <c r="AA621" s="96"/>
      <c r="AB621" s="26"/>
    </row>
    <row r="622" spans="8:28" x14ac:dyDescent="0.2">
      <c r="H622" s="26"/>
      <c r="I622" s="26"/>
      <c r="J622" s="26"/>
      <c r="Y622" s="96"/>
      <c r="Z622" s="26"/>
      <c r="AA622" s="96"/>
      <c r="AB622" s="26"/>
    </row>
    <row r="623" spans="8:28" x14ac:dyDescent="0.2">
      <c r="H623" s="26"/>
      <c r="I623" s="26"/>
      <c r="J623" s="26"/>
      <c r="Y623" s="96"/>
      <c r="Z623" s="26"/>
      <c r="AA623" s="96"/>
      <c r="AB623" s="26"/>
    </row>
    <row r="624" spans="8:28" x14ac:dyDescent="0.2">
      <c r="H624" s="26"/>
      <c r="I624" s="26"/>
      <c r="J624" s="26"/>
      <c r="Y624" s="96"/>
      <c r="Z624" s="26"/>
      <c r="AA624" s="96"/>
      <c r="AB624" s="26"/>
    </row>
    <row r="625" spans="8:28" x14ac:dyDescent="0.2">
      <c r="H625" s="26"/>
      <c r="I625" s="26"/>
      <c r="J625" s="26"/>
      <c r="Y625" s="96"/>
      <c r="Z625" s="26"/>
      <c r="AA625" s="96"/>
      <c r="AB625" s="26"/>
    </row>
    <row r="626" spans="8:28" x14ac:dyDescent="0.2">
      <c r="H626" s="26"/>
      <c r="I626" s="26"/>
      <c r="J626" s="26"/>
      <c r="Y626" s="96"/>
      <c r="Z626" s="26"/>
      <c r="AA626" s="96"/>
      <c r="AB626" s="26"/>
    </row>
    <row r="627" spans="8:28" x14ac:dyDescent="0.2">
      <c r="H627" s="26"/>
      <c r="I627" s="26"/>
      <c r="J627" s="26"/>
      <c r="Y627" s="96"/>
      <c r="Z627" s="26"/>
      <c r="AA627" s="96"/>
      <c r="AB627" s="26"/>
    </row>
    <row r="628" spans="8:28" x14ac:dyDescent="0.2">
      <c r="H628" s="26"/>
      <c r="I628" s="26"/>
      <c r="J628" s="26"/>
      <c r="Y628" s="96"/>
      <c r="Z628" s="26"/>
      <c r="AA628" s="96"/>
      <c r="AB628" s="26"/>
    </row>
    <row r="629" spans="8:28" x14ac:dyDescent="0.2">
      <c r="H629" s="26"/>
      <c r="I629" s="26"/>
      <c r="J629" s="26"/>
      <c r="Y629" s="96"/>
      <c r="Z629" s="26"/>
      <c r="AA629" s="96"/>
      <c r="AB629" s="26"/>
    </row>
    <row r="630" spans="8:28" x14ac:dyDescent="0.2">
      <c r="H630" s="26"/>
      <c r="I630" s="26"/>
      <c r="J630" s="26"/>
      <c r="Y630" s="96"/>
      <c r="Z630" s="26"/>
      <c r="AA630" s="96"/>
      <c r="AB630" s="26"/>
    </row>
    <row r="631" spans="8:28" x14ac:dyDescent="0.2">
      <c r="H631" s="26"/>
      <c r="I631" s="26"/>
      <c r="J631" s="26"/>
      <c r="Y631" s="96"/>
      <c r="Z631" s="26"/>
      <c r="AA631" s="96"/>
      <c r="AB631" s="26"/>
    </row>
    <row r="632" spans="8:28" x14ac:dyDescent="0.2">
      <c r="H632" s="26"/>
      <c r="I632" s="26"/>
      <c r="J632" s="26"/>
      <c r="Y632" s="96"/>
      <c r="Z632" s="26"/>
      <c r="AA632" s="96"/>
      <c r="AB632" s="26"/>
    </row>
    <row r="633" spans="8:28" x14ac:dyDescent="0.2">
      <c r="H633" s="26"/>
      <c r="I633" s="26"/>
      <c r="J633" s="26"/>
      <c r="Y633" s="96"/>
      <c r="Z633" s="26"/>
      <c r="AA633" s="96"/>
      <c r="AB633" s="26"/>
    </row>
    <row r="634" spans="8:28" x14ac:dyDescent="0.2">
      <c r="H634" s="26"/>
      <c r="I634" s="26"/>
      <c r="J634" s="26"/>
      <c r="Y634" s="96"/>
      <c r="Z634" s="26"/>
      <c r="AA634" s="96"/>
      <c r="AB634" s="26"/>
    </row>
    <row r="635" spans="8:28" x14ac:dyDescent="0.2">
      <c r="H635" s="26"/>
      <c r="I635" s="26"/>
      <c r="J635" s="26"/>
      <c r="Y635" s="96"/>
      <c r="Z635" s="26"/>
      <c r="AA635" s="96"/>
      <c r="AB635" s="26"/>
    </row>
    <row r="636" spans="8:28" x14ac:dyDescent="0.2">
      <c r="H636" s="26"/>
      <c r="I636" s="26"/>
      <c r="J636" s="26"/>
      <c r="Y636" s="96"/>
      <c r="Z636" s="26"/>
      <c r="AA636" s="96"/>
      <c r="AB636" s="26"/>
    </row>
    <row r="637" spans="8:28" x14ac:dyDescent="0.2">
      <c r="H637" s="26"/>
      <c r="I637" s="26"/>
      <c r="J637" s="26"/>
      <c r="Y637" s="96"/>
      <c r="Z637" s="26"/>
      <c r="AA637" s="96"/>
      <c r="AB637" s="26"/>
    </row>
    <row r="638" spans="8:28" x14ac:dyDescent="0.2">
      <c r="H638" s="26"/>
      <c r="I638" s="26"/>
      <c r="J638" s="26"/>
      <c r="Y638" s="96"/>
      <c r="Z638" s="26"/>
      <c r="AA638" s="96"/>
      <c r="AB638" s="26"/>
    </row>
    <row r="639" spans="8:28" x14ac:dyDescent="0.2">
      <c r="H639" s="26"/>
      <c r="I639" s="26"/>
      <c r="J639" s="26"/>
      <c r="Y639" s="96"/>
      <c r="Z639" s="26"/>
      <c r="AA639" s="96"/>
      <c r="AB639" s="26"/>
    </row>
    <row r="640" spans="8:28" x14ac:dyDescent="0.2">
      <c r="H640" s="26"/>
      <c r="I640" s="26"/>
      <c r="J640" s="26"/>
      <c r="Y640" s="96"/>
      <c r="Z640" s="26"/>
      <c r="AA640" s="96"/>
      <c r="AB640" s="26"/>
    </row>
    <row r="641" spans="8:28" x14ac:dyDescent="0.2">
      <c r="H641" s="26"/>
      <c r="I641" s="26"/>
      <c r="J641" s="26"/>
      <c r="Y641" s="96"/>
      <c r="Z641" s="26"/>
      <c r="AA641" s="96"/>
      <c r="AB641" s="26"/>
    </row>
    <row r="642" spans="8:28" x14ac:dyDescent="0.2">
      <c r="H642" s="26"/>
      <c r="I642" s="26"/>
      <c r="J642" s="26"/>
      <c r="Y642" s="96"/>
      <c r="Z642" s="26"/>
      <c r="AA642" s="96"/>
      <c r="AB642" s="26"/>
    </row>
    <row r="643" spans="8:28" x14ac:dyDescent="0.2">
      <c r="H643" s="26"/>
      <c r="I643" s="26"/>
      <c r="J643" s="26"/>
      <c r="Y643" s="96"/>
      <c r="Z643" s="26"/>
      <c r="AA643" s="96"/>
      <c r="AB643" s="26"/>
    </row>
    <row r="644" spans="8:28" x14ac:dyDescent="0.2">
      <c r="H644" s="26"/>
      <c r="I644" s="26"/>
      <c r="J644" s="26"/>
      <c r="Y644" s="96"/>
      <c r="Z644" s="26"/>
      <c r="AA644" s="96"/>
      <c r="AB644" s="26"/>
    </row>
    <row r="645" spans="8:28" x14ac:dyDescent="0.2">
      <c r="H645" s="26"/>
      <c r="I645" s="26"/>
      <c r="J645" s="26"/>
      <c r="Y645" s="96"/>
      <c r="Z645" s="26"/>
      <c r="AA645" s="96"/>
      <c r="AB645" s="26"/>
    </row>
    <row r="646" spans="8:28" x14ac:dyDescent="0.2">
      <c r="H646" s="26"/>
      <c r="I646" s="26"/>
      <c r="J646" s="26"/>
      <c r="Y646" s="96"/>
      <c r="Z646" s="26"/>
      <c r="AA646" s="96"/>
      <c r="AB646" s="26"/>
    </row>
    <row r="647" spans="8:28" x14ac:dyDescent="0.2">
      <c r="H647" s="26"/>
      <c r="I647" s="26"/>
      <c r="J647" s="26"/>
      <c r="Y647" s="96"/>
      <c r="Z647" s="26"/>
      <c r="AA647" s="96"/>
      <c r="AB647" s="26"/>
    </row>
    <row r="648" spans="8:28" x14ac:dyDescent="0.2">
      <c r="H648" s="26"/>
      <c r="I648" s="26"/>
      <c r="J648" s="26"/>
      <c r="Y648" s="96"/>
      <c r="Z648" s="26"/>
      <c r="AA648" s="96"/>
      <c r="AB648" s="26"/>
    </row>
    <row r="649" spans="8:28" x14ac:dyDescent="0.2">
      <c r="H649" s="26"/>
      <c r="I649" s="26"/>
      <c r="J649" s="26"/>
      <c r="Y649" s="96"/>
      <c r="Z649" s="26"/>
      <c r="AA649" s="96"/>
      <c r="AB649" s="26"/>
    </row>
    <row r="650" spans="8:28" x14ac:dyDescent="0.2">
      <c r="H650" s="26"/>
      <c r="I650" s="26"/>
      <c r="J650" s="26"/>
      <c r="Y650" s="96"/>
      <c r="Z650" s="26"/>
      <c r="AA650" s="96"/>
      <c r="AB650" s="26"/>
    </row>
    <row r="651" spans="8:28" x14ac:dyDescent="0.2">
      <c r="H651" s="26"/>
      <c r="I651" s="26"/>
      <c r="J651" s="26"/>
      <c r="Y651" s="96"/>
      <c r="Z651" s="26"/>
      <c r="AA651" s="96"/>
      <c r="AB651" s="26"/>
    </row>
    <row r="652" spans="8:28" x14ac:dyDescent="0.2">
      <c r="H652" s="26"/>
      <c r="I652" s="26"/>
      <c r="J652" s="26"/>
      <c r="Y652" s="96"/>
      <c r="Z652" s="26"/>
      <c r="AA652" s="96"/>
      <c r="AB652" s="26"/>
    </row>
    <row r="653" spans="8:28" x14ac:dyDescent="0.2">
      <c r="H653" s="26"/>
      <c r="I653" s="26"/>
      <c r="J653" s="26"/>
      <c r="Y653" s="96"/>
      <c r="Z653" s="26"/>
      <c r="AA653" s="96"/>
      <c r="AB653" s="26"/>
    </row>
    <row r="654" spans="8:28" x14ac:dyDescent="0.2">
      <c r="H654" s="26"/>
      <c r="I654" s="26"/>
      <c r="J654" s="26"/>
      <c r="Y654" s="96"/>
      <c r="Z654" s="26"/>
      <c r="AA654" s="96"/>
      <c r="AB654" s="26"/>
    </row>
    <row r="655" spans="8:28" x14ac:dyDescent="0.2">
      <c r="H655" s="26"/>
      <c r="I655" s="26"/>
      <c r="J655" s="26"/>
      <c r="Y655" s="96"/>
      <c r="Z655" s="26"/>
      <c r="AA655" s="96"/>
      <c r="AB655" s="26"/>
    </row>
    <row r="656" spans="8:28" x14ac:dyDescent="0.2">
      <c r="H656" s="26"/>
      <c r="I656" s="26"/>
      <c r="J656" s="26"/>
      <c r="Y656" s="96"/>
      <c r="Z656" s="26"/>
      <c r="AA656" s="96"/>
      <c r="AB656" s="26"/>
    </row>
    <row r="657" spans="8:28" x14ac:dyDescent="0.2">
      <c r="H657" s="26"/>
      <c r="I657" s="26"/>
      <c r="J657" s="26"/>
      <c r="Y657" s="96"/>
      <c r="Z657" s="26"/>
      <c r="AA657" s="96"/>
      <c r="AB657" s="26"/>
    </row>
    <row r="658" spans="8:28" x14ac:dyDescent="0.2">
      <c r="H658" s="26"/>
      <c r="I658" s="26"/>
      <c r="J658" s="26"/>
      <c r="Y658" s="96"/>
      <c r="Z658" s="26"/>
      <c r="AA658" s="96"/>
      <c r="AB658" s="26"/>
    </row>
    <row r="659" spans="8:28" x14ac:dyDescent="0.2">
      <c r="H659" s="26"/>
      <c r="I659" s="26"/>
      <c r="J659" s="26"/>
      <c r="Y659" s="96"/>
      <c r="Z659" s="26"/>
      <c r="AA659" s="96"/>
      <c r="AB659" s="26"/>
    </row>
    <row r="660" spans="8:28" x14ac:dyDescent="0.2">
      <c r="H660" s="26"/>
      <c r="I660" s="26"/>
      <c r="J660" s="26"/>
      <c r="Y660" s="96"/>
      <c r="Z660" s="26"/>
      <c r="AA660" s="96"/>
      <c r="AB660" s="26"/>
    </row>
    <row r="661" spans="8:28" x14ac:dyDescent="0.2">
      <c r="H661" s="26"/>
      <c r="I661" s="26"/>
      <c r="J661" s="26"/>
      <c r="Y661" s="96"/>
      <c r="Z661" s="26"/>
      <c r="AA661" s="96"/>
      <c r="AB661" s="26"/>
    </row>
    <row r="662" spans="8:28" x14ac:dyDescent="0.2">
      <c r="H662" s="26"/>
      <c r="I662" s="26"/>
      <c r="J662" s="26"/>
      <c r="Y662" s="96"/>
      <c r="Z662" s="26"/>
      <c r="AA662" s="96"/>
      <c r="AB662" s="26"/>
    </row>
    <row r="663" spans="8:28" x14ac:dyDescent="0.2">
      <c r="H663" s="26"/>
      <c r="I663" s="26"/>
      <c r="J663" s="26"/>
      <c r="Y663" s="96"/>
      <c r="Z663" s="26"/>
      <c r="AA663" s="96"/>
      <c r="AB663" s="26"/>
    </row>
    <row r="664" spans="8:28" x14ac:dyDescent="0.2">
      <c r="H664" s="26"/>
      <c r="I664" s="26"/>
      <c r="J664" s="26"/>
      <c r="Y664" s="96"/>
      <c r="Z664" s="26"/>
      <c r="AA664" s="96"/>
      <c r="AB664" s="26"/>
    </row>
    <row r="665" spans="8:28" x14ac:dyDescent="0.2">
      <c r="H665" s="26"/>
      <c r="I665" s="26"/>
      <c r="J665" s="26"/>
      <c r="Y665" s="96"/>
      <c r="Z665" s="26"/>
      <c r="AA665" s="96"/>
      <c r="AB665" s="26"/>
    </row>
    <row r="666" spans="8:28" x14ac:dyDescent="0.2">
      <c r="H666" s="26"/>
      <c r="I666" s="26"/>
      <c r="J666" s="26"/>
      <c r="Y666" s="96"/>
      <c r="Z666" s="26"/>
      <c r="AA666" s="96"/>
      <c r="AB666" s="26"/>
    </row>
    <row r="667" spans="8:28" x14ac:dyDescent="0.2">
      <c r="H667" s="26"/>
      <c r="I667" s="26"/>
      <c r="J667" s="26"/>
      <c r="Y667" s="96"/>
      <c r="Z667" s="26"/>
      <c r="AA667" s="96"/>
      <c r="AB667" s="26"/>
    </row>
    <row r="668" spans="8:28" x14ac:dyDescent="0.2">
      <c r="H668" s="26"/>
      <c r="I668" s="26"/>
      <c r="J668" s="26"/>
      <c r="Y668" s="96"/>
      <c r="Z668" s="26"/>
      <c r="AA668" s="96"/>
      <c r="AB668" s="26"/>
    </row>
    <row r="669" spans="8:28" x14ac:dyDescent="0.2">
      <c r="H669" s="26"/>
      <c r="I669" s="26"/>
      <c r="J669" s="26"/>
      <c r="Y669" s="96"/>
      <c r="Z669" s="26"/>
      <c r="AA669" s="96"/>
      <c r="AB669" s="26"/>
    </row>
    <row r="670" spans="8:28" x14ac:dyDescent="0.2">
      <c r="H670" s="26"/>
      <c r="I670" s="26"/>
      <c r="J670" s="26"/>
      <c r="Y670" s="96"/>
      <c r="Z670" s="26"/>
      <c r="AA670" s="96"/>
      <c r="AB670" s="26"/>
    </row>
    <row r="671" spans="8:28" x14ac:dyDescent="0.2">
      <c r="H671" s="26"/>
      <c r="I671" s="26"/>
      <c r="J671" s="26"/>
      <c r="Y671" s="96"/>
      <c r="Z671" s="26"/>
      <c r="AA671" s="96"/>
      <c r="AB671" s="26"/>
    </row>
    <row r="672" spans="8:28" x14ac:dyDescent="0.2">
      <c r="H672" s="26"/>
      <c r="I672" s="26"/>
      <c r="J672" s="26"/>
      <c r="Y672" s="96"/>
      <c r="Z672" s="26"/>
      <c r="AA672" s="96"/>
      <c r="AB672" s="26"/>
    </row>
    <row r="673" spans="8:28" x14ac:dyDescent="0.2">
      <c r="H673" s="26"/>
      <c r="I673" s="26"/>
      <c r="J673" s="26"/>
      <c r="Y673" s="96"/>
      <c r="Z673" s="26"/>
      <c r="AA673" s="96"/>
      <c r="AB673" s="26"/>
    </row>
    <row r="674" spans="8:28" x14ac:dyDescent="0.2">
      <c r="H674" s="26"/>
      <c r="I674" s="26"/>
      <c r="J674" s="26"/>
      <c r="Y674" s="96"/>
      <c r="Z674" s="26"/>
      <c r="AA674" s="96"/>
      <c r="AB674" s="26"/>
    </row>
    <row r="675" spans="8:28" x14ac:dyDescent="0.2">
      <c r="H675" s="26"/>
      <c r="I675" s="26"/>
      <c r="J675" s="26"/>
      <c r="Y675" s="96"/>
      <c r="Z675" s="26"/>
      <c r="AA675" s="96"/>
      <c r="AB675" s="26"/>
    </row>
    <row r="676" spans="8:28" x14ac:dyDescent="0.2">
      <c r="H676" s="26"/>
      <c r="I676" s="26"/>
      <c r="J676" s="26"/>
      <c r="Y676" s="96"/>
      <c r="Z676" s="26"/>
      <c r="AA676" s="96"/>
      <c r="AB676" s="26"/>
    </row>
    <row r="677" spans="8:28" x14ac:dyDescent="0.2">
      <c r="H677" s="26"/>
      <c r="I677" s="26"/>
      <c r="J677" s="26"/>
      <c r="Y677" s="96"/>
      <c r="Z677" s="26"/>
      <c r="AA677" s="96"/>
      <c r="AB677" s="26"/>
    </row>
    <row r="678" spans="8:28" x14ac:dyDescent="0.2">
      <c r="H678" s="26"/>
      <c r="I678" s="26"/>
      <c r="J678" s="26"/>
      <c r="Y678" s="96"/>
      <c r="Z678" s="26"/>
      <c r="AA678" s="96"/>
      <c r="AB678" s="26"/>
    </row>
    <row r="679" spans="8:28" x14ac:dyDescent="0.2">
      <c r="H679" s="26"/>
      <c r="I679" s="26"/>
      <c r="J679" s="26"/>
      <c r="Y679" s="96"/>
      <c r="Z679" s="26"/>
      <c r="AA679" s="96"/>
      <c r="AB679" s="26"/>
    </row>
    <row r="680" spans="8:28" x14ac:dyDescent="0.2">
      <c r="H680" s="26"/>
      <c r="I680" s="26"/>
      <c r="J680" s="26"/>
      <c r="Y680" s="96"/>
      <c r="Z680" s="26"/>
      <c r="AA680" s="96"/>
      <c r="AB680" s="26"/>
    </row>
    <row r="681" spans="8:28" x14ac:dyDescent="0.2">
      <c r="H681" s="26"/>
      <c r="I681" s="26"/>
      <c r="J681" s="26"/>
      <c r="Y681" s="96"/>
      <c r="Z681" s="26"/>
      <c r="AA681" s="96"/>
      <c r="AB681" s="26"/>
    </row>
    <row r="682" spans="8:28" x14ac:dyDescent="0.2">
      <c r="H682" s="26"/>
      <c r="I682" s="26"/>
      <c r="J682" s="26"/>
      <c r="Y682" s="96"/>
      <c r="Z682" s="26"/>
      <c r="AA682" s="96"/>
      <c r="AB682" s="26"/>
    </row>
    <row r="683" spans="8:28" x14ac:dyDescent="0.2">
      <c r="H683" s="26"/>
      <c r="I683" s="26"/>
      <c r="J683" s="26"/>
      <c r="Y683" s="96"/>
      <c r="Z683" s="26"/>
      <c r="AA683" s="96"/>
      <c r="AB683" s="26"/>
    </row>
    <row r="684" spans="8:28" x14ac:dyDescent="0.2">
      <c r="H684" s="26"/>
      <c r="I684" s="26"/>
      <c r="J684" s="26"/>
      <c r="Y684" s="96"/>
      <c r="Z684" s="26"/>
      <c r="AA684" s="96"/>
      <c r="AB684" s="26"/>
    </row>
    <row r="685" spans="8:28" x14ac:dyDescent="0.2">
      <c r="H685" s="26"/>
      <c r="I685" s="26"/>
      <c r="J685" s="26"/>
      <c r="Y685" s="96"/>
      <c r="Z685" s="26"/>
      <c r="AA685" s="96"/>
      <c r="AB685" s="26"/>
    </row>
    <row r="686" spans="8:28" x14ac:dyDescent="0.2">
      <c r="H686" s="26"/>
      <c r="I686" s="26"/>
      <c r="J686" s="26"/>
      <c r="Y686" s="96"/>
      <c r="Z686" s="26"/>
      <c r="AA686" s="96"/>
      <c r="AB686" s="26"/>
    </row>
    <row r="687" spans="8:28" x14ac:dyDescent="0.2">
      <c r="H687" s="26"/>
      <c r="I687" s="26"/>
      <c r="J687" s="26"/>
      <c r="Y687" s="96"/>
      <c r="Z687" s="26"/>
      <c r="AA687" s="96"/>
      <c r="AB687" s="26"/>
    </row>
    <row r="688" spans="8:28" x14ac:dyDescent="0.2">
      <c r="H688" s="26"/>
      <c r="I688" s="26"/>
      <c r="J688" s="26"/>
      <c r="Y688" s="96"/>
      <c r="Z688" s="26"/>
      <c r="AA688" s="96"/>
      <c r="AB688" s="26"/>
    </row>
    <row r="689" spans="8:28" x14ac:dyDescent="0.2">
      <c r="H689" s="26"/>
      <c r="I689" s="26"/>
      <c r="J689" s="26"/>
      <c r="Y689" s="96"/>
      <c r="Z689" s="26"/>
      <c r="AA689" s="96"/>
      <c r="AB689" s="26"/>
    </row>
    <row r="690" spans="8:28" x14ac:dyDescent="0.2">
      <c r="H690" s="26"/>
      <c r="I690" s="26"/>
      <c r="J690" s="26"/>
      <c r="Y690" s="96"/>
      <c r="Z690" s="26"/>
      <c r="AA690" s="96"/>
      <c r="AB690" s="26"/>
    </row>
    <row r="691" spans="8:28" x14ac:dyDescent="0.2">
      <c r="H691" s="26"/>
      <c r="I691" s="26"/>
      <c r="J691" s="26"/>
      <c r="Y691" s="96"/>
      <c r="Z691" s="26"/>
      <c r="AA691" s="96"/>
      <c r="AB691" s="26"/>
    </row>
    <row r="692" spans="8:28" x14ac:dyDescent="0.2">
      <c r="H692" s="26"/>
      <c r="I692" s="26"/>
      <c r="J692" s="26"/>
      <c r="Y692" s="96"/>
      <c r="Z692" s="26"/>
      <c r="AA692" s="96"/>
      <c r="AB692" s="26"/>
    </row>
    <row r="693" spans="8:28" x14ac:dyDescent="0.2">
      <c r="H693" s="26"/>
      <c r="I693" s="26"/>
      <c r="J693" s="26"/>
      <c r="Y693" s="96"/>
      <c r="Z693" s="26"/>
      <c r="AA693" s="96"/>
      <c r="AB693" s="26"/>
    </row>
    <row r="694" spans="8:28" x14ac:dyDescent="0.2">
      <c r="H694" s="26"/>
      <c r="I694" s="26"/>
      <c r="J694" s="26"/>
      <c r="Y694" s="96"/>
      <c r="Z694" s="26"/>
      <c r="AA694" s="96"/>
      <c r="AB694" s="26"/>
    </row>
    <row r="695" spans="8:28" x14ac:dyDescent="0.2">
      <c r="H695" s="26"/>
      <c r="I695" s="26"/>
      <c r="J695" s="26"/>
      <c r="Y695" s="96"/>
      <c r="Z695" s="26"/>
      <c r="AA695" s="96"/>
      <c r="AB695" s="26"/>
    </row>
    <row r="696" spans="8:28" x14ac:dyDescent="0.2">
      <c r="H696" s="26"/>
      <c r="I696" s="26"/>
      <c r="J696" s="26"/>
      <c r="Y696" s="96"/>
      <c r="Z696" s="26"/>
      <c r="AA696" s="96"/>
      <c r="AB696" s="26"/>
    </row>
    <row r="697" spans="8:28" x14ac:dyDescent="0.2">
      <c r="H697" s="26"/>
      <c r="I697" s="26"/>
      <c r="J697" s="26"/>
      <c r="Y697" s="96"/>
      <c r="Z697" s="26"/>
      <c r="AA697" s="96"/>
      <c r="AB697" s="26"/>
    </row>
    <row r="698" spans="8:28" x14ac:dyDescent="0.2">
      <c r="H698" s="26"/>
      <c r="I698" s="26"/>
      <c r="J698" s="26"/>
      <c r="Y698" s="96"/>
      <c r="Z698" s="26"/>
      <c r="AA698" s="96"/>
      <c r="AB698" s="26"/>
    </row>
    <row r="699" spans="8:28" x14ac:dyDescent="0.2">
      <c r="H699" s="26"/>
      <c r="I699" s="26"/>
      <c r="J699" s="26"/>
      <c r="Y699" s="96"/>
      <c r="Z699" s="26"/>
      <c r="AA699" s="96"/>
      <c r="AB699" s="26"/>
    </row>
    <row r="700" spans="8:28" x14ac:dyDescent="0.2">
      <c r="H700" s="26"/>
      <c r="I700" s="26"/>
      <c r="J700" s="26"/>
      <c r="Y700" s="96"/>
      <c r="Z700" s="26"/>
      <c r="AA700" s="96"/>
      <c r="AB700" s="26"/>
    </row>
    <row r="701" spans="8:28" x14ac:dyDescent="0.2">
      <c r="H701" s="26"/>
      <c r="I701" s="26"/>
      <c r="J701" s="26"/>
      <c r="Y701" s="96"/>
      <c r="Z701" s="26"/>
      <c r="AA701" s="96"/>
      <c r="AB701" s="26"/>
    </row>
    <row r="702" spans="8:28" x14ac:dyDescent="0.2">
      <c r="H702" s="26"/>
      <c r="I702" s="26"/>
      <c r="J702" s="26"/>
      <c r="Y702" s="96"/>
      <c r="Z702" s="26"/>
      <c r="AA702" s="96"/>
      <c r="AB702" s="26"/>
    </row>
    <row r="703" spans="8:28" x14ac:dyDescent="0.2">
      <c r="H703" s="26"/>
      <c r="I703" s="26"/>
      <c r="J703" s="26"/>
      <c r="Y703" s="96"/>
      <c r="Z703" s="26"/>
      <c r="AA703" s="96"/>
      <c r="AB703" s="26"/>
    </row>
    <row r="704" spans="8:28" x14ac:dyDescent="0.2">
      <c r="H704" s="26"/>
      <c r="I704" s="26"/>
      <c r="J704" s="26"/>
      <c r="Y704" s="96"/>
      <c r="Z704" s="26"/>
      <c r="AA704" s="96"/>
      <c r="AB704" s="26"/>
    </row>
    <row r="705" spans="8:28" x14ac:dyDescent="0.2">
      <c r="H705" s="26"/>
      <c r="I705" s="26"/>
      <c r="J705" s="26"/>
      <c r="Y705" s="96"/>
      <c r="Z705" s="26"/>
      <c r="AA705" s="96"/>
      <c r="AB705" s="26"/>
    </row>
    <row r="706" spans="8:28" x14ac:dyDescent="0.2">
      <c r="H706" s="26"/>
      <c r="I706" s="26"/>
      <c r="J706" s="26"/>
      <c r="Y706" s="96"/>
      <c r="Z706" s="26"/>
      <c r="AA706" s="96"/>
      <c r="AB706" s="26"/>
    </row>
    <row r="707" spans="8:28" x14ac:dyDescent="0.2">
      <c r="H707" s="26"/>
      <c r="I707" s="26"/>
      <c r="J707" s="26"/>
      <c r="Y707" s="96"/>
      <c r="Z707" s="26"/>
      <c r="AA707" s="96"/>
      <c r="AB707" s="26"/>
    </row>
    <row r="708" spans="8:28" x14ac:dyDescent="0.2">
      <c r="H708" s="26"/>
      <c r="I708" s="26"/>
      <c r="J708" s="26"/>
      <c r="Y708" s="96"/>
      <c r="Z708" s="26"/>
      <c r="AA708" s="96"/>
      <c r="AB708" s="26"/>
    </row>
    <row r="709" spans="8:28" x14ac:dyDescent="0.2">
      <c r="H709" s="26"/>
      <c r="I709" s="26"/>
      <c r="J709" s="26"/>
      <c r="Y709" s="96"/>
      <c r="Z709" s="26"/>
      <c r="AA709" s="96"/>
      <c r="AB709" s="26"/>
    </row>
    <row r="710" spans="8:28" x14ac:dyDescent="0.2">
      <c r="H710" s="26"/>
      <c r="I710" s="26"/>
      <c r="J710" s="26"/>
      <c r="Y710" s="96"/>
      <c r="Z710" s="26"/>
      <c r="AA710" s="96"/>
      <c r="AB710" s="26"/>
    </row>
    <row r="711" spans="8:28" x14ac:dyDescent="0.2">
      <c r="H711" s="26"/>
      <c r="I711" s="26"/>
      <c r="J711" s="26"/>
      <c r="Y711" s="96"/>
      <c r="Z711" s="26"/>
      <c r="AA711" s="96"/>
      <c r="AB711" s="26"/>
    </row>
    <row r="712" spans="8:28" x14ac:dyDescent="0.2">
      <c r="H712" s="26"/>
      <c r="I712" s="26"/>
      <c r="J712" s="26"/>
      <c r="Y712" s="96"/>
      <c r="Z712" s="26"/>
      <c r="AA712" s="96"/>
      <c r="AB712" s="26"/>
    </row>
    <row r="713" spans="8:28" x14ac:dyDescent="0.2">
      <c r="H713" s="26"/>
      <c r="I713" s="26"/>
      <c r="J713" s="26"/>
      <c r="Y713" s="96"/>
      <c r="Z713" s="26"/>
      <c r="AA713" s="96"/>
      <c r="AB713" s="26"/>
    </row>
    <row r="714" spans="8:28" x14ac:dyDescent="0.2">
      <c r="H714" s="26"/>
      <c r="I714" s="26"/>
      <c r="J714" s="26"/>
      <c r="Y714" s="96"/>
      <c r="Z714" s="26"/>
      <c r="AA714" s="96"/>
      <c r="AB714" s="26"/>
    </row>
    <row r="715" spans="8:28" x14ac:dyDescent="0.2">
      <c r="H715" s="26"/>
      <c r="I715" s="26"/>
      <c r="J715" s="26"/>
      <c r="Y715" s="96"/>
      <c r="Z715" s="26"/>
      <c r="AA715" s="96"/>
      <c r="AB715" s="26"/>
    </row>
    <row r="716" spans="8:28" x14ac:dyDescent="0.2">
      <c r="H716" s="26"/>
      <c r="I716" s="26"/>
      <c r="J716" s="26"/>
      <c r="Y716" s="96"/>
      <c r="Z716" s="26"/>
      <c r="AA716" s="96"/>
      <c r="AB716" s="26"/>
    </row>
    <row r="717" spans="8:28" x14ac:dyDescent="0.2">
      <c r="H717" s="26"/>
      <c r="I717" s="26"/>
      <c r="J717" s="26"/>
      <c r="Y717" s="96"/>
      <c r="Z717" s="26"/>
      <c r="AA717" s="96"/>
      <c r="AB717" s="26"/>
    </row>
    <row r="718" spans="8:28" x14ac:dyDescent="0.2">
      <c r="H718" s="26"/>
      <c r="I718" s="26"/>
      <c r="J718" s="26"/>
      <c r="Y718" s="96"/>
      <c r="Z718" s="26"/>
      <c r="AA718" s="96"/>
      <c r="AB718" s="26"/>
    </row>
    <row r="719" spans="8:28" x14ac:dyDescent="0.2">
      <c r="H719" s="26"/>
      <c r="I719" s="26"/>
      <c r="J719" s="26"/>
      <c r="Y719" s="96"/>
      <c r="Z719" s="26"/>
      <c r="AA719" s="96"/>
      <c r="AB719" s="26"/>
    </row>
    <row r="720" spans="8:28" x14ac:dyDescent="0.2">
      <c r="H720" s="26"/>
      <c r="I720" s="26"/>
      <c r="J720" s="26"/>
      <c r="Y720" s="96"/>
      <c r="Z720" s="26"/>
      <c r="AA720" s="96"/>
      <c r="AB720" s="26"/>
    </row>
    <row r="721" spans="8:28" x14ac:dyDescent="0.2">
      <c r="H721" s="26"/>
      <c r="I721" s="26"/>
      <c r="J721" s="26"/>
      <c r="Y721" s="96"/>
      <c r="Z721" s="26"/>
      <c r="AA721" s="96"/>
      <c r="AB721" s="26"/>
    </row>
    <row r="722" spans="8:28" x14ac:dyDescent="0.2">
      <c r="H722" s="26"/>
      <c r="I722" s="26"/>
      <c r="J722" s="26"/>
      <c r="Y722" s="96"/>
      <c r="Z722" s="26"/>
      <c r="AA722" s="96"/>
      <c r="AB722" s="26"/>
    </row>
    <row r="723" spans="8:28" x14ac:dyDescent="0.2">
      <c r="H723" s="26"/>
      <c r="I723" s="26"/>
      <c r="J723" s="26"/>
      <c r="Y723" s="96"/>
      <c r="Z723" s="26"/>
      <c r="AA723" s="96"/>
      <c r="AB723" s="26"/>
    </row>
    <row r="724" spans="8:28" x14ac:dyDescent="0.2">
      <c r="H724" s="26"/>
      <c r="I724" s="26"/>
      <c r="J724" s="26"/>
      <c r="Y724" s="96"/>
      <c r="Z724" s="26"/>
      <c r="AA724" s="96"/>
      <c r="AB724" s="26"/>
    </row>
    <row r="725" spans="8:28" x14ac:dyDescent="0.2">
      <c r="H725" s="26"/>
      <c r="I725" s="26"/>
      <c r="J725" s="26"/>
      <c r="Y725" s="96"/>
      <c r="Z725" s="26"/>
      <c r="AA725" s="96"/>
      <c r="AB725" s="26"/>
    </row>
    <row r="726" spans="8:28" x14ac:dyDescent="0.2">
      <c r="H726" s="26"/>
      <c r="I726" s="26"/>
      <c r="J726" s="26"/>
      <c r="Y726" s="96"/>
      <c r="Z726" s="26"/>
      <c r="AA726" s="96"/>
      <c r="AB726" s="26"/>
    </row>
    <row r="727" spans="8:28" x14ac:dyDescent="0.2">
      <c r="H727" s="26"/>
      <c r="I727" s="26"/>
      <c r="J727" s="26"/>
      <c r="Y727" s="96"/>
      <c r="Z727" s="26"/>
      <c r="AA727" s="96"/>
      <c r="AB727" s="26"/>
    </row>
    <row r="728" spans="8:28" x14ac:dyDescent="0.2">
      <c r="H728" s="26"/>
      <c r="I728" s="26"/>
      <c r="J728" s="26"/>
      <c r="Y728" s="96"/>
      <c r="Z728" s="26"/>
      <c r="AA728" s="96"/>
      <c r="AB728" s="26"/>
    </row>
    <row r="729" spans="8:28" x14ac:dyDescent="0.2">
      <c r="H729" s="26"/>
      <c r="I729" s="26"/>
      <c r="J729" s="26"/>
      <c r="Y729" s="96"/>
      <c r="Z729" s="26"/>
      <c r="AA729" s="96"/>
      <c r="AB729" s="26"/>
    </row>
    <row r="730" spans="8:28" x14ac:dyDescent="0.2">
      <c r="H730" s="26"/>
      <c r="I730" s="26"/>
      <c r="J730" s="26"/>
      <c r="Y730" s="96"/>
      <c r="Z730" s="26"/>
      <c r="AA730" s="96"/>
      <c r="AB730" s="26"/>
    </row>
    <row r="731" spans="8:28" x14ac:dyDescent="0.2">
      <c r="H731" s="26"/>
      <c r="I731" s="26"/>
      <c r="J731" s="26"/>
      <c r="Y731" s="96"/>
      <c r="Z731" s="26"/>
      <c r="AA731" s="96"/>
      <c r="AB731" s="26"/>
    </row>
    <row r="732" spans="8:28" x14ac:dyDescent="0.2">
      <c r="H732" s="26"/>
      <c r="I732" s="26"/>
      <c r="J732" s="26"/>
      <c r="Y732" s="96"/>
      <c r="Z732" s="26"/>
      <c r="AA732" s="96"/>
      <c r="AB732" s="26"/>
    </row>
    <row r="733" spans="8:28" x14ac:dyDescent="0.2">
      <c r="H733" s="26"/>
      <c r="I733" s="26"/>
      <c r="J733" s="26"/>
      <c r="Y733" s="96"/>
      <c r="Z733" s="26"/>
      <c r="AA733" s="96"/>
      <c r="AB733" s="26"/>
    </row>
    <row r="734" spans="8:28" x14ac:dyDescent="0.2">
      <c r="H734" s="26"/>
      <c r="I734" s="26"/>
      <c r="J734" s="26"/>
      <c r="Y734" s="96"/>
      <c r="Z734" s="26"/>
      <c r="AA734" s="96"/>
      <c r="AB734" s="26"/>
    </row>
    <row r="735" spans="8:28" x14ac:dyDescent="0.2">
      <c r="H735" s="26"/>
      <c r="I735" s="26"/>
      <c r="J735" s="26"/>
      <c r="Y735" s="96"/>
      <c r="Z735" s="26"/>
      <c r="AA735" s="96"/>
      <c r="AB735" s="26"/>
    </row>
    <row r="736" spans="8:28" x14ac:dyDescent="0.2">
      <c r="H736" s="26"/>
      <c r="I736" s="26"/>
      <c r="J736" s="26"/>
      <c r="Y736" s="96"/>
      <c r="Z736" s="26"/>
      <c r="AA736" s="96"/>
      <c r="AB736" s="26"/>
    </row>
    <row r="737" spans="8:28" x14ac:dyDescent="0.2">
      <c r="H737" s="26"/>
      <c r="I737" s="26"/>
      <c r="J737" s="26"/>
      <c r="Y737" s="96"/>
      <c r="Z737" s="26"/>
      <c r="AA737" s="96"/>
      <c r="AB737" s="26"/>
    </row>
    <row r="738" spans="8:28" x14ac:dyDescent="0.2">
      <c r="H738" s="26"/>
      <c r="I738" s="26"/>
      <c r="J738" s="26"/>
      <c r="Y738" s="96"/>
      <c r="Z738" s="26"/>
      <c r="AA738" s="96"/>
      <c r="AB738" s="26"/>
    </row>
    <row r="739" spans="8:28" x14ac:dyDescent="0.2">
      <c r="H739" s="26"/>
      <c r="I739" s="26"/>
      <c r="J739" s="26"/>
      <c r="Y739" s="96"/>
      <c r="Z739" s="26"/>
      <c r="AA739" s="96"/>
      <c r="AB739" s="26"/>
    </row>
    <row r="740" spans="8:28" x14ac:dyDescent="0.2">
      <c r="H740" s="26"/>
      <c r="I740" s="26"/>
      <c r="J740" s="26"/>
      <c r="Y740" s="96"/>
      <c r="Z740" s="26"/>
      <c r="AA740" s="96"/>
      <c r="AB740" s="26"/>
    </row>
    <row r="741" spans="8:28" x14ac:dyDescent="0.2">
      <c r="H741" s="26"/>
      <c r="I741" s="26"/>
      <c r="J741" s="26"/>
      <c r="Y741" s="96"/>
      <c r="Z741" s="26"/>
      <c r="AA741" s="96"/>
      <c r="AB741" s="26"/>
    </row>
    <row r="742" spans="8:28" x14ac:dyDescent="0.2">
      <c r="H742" s="26"/>
      <c r="I742" s="26"/>
      <c r="J742" s="26"/>
      <c r="Y742" s="96"/>
      <c r="Z742" s="26"/>
      <c r="AA742" s="96"/>
      <c r="AB742" s="26"/>
    </row>
    <row r="743" spans="8:28" x14ac:dyDescent="0.2">
      <c r="H743" s="26"/>
      <c r="I743" s="26"/>
      <c r="J743" s="26"/>
      <c r="Y743" s="96"/>
      <c r="Z743" s="26"/>
      <c r="AA743" s="96"/>
      <c r="AB743" s="26"/>
    </row>
    <row r="744" spans="8:28" x14ac:dyDescent="0.2">
      <c r="H744" s="26"/>
      <c r="I744" s="26"/>
      <c r="J744" s="26"/>
      <c r="Y744" s="96"/>
      <c r="Z744" s="26"/>
      <c r="AA744" s="96"/>
      <c r="AB744" s="26"/>
    </row>
    <row r="745" spans="8:28" x14ac:dyDescent="0.2">
      <c r="H745" s="26"/>
      <c r="I745" s="26"/>
      <c r="J745" s="26"/>
      <c r="Y745" s="96"/>
      <c r="Z745" s="26"/>
      <c r="AA745" s="96"/>
      <c r="AB745" s="26"/>
    </row>
    <row r="746" spans="8:28" x14ac:dyDescent="0.2">
      <c r="H746" s="26"/>
      <c r="I746" s="26"/>
      <c r="J746" s="26"/>
      <c r="Y746" s="96"/>
      <c r="Z746" s="26"/>
      <c r="AA746" s="96"/>
      <c r="AB746" s="26"/>
    </row>
    <row r="747" spans="8:28" x14ac:dyDescent="0.2">
      <c r="H747" s="26"/>
      <c r="I747" s="26"/>
      <c r="J747" s="26"/>
      <c r="Y747" s="96"/>
      <c r="Z747" s="26"/>
      <c r="AA747" s="96"/>
      <c r="AB747" s="26"/>
    </row>
    <row r="748" spans="8:28" x14ac:dyDescent="0.2">
      <c r="H748" s="26"/>
      <c r="I748" s="26"/>
      <c r="J748" s="26"/>
      <c r="Y748" s="96"/>
      <c r="Z748" s="26"/>
      <c r="AA748" s="96"/>
      <c r="AB748" s="26"/>
    </row>
    <row r="749" spans="8:28" x14ac:dyDescent="0.2">
      <c r="H749" s="26"/>
      <c r="I749" s="26"/>
      <c r="J749" s="26"/>
      <c r="Y749" s="96"/>
      <c r="Z749" s="26"/>
      <c r="AA749" s="96"/>
      <c r="AB749" s="26"/>
    </row>
    <row r="750" spans="8:28" x14ac:dyDescent="0.2">
      <c r="H750" s="26"/>
      <c r="I750" s="26"/>
      <c r="J750" s="26"/>
      <c r="Y750" s="96"/>
      <c r="Z750" s="26"/>
      <c r="AA750" s="96"/>
      <c r="AB750" s="26"/>
    </row>
    <row r="751" spans="8:28" x14ac:dyDescent="0.2">
      <c r="H751" s="26"/>
      <c r="I751" s="26"/>
      <c r="J751" s="26"/>
      <c r="Y751" s="96"/>
      <c r="Z751" s="26"/>
      <c r="AA751" s="96"/>
      <c r="AB751" s="26"/>
    </row>
    <row r="752" spans="8:28" x14ac:dyDescent="0.2">
      <c r="H752" s="26"/>
      <c r="I752" s="26"/>
      <c r="J752" s="26"/>
      <c r="Y752" s="96"/>
      <c r="Z752" s="26"/>
      <c r="AA752" s="96"/>
      <c r="AB752" s="26"/>
    </row>
    <row r="753" spans="8:28" x14ac:dyDescent="0.2">
      <c r="H753" s="26"/>
      <c r="I753" s="26"/>
      <c r="J753" s="26"/>
      <c r="Y753" s="96"/>
      <c r="Z753" s="26"/>
      <c r="AA753" s="96"/>
      <c r="AB753" s="26"/>
    </row>
    <row r="754" spans="8:28" x14ac:dyDescent="0.2">
      <c r="H754" s="26"/>
      <c r="I754" s="26"/>
      <c r="J754" s="26"/>
      <c r="Y754" s="96"/>
      <c r="Z754" s="26"/>
      <c r="AA754" s="96"/>
      <c r="AB754" s="26"/>
    </row>
    <row r="755" spans="8:28" x14ac:dyDescent="0.2">
      <c r="H755" s="26"/>
      <c r="I755" s="26"/>
      <c r="J755" s="26"/>
      <c r="Y755" s="96"/>
      <c r="Z755" s="26"/>
      <c r="AA755" s="96"/>
      <c r="AB755" s="26"/>
    </row>
    <row r="756" spans="8:28" x14ac:dyDescent="0.2">
      <c r="H756" s="26"/>
      <c r="I756" s="26"/>
      <c r="J756" s="26"/>
      <c r="Y756" s="96"/>
      <c r="Z756" s="26"/>
      <c r="AA756" s="96"/>
      <c r="AB756" s="26"/>
    </row>
    <row r="757" spans="8:28" x14ac:dyDescent="0.2">
      <c r="H757" s="26"/>
      <c r="I757" s="26"/>
      <c r="J757" s="26"/>
      <c r="Y757" s="96"/>
      <c r="Z757" s="26"/>
      <c r="AA757" s="96"/>
      <c r="AB757" s="26"/>
    </row>
    <row r="758" spans="8:28" x14ac:dyDescent="0.2">
      <c r="H758" s="26"/>
      <c r="I758" s="26"/>
      <c r="J758" s="26"/>
      <c r="Y758" s="96"/>
      <c r="Z758" s="26"/>
      <c r="AA758" s="96"/>
      <c r="AB758" s="26"/>
    </row>
    <row r="759" spans="8:28" x14ac:dyDescent="0.2">
      <c r="H759" s="26"/>
      <c r="I759" s="26"/>
      <c r="J759" s="26"/>
      <c r="Y759" s="96"/>
      <c r="Z759" s="26"/>
      <c r="AA759" s="96"/>
      <c r="AB759" s="26"/>
    </row>
    <row r="760" spans="8:28" x14ac:dyDescent="0.2">
      <c r="H760" s="26"/>
      <c r="I760" s="26"/>
      <c r="J760" s="26"/>
      <c r="Y760" s="96"/>
      <c r="Z760" s="26"/>
      <c r="AA760" s="96"/>
      <c r="AB760" s="26"/>
    </row>
    <row r="761" spans="8:28" x14ac:dyDescent="0.2">
      <c r="H761" s="26"/>
      <c r="I761" s="26"/>
      <c r="J761" s="26"/>
      <c r="Y761" s="96"/>
      <c r="Z761" s="26"/>
      <c r="AA761" s="96"/>
      <c r="AB761" s="26"/>
    </row>
    <row r="762" spans="8:28" x14ac:dyDescent="0.2">
      <c r="H762" s="26"/>
      <c r="I762" s="26"/>
      <c r="J762" s="26"/>
      <c r="Y762" s="96"/>
      <c r="Z762" s="26"/>
      <c r="AA762" s="96"/>
      <c r="AB762" s="26"/>
    </row>
    <row r="763" spans="8:28" x14ac:dyDescent="0.2">
      <c r="H763" s="26"/>
      <c r="I763" s="26"/>
      <c r="J763" s="26"/>
      <c r="Y763" s="96"/>
      <c r="Z763" s="26"/>
      <c r="AA763" s="96"/>
      <c r="AB763" s="26"/>
    </row>
    <row r="764" spans="8:28" x14ac:dyDescent="0.2">
      <c r="H764" s="26"/>
      <c r="I764" s="26"/>
      <c r="J764" s="26"/>
      <c r="Y764" s="96"/>
      <c r="Z764" s="26"/>
      <c r="AA764" s="96"/>
      <c r="AB764" s="26"/>
    </row>
    <row r="765" spans="8:28" x14ac:dyDescent="0.2">
      <c r="H765" s="26"/>
      <c r="I765" s="26"/>
      <c r="J765" s="26"/>
      <c r="Y765" s="96"/>
      <c r="Z765" s="26"/>
      <c r="AA765" s="96"/>
      <c r="AB765" s="26"/>
    </row>
    <row r="766" spans="8:28" x14ac:dyDescent="0.2">
      <c r="H766" s="26"/>
      <c r="I766" s="26"/>
      <c r="J766" s="26"/>
      <c r="Y766" s="96"/>
      <c r="Z766" s="26"/>
      <c r="AA766" s="96"/>
      <c r="AB766" s="26"/>
    </row>
    <row r="767" spans="8:28" x14ac:dyDescent="0.2">
      <c r="H767" s="26"/>
      <c r="I767" s="26"/>
      <c r="J767" s="26"/>
      <c r="Y767" s="96"/>
      <c r="Z767" s="26"/>
      <c r="AA767" s="96"/>
      <c r="AB767" s="26"/>
    </row>
    <row r="768" spans="8:28" x14ac:dyDescent="0.2">
      <c r="H768" s="26"/>
      <c r="I768" s="26"/>
      <c r="J768" s="26"/>
      <c r="Y768" s="96"/>
      <c r="Z768" s="26"/>
      <c r="AA768" s="96"/>
      <c r="AB768" s="26"/>
    </row>
    <row r="769" spans="8:28" x14ac:dyDescent="0.2">
      <c r="H769" s="26"/>
      <c r="I769" s="26"/>
      <c r="J769" s="26"/>
      <c r="Y769" s="96"/>
      <c r="Z769" s="26"/>
      <c r="AA769" s="96"/>
      <c r="AB769" s="26"/>
    </row>
    <row r="770" spans="8:28" x14ac:dyDescent="0.2">
      <c r="H770" s="26"/>
      <c r="I770" s="26"/>
      <c r="J770" s="26"/>
      <c r="Y770" s="96"/>
      <c r="Z770" s="26"/>
      <c r="AA770" s="96"/>
      <c r="AB770" s="26"/>
    </row>
    <row r="771" spans="8:28" x14ac:dyDescent="0.2">
      <c r="H771" s="26"/>
      <c r="I771" s="26"/>
      <c r="J771" s="26"/>
      <c r="Y771" s="96"/>
      <c r="Z771" s="26"/>
      <c r="AA771" s="96"/>
      <c r="AB771" s="26"/>
    </row>
    <row r="772" spans="8:28" x14ac:dyDescent="0.2">
      <c r="H772" s="26"/>
      <c r="I772" s="26"/>
      <c r="J772" s="26"/>
      <c r="Y772" s="96"/>
      <c r="Z772" s="26"/>
      <c r="AA772" s="96"/>
      <c r="AB772" s="26"/>
    </row>
    <row r="773" spans="8:28" x14ac:dyDescent="0.2">
      <c r="H773" s="26"/>
      <c r="I773" s="26"/>
      <c r="J773" s="26"/>
      <c r="Y773" s="96"/>
      <c r="Z773" s="26"/>
      <c r="AA773" s="96"/>
      <c r="AB773" s="26"/>
    </row>
    <row r="774" spans="8:28" x14ac:dyDescent="0.2">
      <c r="H774" s="26"/>
      <c r="I774" s="26"/>
      <c r="J774" s="26"/>
      <c r="Y774" s="96"/>
      <c r="Z774" s="26"/>
      <c r="AA774" s="96"/>
      <c r="AB774" s="26"/>
    </row>
    <row r="775" spans="8:28" x14ac:dyDescent="0.2">
      <c r="H775" s="26"/>
      <c r="I775" s="26"/>
      <c r="J775" s="26"/>
      <c r="Y775" s="96"/>
      <c r="Z775" s="26"/>
      <c r="AA775" s="96"/>
      <c r="AB775" s="26"/>
    </row>
    <row r="776" spans="8:28" x14ac:dyDescent="0.2">
      <c r="H776" s="26"/>
      <c r="I776" s="26"/>
      <c r="J776" s="26"/>
      <c r="Y776" s="96"/>
      <c r="Z776" s="26"/>
      <c r="AA776" s="96"/>
      <c r="AB776" s="26"/>
    </row>
    <row r="777" spans="8:28" x14ac:dyDescent="0.2">
      <c r="H777" s="26"/>
      <c r="I777" s="26"/>
      <c r="J777" s="26"/>
      <c r="Y777" s="96"/>
      <c r="Z777" s="26"/>
      <c r="AA777" s="96"/>
      <c r="AB777" s="26"/>
    </row>
    <row r="778" spans="8:28" x14ac:dyDescent="0.2">
      <c r="H778" s="26"/>
      <c r="I778" s="26"/>
      <c r="J778" s="26"/>
      <c r="Y778" s="96"/>
      <c r="Z778" s="26"/>
      <c r="AA778" s="96"/>
      <c r="AB778" s="26"/>
    </row>
    <row r="779" spans="8:28" x14ac:dyDescent="0.2">
      <c r="H779" s="26"/>
      <c r="I779" s="26"/>
      <c r="J779" s="26"/>
      <c r="Y779" s="96"/>
      <c r="Z779" s="26"/>
      <c r="AA779" s="96"/>
      <c r="AB779" s="26"/>
    </row>
    <row r="780" spans="8:28" x14ac:dyDescent="0.2">
      <c r="H780" s="26"/>
      <c r="I780" s="26"/>
      <c r="J780" s="26"/>
      <c r="Y780" s="96"/>
      <c r="Z780" s="26"/>
      <c r="AA780" s="96"/>
      <c r="AB780" s="26"/>
    </row>
    <row r="781" spans="8:28" x14ac:dyDescent="0.2">
      <c r="H781" s="26"/>
      <c r="I781" s="26"/>
      <c r="J781" s="26"/>
      <c r="Y781" s="96"/>
      <c r="Z781" s="26"/>
      <c r="AA781" s="96"/>
      <c r="AB781" s="26"/>
    </row>
    <row r="782" spans="8:28" x14ac:dyDescent="0.2">
      <c r="H782" s="26"/>
      <c r="I782" s="26"/>
      <c r="J782" s="26"/>
      <c r="Y782" s="96"/>
      <c r="Z782" s="26"/>
      <c r="AA782" s="96"/>
      <c r="AB782" s="26"/>
    </row>
    <row r="783" spans="8:28" x14ac:dyDescent="0.2">
      <c r="H783" s="26"/>
      <c r="I783" s="26"/>
      <c r="J783" s="26"/>
      <c r="Y783" s="96"/>
      <c r="Z783" s="26"/>
      <c r="AA783" s="96"/>
      <c r="AB783" s="26"/>
    </row>
    <row r="784" spans="8:28" x14ac:dyDescent="0.2">
      <c r="H784" s="26"/>
      <c r="I784" s="26"/>
      <c r="J784" s="26"/>
      <c r="Y784" s="96"/>
      <c r="Z784" s="26"/>
      <c r="AA784" s="96"/>
      <c r="AB784" s="26"/>
    </row>
    <row r="785" spans="8:28" x14ac:dyDescent="0.2">
      <c r="H785" s="26"/>
      <c r="I785" s="26"/>
      <c r="J785" s="26"/>
      <c r="Y785" s="96"/>
      <c r="Z785" s="26"/>
      <c r="AA785" s="96"/>
      <c r="AB785" s="26"/>
    </row>
    <row r="786" spans="8:28" x14ac:dyDescent="0.2">
      <c r="H786" s="26"/>
      <c r="I786" s="26"/>
      <c r="J786" s="26"/>
      <c r="Y786" s="96"/>
      <c r="Z786" s="26"/>
      <c r="AA786" s="96"/>
      <c r="AB786" s="26"/>
    </row>
    <row r="787" spans="8:28" x14ac:dyDescent="0.2">
      <c r="H787" s="26"/>
      <c r="I787" s="26"/>
      <c r="J787" s="26"/>
      <c r="Y787" s="96"/>
      <c r="Z787" s="26"/>
      <c r="AA787" s="96"/>
      <c r="AB787" s="26"/>
    </row>
    <row r="788" spans="8:28" x14ac:dyDescent="0.2">
      <c r="H788" s="26"/>
      <c r="I788" s="26"/>
      <c r="J788" s="26"/>
      <c r="Y788" s="96"/>
      <c r="Z788" s="26"/>
      <c r="AA788" s="96"/>
      <c r="AB788" s="26"/>
    </row>
    <row r="789" spans="8:28" x14ac:dyDescent="0.2">
      <c r="H789" s="26"/>
      <c r="I789" s="26"/>
      <c r="J789" s="26"/>
      <c r="Y789" s="96"/>
      <c r="Z789" s="26"/>
      <c r="AA789" s="96"/>
      <c r="AB789" s="26"/>
    </row>
    <row r="790" spans="8:28" x14ac:dyDescent="0.2">
      <c r="H790" s="26"/>
      <c r="I790" s="26"/>
      <c r="J790" s="26"/>
      <c r="Y790" s="96"/>
      <c r="Z790" s="26"/>
      <c r="AA790" s="96"/>
      <c r="AB790" s="26"/>
    </row>
    <row r="791" spans="8:28" x14ac:dyDescent="0.2">
      <c r="H791" s="26"/>
      <c r="I791" s="26"/>
      <c r="J791" s="26"/>
      <c r="Y791" s="96"/>
      <c r="Z791" s="26"/>
      <c r="AA791" s="96"/>
      <c r="AB791" s="26"/>
    </row>
    <row r="792" spans="8:28" x14ac:dyDescent="0.2">
      <c r="H792" s="26"/>
      <c r="I792" s="26"/>
      <c r="J792" s="26"/>
      <c r="Y792" s="96"/>
      <c r="Z792" s="26"/>
      <c r="AA792" s="96"/>
      <c r="AB792" s="26"/>
    </row>
    <row r="793" spans="8:28" x14ac:dyDescent="0.2">
      <c r="H793" s="26"/>
      <c r="I793" s="26"/>
      <c r="J793" s="26"/>
      <c r="Y793" s="96"/>
      <c r="Z793" s="26"/>
      <c r="AA793" s="96"/>
      <c r="AB793" s="26"/>
    </row>
    <row r="794" spans="8:28" x14ac:dyDescent="0.2">
      <c r="H794" s="26"/>
      <c r="I794" s="26"/>
      <c r="J794" s="26"/>
      <c r="Y794" s="96"/>
      <c r="Z794" s="26"/>
      <c r="AA794" s="96"/>
      <c r="AB794" s="26"/>
    </row>
    <row r="795" spans="8:28" x14ac:dyDescent="0.2">
      <c r="H795" s="26"/>
      <c r="I795" s="26"/>
      <c r="J795" s="26"/>
      <c r="Y795" s="96"/>
      <c r="Z795" s="26"/>
      <c r="AA795" s="96"/>
      <c r="AB795" s="26"/>
    </row>
    <row r="796" spans="8:28" x14ac:dyDescent="0.2">
      <c r="H796" s="26"/>
      <c r="I796" s="26"/>
      <c r="J796" s="26"/>
      <c r="Y796" s="96"/>
      <c r="Z796" s="26"/>
      <c r="AA796" s="96"/>
      <c r="AB796" s="26"/>
    </row>
    <row r="797" spans="8:28" x14ac:dyDescent="0.2">
      <c r="H797" s="26"/>
      <c r="I797" s="26"/>
      <c r="J797" s="26"/>
      <c r="Y797" s="96"/>
      <c r="Z797" s="26"/>
      <c r="AA797" s="96"/>
      <c r="AB797" s="26"/>
    </row>
    <row r="798" spans="8:28" x14ac:dyDescent="0.2">
      <c r="H798" s="26"/>
      <c r="I798" s="26"/>
      <c r="J798" s="26"/>
      <c r="Y798" s="96"/>
      <c r="Z798" s="26"/>
      <c r="AA798" s="96"/>
      <c r="AB798" s="26"/>
    </row>
    <row r="799" spans="8:28" x14ac:dyDescent="0.2">
      <c r="H799" s="26"/>
      <c r="I799" s="26"/>
      <c r="J799" s="26"/>
      <c r="Y799" s="96"/>
      <c r="Z799" s="26"/>
      <c r="AA799" s="96"/>
      <c r="AB799" s="26"/>
    </row>
    <row r="800" spans="8:28" x14ac:dyDescent="0.2">
      <c r="H800" s="26"/>
      <c r="I800" s="26"/>
      <c r="J800" s="26"/>
      <c r="Y800" s="96"/>
      <c r="Z800" s="26"/>
      <c r="AA800" s="96"/>
      <c r="AB800" s="26"/>
    </row>
    <row r="801" spans="8:28" x14ac:dyDescent="0.2">
      <c r="H801" s="26"/>
      <c r="I801" s="26"/>
      <c r="J801" s="26"/>
      <c r="Y801" s="96"/>
      <c r="Z801" s="26"/>
      <c r="AA801" s="96"/>
      <c r="AB801" s="26"/>
    </row>
    <row r="802" spans="8:28" x14ac:dyDescent="0.2">
      <c r="H802" s="26"/>
      <c r="I802" s="26"/>
      <c r="J802" s="26"/>
      <c r="Y802" s="96"/>
      <c r="Z802" s="26"/>
      <c r="AA802" s="96"/>
      <c r="AB802" s="26"/>
    </row>
    <row r="803" spans="8:28" x14ac:dyDescent="0.2">
      <c r="H803" s="26"/>
      <c r="I803" s="26"/>
      <c r="J803" s="26"/>
      <c r="Y803" s="96"/>
      <c r="Z803" s="26"/>
      <c r="AA803" s="96"/>
      <c r="AB803" s="26"/>
    </row>
    <row r="804" spans="8:28" x14ac:dyDescent="0.2">
      <c r="H804" s="26"/>
      <c r="I804" s="26"/>
      <c r="J804" s="26"/>
      <c r="Y804" s="96"/>
      <c r="Z804" s="26"/>
      <c r="AA804" s="96"/>
      <c r="AB804" s="26"/>
    </row>
    <row r="805" spans="8:28" x14ac:dyDescent="0.2">
      <c r="H805" s="26"/>
      <c r="I805" s="26"/>
      <c r="J805" s="26"/>
      <c r="Y805" s="96"/>
      <c r="Z805" s="26"/>
      <c r="AA805" s="96"/>
      <c r="AB805" s="26"/>
    </row>
    <row r="806" spans="8:28" x14ac:dyDescent="0.2">
      <c r="H806" s="26"/>
      <c r="I806" s="26"/>
      <c r="J806" s="26"/>
      <c r="Y806" s="96"/>
      <c r="Z806" s="26"/>
      <c r="AA806" s="96"/>
      <c r="AB806" s="26"/>
    </row>
    <row r="807" spans="8:28" x14ac:dyDescent="0.2">
      <c r="H807" s="26"/>
      <c r="I807" s="26"/>
      <c r="J807" s="26"/>
      <c r="Y807" s="96"/>
      <c r="Z807" s="26"/>
      <c r="AA807" s="96"/>
      <c r="AB807" s="26"/>
    </row>
    <row r="808" spans="8:28" x14ac:dyDescent="0.2">
      <c r="H808" s="26"/>
      <c r="I808" s="26"/>
      <c r="J808" s="26"/>
      <c r="Y808" s="96"/>
      <c r="Z808" s="26"/>
      <c r="AA808" s="96"/>
      <c r="AB808" s="26"/>
    </row>
    <row r="809" spans="8:28" x14ac:dyDescent="0.2">
      <c r="H809" s="26"/>
      <c r="I809" s="26"/>
      <c r="J809" s="26"/>
      <c r="Y809" s="96"/>
      <c r="Z809" s="26"/>
      <c r="AA809" s="96"/>
      <c r="AB809" s="26"/>
    </row>
    <row r="810" spans="8:28" x14ac:dyDescent="0.2">
      <c r="H810" s="26"/>
      <c r="I810" s="26"/>
      <c r="J810" s="26"/>
      <c r="Y810" s="96"/>
      <c r="Z810" s="26"/>
      <c r="AA810" s="96"/>
      <c r="AB810" s="26"/>
    </row>
    <row r="811" spans="8:28" x14ac:dyDescent="0.2">
      <c r="H811" s="26"/>
      <c r="I811" s="26"/>
      <c r="J811" s="26"/>
      <c r="Y811" s="96"/>
      <c r="Z811" s="26"/>
      <c r="AA811" s="96"/>
      <c r="AB811" s="26"/>
    </row>
    <row r="812" spans="8:28" x14ac:dyDescent="0.2">
      <c r="H812" s="26"/>
      <c r="I812" s="26"/>
      <c r="J812" s="26"/>
      <c r="Y812" s="96"/>
      <c r="Z812" s="26"/>
      <c r="AA812" s="96"/>
      <c r="AB812" s="26"/>
    </row>
    <row r="813" spans="8:28" x14ac:dyDescent="0.2">
      <c r="H813" s="26"/>
      <c r="I813" s="26"/>
      <c r="J813" s="26"/>
      <c r="Y813" s="96"/>
      <c r="Z813" s="26"/>
      <c r="AA813" s="96"/>
      <c r="AB813" s="26"/>
    </row>
    <row r="814" spans="8:28" x14ac:dyDescent="0.2">
      <c r="H814" s="26"/>
      <c r="I814" s="26"/>
      <c r="J814" s="26"/>
      <c r="Y814" s="96"/>
      <c r="Z814" s="26"/>
      <c r="AA814" s="96"/>
      <c r="AB814" s="26"/>
    </row>
    <row r="815" spans="8:28" x14ac:dyDescent="0.2">
      <c r="H815" s="26"/>
      <c r="I815" s="26"/>
      <c r="J815" s="26"/>
      <c r="Y815" s="96"/>
      <c r="Z815" s="26"/>
      <c r="AA815" s="96"/>
      <c r="AB815" s="26"/>
    </row>
    <row r="816" spans="8:28" x14ac:dyDescent="0.2">
      <c r="H816" s="26"/>
      <c r="I816" s="26"/>
      <c r="J816" s="26"/>
      <c r="Y816" s="96"/>
      <c r="Z816" s="26"/>
      <c r="AA816" s="96"/>
      <c r="AB816" s="26"/>
    </row>
    <row r="817" spans="8:28" x14ac:dyDescent="0.2">
      <c r="H817" s="26"/>
      <c r="I817" s="26"/>
      <c r="J817" s="26"/>
      <c r="Y817" s="96"/>
      <c r="Z817" s="26"/>
      <c r="AA817" s="96"/>
      <c r="AB817" s="26"/>
    </row>
    <row r="818" spans="8:28" x14ac:dyDescent="0.2">
      <c r="H818" s="26"/>
      <c r="I818" s="26"/>
      <c r="J818" s="26"/>
      <c r="Y818" s="96"/>
      <c r="Z818" s="26"/>
      <c r="AA818" s="96"/>
      <c r="AB818" s="26"/>
    </row>
    <row r="819" spans="8:28" x14ac:dyDescent="0.2">
      <c r="H819" s="26"/>
      <c r="I819" s="26"/>
      <c r="J819" s="26"/>
      <c r="Y819" s="96"/>
      <c r="Z819" s="26"/>
      <c r="AA819" s="96"/>
      <c r="AB819" s="26"/>
    </row>
    <row r="820" spans="8:28" x14ac:dyDescent="0.2">
      <c r="H820" s="26"/>
      <c r="I820" s="26"/>
      <c r="J820" s="26"/>
      <c r="Y820" s="96"/>
      <c r="Z820" s="26"/>
      <c r="AA820" s="96"/>
      <c r="AB820" s="26"/>
    </row>
    <row r="821" spans="8:28" x14ac:dyDescent="0.2">
      <c r="H821" s="26"/>
      <c r="I821" s="26"/>
      <c r="J821" s="26"/>
      <c r="Y821" s="96"/>
      <c r="Z821" s="26"/>
      <c r="AA821" s="96"/>
      <c r="AB821" s="26"/>
    </row>
    <row r="822" spans="8:28" x14ac:dyDescent="0.2">
      <c r="H822" s="26"/>
      <c r="I822" s="26"/>
      <c r="J822" s="26"/>
      <c r="Y822" s="96"/>
      <c r="Z822" s="26"/>
      <c r="AA822" s="96"/>
      <c r="AB822" s="26"/>
    </row>
    <row r="823" spans="8:28" x14ac:dyDescent="0.2">
      <c r="H823" s="26"/>
      <c r="I823" s="26"/>
      <c r="J823" s="26"/>
      <c r="Y823" s="96"/>
      <c r="Z823" s="26"/>
      <c r="AA823" s="96"/>
      <c r="AB823" s="26"/>
    </row>
    <row r="824" spans="8:28" x14ac:dyDescent="0.2">
      <c r="H824" s="26"/>
      <c r="I824" s="26"/>
      <c r="J824" s="26"/>
      <c r="Y824" s="96"/>
      <c r="Z824" s="26"/>
      <c r="AA824" s="96"/>
      <c r="AB824" s="26"/>
    </row>
    <row r="825" spans="8:28" x14ac:dyDescent="0.2">
      <c r="H825" s="26"/>
      <c r="I825" s="26"/>
      <c r="J825" s="26"/>
      <c r="Y825" s="96"/>
      <c r="Z825" s="26"/>
      <c r="AA825" s="96"/>
      <c r="AB825" s="26"/>
    </row>
    <row r="826" spans="8:28" x14ac:dyDescent="0.2">
      <c r="H826" s="26"/>
      <c r="I826" s="26"/>
      <c r="J826" s="26"/>
      <c r="Y826" s="96"/>
      <c r="Z826" s="26"/>
      <c r="AA826" s="96"/>
      <c r="AB826" s="26"/>
    </row>
    <row r="827" spans="8:28" x14ac:dyDescent="0.2">
      <c r="H827" s="26"/>
      <c r="I827" s="26"/>
      <c r="J827" s="26"/>
      <c r="Y827" s="96"/>
      <c r="Z827" s="26"/>
      <c r="AA827" s="96"/>
      <c r="AB827" s="26"/>
    </row>
    <row r="828" spans="8:28" x14ac:dyDescent="0.2">
      <c r="H828" s="26"/>
      <c r="I828" s="26"/>
      <c r="J828" s="26"/>
      <c r="Y828" s="96"/>
      <c r="Z828" s="26"/>
      <c r="AA828" s="96"/>
      <c r="AB828" s="26"/>
    </row>
    <row r="829" spans="8:28" x14ac:dyDescent="0.2">
      <c r="H829" s="26"/>
      <c r="I829" s="26"/>
      <c r="J829" s="26"/>
      <c r="Y829" s="96"/>
      <c r="Z829" s="26"/>
      <c r="AA829" s="96"/>
      <c r="AB829" s="26"/>
    </row>
    <row r="830" spans="8:28" x14ac:dyDescent="0.2">
      <c r="H830" s="26"/>
      <c r="I830" s="26"/>
      <c r="J830" s="26"/>
      <c r="Y830" s="96"/>
      <c r="Z830" s="26"/>
      <c r="AA830" s="96"/>
      <c r="AB830" s="26"/>
    </row>
    <row r="831" spans="8:28" x14ac:dyDescent="0.2">
      <c r="H831" s="26"/>
      <c r="I831" s="26"/>
      <c r="J831" s="26"/>
      <c r="Y831" s="96"/>
      <c r="Z831" s="26"/>
      <c r="AA831" s="96"/>
      <c r="AB831" s="26"/>
    </row>
    <row r="832" spans="8:28" x14ac:dyDescent="0.2">
      <c r="H832" s="26"/>
      <c r="I832" s="26"/>
      <c r="J832" s="26"/>
      <c r="Y832" s="96"/>
      <c r="Z832" s="26"/>
      <c r="AA832" s="96"/>
      <c r="AB832" s="26"/>
    </row>
    <row r="833" spans="8:28" x14ac:dyDescent="0.2">
      <c r="H833" s="26"/>
      <c r="I833" s="26"/>
      <c r="J833" s="26"/>
      <c r="Y833" s="96"/>
      <c r="Z833" s="26"/>
      <c r="AA833" s="96"/>
      <c r="AB833" s="26"/>
    </row>
    <row r="834" spans="8:28" x14ac:dyDescent="0.2">
      <c r="H834" s="26"/>
      <c r="I834" s="26"/>
      <c r="J834" s="26"/>
      <c r="Y834" s="96"/>
      <c r="Z834" s="26"/>
      <c r="AA834" s="96"/>
      <c r="AB834" s="26"/>
    </row>
    <row r="835" spans="8:28" x14ac:dyDescent="0.2">
      <c r="H835" s="26"/>
      <c r="I835" s="26"/>
      <c r="J835" s="26"/>
      <c r="Y835" s="96"/>
      <c r="Z835" s="26"/>
      <c r="AA835" s="96"/>
      <c r="AB835" s="26"/>
    </row>
    <row r="836" spans="8:28" x14ac:dyDescent="0.2">
      <c r="H836" s="26"/>
      <c r="I836" s="26"/>
      <c r="J836" s="26"/>
      <c r="Y836" s="96"/>
      <c r="Z836" s="26"/>
      <c r="AA836" s="96"/>
      <c r="AB836" s="26"/>
    </row>
    <row r="837" spans="8:28" x14ac:dyDescent="0.2">
      <c r="H837" s="26"/>
      <c r="I837" s="26"/>
      <c r="J837" s="26"/>
      <c r="Y837" s="96"/>
      <c r="Z837" s="26"/>
      <c r="AA837" s="96"/>
      <c r="AB837" s="26"/>
    </row>
    <row r="838" spans="8:28" x14ac:dyDescent="0.2">
      <c r="H838" s="26"/>
      <c r="I838" s="26"/>
      <c r="J838" s="26"/>
      <c r="Y838" s="96"/>
      <c r="Z838" s="26"/>
      <c r="AA838" s="96"/>
      <c r="AB838" s="26"/>
    </row>
    <row r="839" spans="8:28" x14ac:dyDescent="0.2">
      <c r="H839" s="26"/>
      <c r="I839" s="26"/>
      <c r="J839" s="26"/>
      <c r="Y839" s="96"/>
      <c r="Z839" s="26"/>
      <c r="AA839" s="96"/>
      <c r="AB839" s="26"/>
    </row>
    <row r="840" spans="8:28" x14ac:dyDescent="0.2">
      <c r="H840" s="26"/>
      <c r="I840" s="26"/>
      <c r="J840" s="26"/>
      <c r="Y840" s="96"/>
      <c r="Z840" s="26"/>
      <c r="AA840" s="96"/>
      <c r="AB840" s="26"/>
    </row>
    <row r="841" spans="8:28" x14ac:dyDescent="0.2">
      <c r="H841" s="26"/>
      <c r="I841" s="26"/>
      <c r="J841" s="26"/>
      <c r="Y841" s="96"/>
      <c r="Z841" s="26"/>
      <c r="AA841" s="96"/>
      <c r="AB841" s="26"/>
    </row>
    <row r="842" spans="8:28" x14ac:dyDescent="0.2">
      <c r="H842" s="26"/>
      <c r="I842" s="26"/>
      <c r="J842" s="26"/>
      <c r="Y842" s="96"/>
      <c r="Z842" s="26"/>
      <c r="AA842" s="96"/>
      <c r="AB842" s="26"/>
    </row>
    <row r="843" spans="8:28" x14ac:dyDescent="0.2">
      <c r="H843" s="26"/>
      <c r="I843" s="26"/>
      <c r="J843" s="26"/>
      <c r="Y843" s="96"/>
      <c r="Z843" s="26"/>
      <c r="AA843" s="96"/>
      <c r="AB843" s="26"/>
    </row>
    <row r="844" spans="8:28" x14ac:dyDescent="0.2">
      <c r="H844" s="26"/>
      <c r="I844" s="26"/>
      <c r="J844" s="26"/>
      <c r="Y844" s="96"/>
      <c r="Z844" s="26"/>
      <c r="AA844" s="96"/>
      <c r="AB844" s="26"/>
    </row>
    <row r="845" spans="8:28" x14ac:dyDescent="0.2">
      <c r="H845" s="26"/>
      <c r="I845" s="26"/>
      <c r="J845" s="26"/>
      <c r="Y845" s="96"/>
      <c r="Z845" s="26"/>
      <c r="AA845" s="96"/>
      <c r="AB845" s="26"/>
    </row>
    <row r="846" spans="8:28" x14ac:dyDescent="0.2">
      <c r="H846" s="26"/>
      <c r="I846" s="26"/>
      <c r="J846" s="26"/>
      <c r="Y846" s="96"/>
      <c r="Z846" s="26"/>
      <c r="AA846" s="96"/>
      <c r="AB846" s="26"/>
    </row>
    <row r="847" spans="8:28" x14ac:dyDescent="0.2">
      <c r="H847" s="26"/>
      <c r="I847" s="26"/>
      <c r="J847" s="26"/>
      <c r="Y847" s="96"/>
      <c r="Z847" s="26"/>
      <c r="AA847" s="96"/>
      <c r="AB847" s="26"/>
    </row>
    <row r="848" spans="8:28" x14ac:dyDescent="0.2">
      <c r="H848" s="26"/>
      <c r="I848" s="26"/>
      <c r="J848" s="26"/>
      <c r="Y848" s="96"/>
      <c r="Z848" s="26"/>
      <c r="AA848" s="96"/>
      <c r="AB848" s="26"/>
    </row>
    <row r="849" spans="8:28" x14ac:dyDescent="0.2">
      <c r="H849" s="26"/>
      <c r="I849" s="26"/>
      <c r="J849" s="26"/>
      <c r="Y849" s="96"/>
      <c r="Z849" s="26"/>
      <c r="AA849" s="96"/>
      <c r="AB849" s="26"/>
    </row>
    <row r="850" spans="8:28" x14ac:dyDescent="0.2">
      <c r="H850" s="26"/>
      <c r="I850" s="26"/>
      <c r="J850" s="26"/>
      <c r="Y850" s="96"/>
      <c r="Z850" s="26"/>
      <c r="AA850" s="96"/>
      <c r="AB850" s="26"/>
    </row>
    <row r="851" spans="8:28" x14ac:dyDescent="0.2">
      <c r="H851" s="26"/>
      <c r="I851" s="26"/>
      <c r="J851" s="26"/>
      <c r="Y851" s="96"/>
      <c r="Z851" s="26"/>
      <c r="AA851" s="96"/>
      <c r="AB851" s="26"/>
    </row>
    <row r="852" spans="8:28" x14ac:dyDescent="0.2">
      <c r="H852" s="26"/>
      <c r="I852" s="26"/>
      <c r="J852" s="26"/>
      <c r="Y852" s="96"/>
      <c r="Z852" s="26"/>
      <c r="AA852" s="96"/>
      <c r="AB852" s="26"/>
    </row>
    <row r="853" spans="8:28" x14ac:dyDescent="0.2">
      <c r="H853" s="26"/>
      <c r="I853" s="26"/>
      <c r="J853" s="26"/>
      <c r="Y853" s="96"/>
      <c r="Z853" s="26"/>
      <c r="AA853" s="96"/>
      <c r="AB853" s="26"/>
    </row>
    <row r="854" spans="8:28" x14ac:dyDescent="0.2">
      <c r="H854" s="26"/>
      <c r="I854" s="26"/>
      <c r="J854" s="26"/>
      <c r="Y854" s="96"/>
      <c r="Z854" s="26"/>
      <c r="AA854" s="96"/>
      <c r="AB854" s="26"/>
    </row>
    <row r="855" spans="8:28" x14ac:dyDescent="0.2">
      <c r="H855" s="26"/>
      <c r="I855" s="26"/>
      <c r="J855" s="26"/>
      <c r="Y855" s="96"/>
      <c r="Z855" s="26"/>
      <c r="AA855" s="96"/>
      <c r="AB855" s="26"/>
    </row>
    <row r="856" spans="8:28" x14ac:dyDescent="0.2">
      <c r="H856" s="26"/>
      <c r="I856" s="26"/>
      <c r="J856" s="26"/>
      <c r="Y856" s="96"/>
      <c r="Z856" s="26"/>
      <c r="AA856" s="96"/>
      <c r="AB856" s="26"/>
    </row>
    <row r="857" spans="8:28" x14ac:dyDescent="0.2">
      <c r="H857" s="26"/>
      <c r="I857" s="26"/>
      <c r="J857" s="26"/>
      <c r="Y857" s="96"/>
      <c r="Z857" s="26"/>
      <c r="AA857" s="96"/>
      <c r="AB857" s="26"/>
    </row>
    <row r="858" spans="8:28" x14ac:dyDescent="0.2">
      <c r="H858" s="26"/>
      <c r="I858" s="26"/>
      <c r="J858" s="26"/>
      <c r="Y858" s="96"/>
      <c r="Z858" s="26"/>
      <c r="AA858" s="96"/>
      <c r="AB858" s="26"/>
    </row>
    <row r="859" spans="8:28" x14ac:dyDescent="0.2">
      <c r="H859" s="26"/>
      <c r="I859" s="26"/>
      <c r="J859" s="26"/>
      <c r="Y859" s="96"/>
      <c r="Z859" s="26"/>
      <c r="AA859" s="96"/>
      <c r="AB859" s="26"/>
    </row>
    <row r="860" spans="8:28" x14ac:dyDescent="0.2">
      <c r="H860" s="26"/>
      <c r="I860" s="26"/>
      <c r="J860" s="26"/>
      <c r="Y860" s="96"/>
      <c r="Z860" s="26"/>
      <c r="AA860" s="96"/>
      <c r="AB860" s="26"/>
    </row>
    <row r="861" spans="8:28" x14ac:dyDescent="0.2">
      <c r="H861" s="26"/>
      <c r="I861" s="26"/>
      <c r="J861" s="26"/>
      <c r="Y861" s="96"/>
      <c r="Z861" s="26"/>
      <c r="AA861" s="96"/>
      <c r="AB861" s="26"/>
    </row>
    <row r="862" spans="8:28" x14ac:dyDescent="0.2">
      <c r="H862" s="26"/>
      <c r="I862" s="26"/>
      <c r="J862" s="26"/>
      <c r="Y862" s="96"/>
      <c r="Z862" s="26"/>
      <c r="AA862" s="96"/>
      <c r="AB862" s="26"/>
    </row>
    <row r="863" spans="8:28" x14ac:dyDescent="0.2">
      <c r="H863" s="26"/>
      <c r="I863" s="26"/>
      <c r="J863" s="26"/>
      <c r="Y863" s="96"/>
      <c r="Z863" s="26"/>
      <c r="AA863" s="96"/>
      <c r="AB863" s="26"/>
    </row>
    <row r="864" spans="8:28" x14ac:dyDescent="0.2">
      <c r="H864" s="26"/>
      <c r="I864" s="26"/>
      <c r="J864" s="26"/>
      <c r="Y864" s="96"/>
      <c r="Z864" s="26"/>
      <c r="AA864" s="96"/>
      <c r="AB864" s="26"/>
    </row>
    <row r="865" spans="8:28" x14ac:dyDescent="0.2">
      <c r="H865" s="26"/>
      <c r="I865" s="26"/>
      <c r="J865" s="26"/>
      <c r="Y865" s="96"/>
      <c r="Z865" s="26"/>
      <c r="AA865" s="96"/>
      <c r="AB865" s="26"/>
    </row>
    <row r="866" spans="8:28" x14ac:dyDescent="0.2">
      <c r="H866" s="26"/>
      <c r="I866" s="26"/>
      <c r="J866" s="26"/>
      <c r="Y866" s="96"/>
      <c r="Z866" s="26"/>
      <c r="AA866" s="96"/>
      <c r="AB866" s="26"/>
    </row>
    <row r="867" spans="8:28" x14ac:dyDescent="0.2">
      <c r="H867" s="26"/>
      <c r="I867" s="26"/>
      <c r="J867" s="26"/>
      <c r="Y867" s="96"/>
      <c r="Z867" s="26"/>
      <c r="AA867" s="96"/>
      <c r="AB867" s="26"/>
    </row>
    <row r="868" spans="8:28" x14ac:dyDescent="0.2">
      <c r="H868" s="26"/>
      <c r="I868" s="26"/>
      <c r="J868" s="26"/>
      <c r="Y868" s="96"/>
      <c r="Z868" s="26"/>
      <c r="AA868" s="96"/>
      <c r="AB868" s="26"/>
    </row>
    <row r="869" spans="8:28" x14ac:dyDescent="0.2">
      <c r="H869" s="26"/>
      <c r="I869" s="26"/>
      <c r="J869" s="26"/>
      <c r="Y869" s="96"/>
      <c r="Z869" s="26"/>
      <c r="AA869" s="96"/>
      <c r="AB869" s="26"/>
    </row>
    <row r="870" spans="8:28" x14ac:dyDescent="0.2">
      <c r="H870" s="26"/>
      <c r="I870" s="26"/>
      <c r="J870" s="26"/>
      <c r="Y870" s="96"/>
      <c r="Z870" s="26"/>
      <c r="AA870" s="96"/>
      <c r="AB870" s="26"/>
    </row>
    <row r="871" spans="8:28" x14ac:dyDescent="0.2">
      <c r="H871" s="26"/>
      <c r="I871" s="26"/>
      <c r="J871" s="26"/>
      <c r="Y871" s="96"/>
      <c r="Z871" s="26"/>
      <c r="AA871" s="96"/>
      <c r="AB871" s="26"/>
    </row>
    <row r="872" spans="8:28" x14ac:dyDescent="0.2">
      <c r="H872" s="26"/>
      <c r="I872" s="26"/>
      <c r="J872" s="26"/>
      <c r="Y872" s="96"/>
      <c r="Z872" s="26"/>
      <c r="AA872" s="96"/>
      <c r="AB872" s="26"/>
    </row>
    <row r="873" spans="8:28" x14ac:dyDescent="0.2">
      <c r="H873" s="26"/>
      <c r="I873" s="26"/>
      <c r="J873" s="26"/>
      <c r="Y873" s="96"/>
      <c r="Z873" s="26"/>
      <c r="AA873" s="96"/>
      <c r="AB873" s="26"/>
    </row>
    <row r="874" spans="8:28" x14ac:dyDescent="0.2">
      <c r="H874" s="26"/>
      <c r="I874" s="26"/>
      <c r="J874" s="26"/>
      <c r="Y874" s="96"/>
      <c r="Z874" s="26"/>
      <c r="AA874" s="96"/>
      <c r="AB874" s="26"/>
    </row>
    <row r="875" spans="8:28" x14ac:dyDescent="0.2">
      <c r="H875" s="26"/>
      <c r="I875" s="26"/>
      <c r="J875" s="26"/>
      <c r="Y875" s="96"/>
      <c r="Z875" s="26"/>
      <c r="AA875" s="96"/>
      <c r="AB875" s="26"/>
    </row>
    <row r="876" spans="8:28" x14ac:dyDescent="0.2">
      <c r="H876" s="26"/>
      <c r="I876" s="26"/>
      <c r="J876" s="26"/>
      <c r="Y876" s="96"/>
      <c r="Z876" s="26"/>
      <c r="AA876" s="96"/>
      <c r="AB876" s="26"/>
    </row>
    <row r="877" spans="8:28" x14ac:dyDescent="0.2">
      <c r="H877" s="26"/>
      <c r="I877" s="26"/>
      <c r="J877" s="26"/>
      <c r="Y877" s="96"/>
      <c r="Z877" s="26"/>
      <c r="AA877" s="96"/>
      <c r="AB877" s="26"/>
    </row>
    <row r="878" spans="8:28" x14ac:dyDescent="0.2">
      <c r="H878" s="26"/>
      <c r="I878" s="26"/>
      <c r="J878" s="26"/>
      <c r="Y878" s="96"/>
      <c r="Z878" s="26"/>
      <c r="AA878" s="96"/>
      <c r="AB878" s="26"/>
    </row>
    <row r="879" spans="8:28" x14ac:dyDescent="0.2">
      <c r="H879" s="26"/>
      <c r="I879" s="26"/>
      <c r="J879" s="26"/>
      <c r="Y879" s="96"/>
      <c r="Z879" s="26"/>
      <c r="AA879" s="96"/>
      <c r="AB879" s="26"/>
    </row>
    <row r="880" spans="8:28" x14ac:dyDescent="0.2">
      <c r="H880" s="26"/>
      <c r="I880" s="26"/>
      <c r="J880" s="26"/>
      <c r="Y880" s="96"/>
      <c r="Z880" s="26"/>
      <c r="AA880" s="96"/>
      <c r="AB880" s="26"/>
    </row>
    <row r="881" spans="8:28" x14ac:dyDescent="0.2">
      <c r="H881" s="26"/>
      <c r="I881" s="26"/>
      <c r="J881" s="26"/>
      <c r="Y881" s="96"/>
      <c r="Z881" s="26"/>
      <c r="AA881" s="96"/>
      <c r="AB881" s="26"/>
    </row>
    <row r="882" spans="8:28" x14ac:dyDescent="0.2">
      <c r="H882" s="26"/>
      <c r="I882" s="26"/>
      <c r="J882" s="26"/>
      <c r="Y882" s="96"/>
      <c r="Z882" s="26"/>
      <c r="AA882" s="96"/>
      <c r="AB882" s="26"/>
    </row>
    <row r="883" spans="8:28" x14ac:dyDescent="0.2">
      <c r="H883" s="26"/>
      <c r="I883" s="26"/>
      <c r="J883" s="26"/>
      <c r="Y883" s="96"/>
      <c r="Z883" s="26"/>
      <c r="AA883" s="96"/>
      <c r="AB883" s="26"/>
    </row>
    <row r="884" spans="8:28" x14ac:dyDescent="0.2">
      <c r="H884" s="26"/>
      <c r="I884" s="26"/>
      <c r="J884" s="26"/>
      <c r="Y884" s="96"/>
      <c r="Z884" s="26"/>
      <c r="AA884" s="96"/>
      <c r="AB884" s="26"/>
    </row>
    <row r="885" spans="8:28" x14ac:dyDescent="0.2">
      <c r="H885" s="26"/>
      <c r="I885" s="26"/>
      <c r="J885" s="26"/>
      <c r="Y885" s="96"/>
      <c r="Z885" s="26"/>
      <c r="AA885" s="96"/>
      <c r="AB885" s="26"/>
    </row>
    <row r="886" spans="8:28" x14ac:dyDescent="0.2">
      <c r="H886" s="26"/>
      <c r="I886" s="26"/>
      <c r="J886" s="26"/>
      <c r="Y886" s="96"/>
      <c r="Z886" s="26"/>
      <c r="AA886" s="96"/>
      <c r="AB886" s="26"/>
    </row>
    <row r="887" spans="8:28" x14ac:dyDescent="0.2">
      <c r="H887" s="26"/>
      <c r="I887" s="26"/>
      <c r="J887" s="26"/>
      <c r="Y887" s="96"/>
      <c r="Z887" s="26"/>
      <c r="AA887" s="96"/>
      <c r="AB887" s="26"/>
    </row>
    <row r="888" spans="8:28" x14ac:dyDescent="0.2">
      <c r="H888" s="26"/>
      <c r="I888" s="26"/>
      <c r="J888" s="26"/>
      <c r="Y888" s="96"/>
      <c r="Z888" s="26"/>
      <c r="AA888" s="96"/>
      <c r="AB888" s="26"/>
    </row>
    <row r="889" spans="8:28" x14ac:dyDescent="0.2">
      <c r="H889" s="26"/>
      <c r="I889" s="26"/>
      <c r="J889" s="26"/>
      <c r="Y889" s="96"/>
      <c r="Z889" s="26"/>
      <c r="AA889" s="96"/>
      <c r="AB889" s="26"/>
    </row>
    <row r="890" spans="8:28" x14ac:dyDescent="0.2">
      <c r="H890" s="26"/>
      <c r="I890" s="26"/>
      <c r="J890" s="26"/>
      <c r="Y890" s="96"/>
      <c r="Z890" s="26"/>
      <c r="AA890" s="96"/>
      <c r="AB890" s="26"/>
    </row>
    <row r="891" spans="8:28" x14ac:dyDescent="0.2">
      <c r="H891" s="26"/>
      <c r="I891" s="26"/>
      <c r="J891" s="26"/>
      <c r="Y891" s="96"/>
      <c r="Z891" s="26"/>
      <c r="AA891" s="96"/>
      <c r="AB891" s="26"/>
    </row>
    <row r="892" spans="8:28" x14ac:dyDescent="0.2">
      <c r="H892" s="26"/>
      <c r="I892" s="26"/>
      <c r="J892" s="26"/>
      <c r="Y892" s="96"/>
      <c r="Z892" s="26"/>
      <c r="AA892" s="96"/>
      <c r="AB892" s="26"/>
    </row>
    <row r="893" spans="8:28" x14ac:dyDescent="0.2">
      <c r="H893" s="26"/>
      <c r="I893" s="26"/>
      <c r="J893" s="26"/>
      <c r="Y893" s="96"/>
      <c r="Z893" s="26"/>
      <c r="AA893" s="96"/>
      <c r="AB893" s="26"/>
    </row>
    <row r="894" spans="8:28" x14ac:dyDescent="0.2">
      <c r="H894" s="26"/>
      <c r="I894" s="26"/>
      <c r="J894" s="26"/>
      <c r="Y894" s="96"/>
      <c r="Z894" s="26"/>
      <c r="AA894" s="96"/>
      <c r="AB894" s="26"/>
    </row>
    <row r="895" spans="8:28" x14ac:dyDescent="0.2">
      <c r="H895" s="26"/>
      <c r="I895" s="26"/>
      <c r="J895" s="26"/>
      <c r="Y895" s="96"/>
      <c r="Z895" s="26"/>
      <c r="AA895" s="96"/>
      <c r="AB895" s="26"/>
    </row>
    <row r="896" spans="8:28" x14ac:dyDescent="0.2">
      <c r="H896" s="26"/>
      <c r="I896" s="26"/>
      <c r="J896" s="26"/>
      <c r="Y896" s="96"/>
      <c r="Z896" s="26"/>
      <c r="AA896" s="96"/>
      <c r="AB896" s="26"/>
    </row>
    <row r="897" spans="8:28" x14ac:dyDescent="0.2">
      <c r="H897" s="26"/>
      <c r="I897" s="26"/>
      <c r="J897" s="26"/>
      <c r="Y897" s="96"/>
      <c r="Z897" s="26"/>
      <c r="AA897" s="96"/>
      <c r="AB897" s="26"/>
    </row>
    <row r="898" spans="8:28" x14ac:dyDescent="0.2">
      <c r="H898" s="26"/>
      <c r="I898" s="26"/>
      <c r="J898" s="26"/>
      <c r="Y898" s="96"/>
      <c r="Z898" s="26"/>
      <c r="AA898" s="96"/>
      <c r="AB898" s="26"/>
    </row>
    <row r="899" spans="8:28" x14ac:dyDescent="0.2">
      <c r="H899" s="26"/>
      <c r="I899" s="26"/>
      <c r="J899" s="26"/>
      <c r="Y899" s="96"/>
      <c r="Z899" s="26"/>
      <c r="AA899" s="96"/>
      <c r="AB899" s="26"/>
    </row>
    <row r="900" spans="8:28" x14ac:dyDescent="0.2">
      <c r="H900" s="26"/>
      <c r="I900" s="26"/>
      <c r="J900" s="26"/>
      <c r="Y900" s="96"/>
      <c r="Z900" s="26"/>
      <c r="AA900" s="96"/>
      <c r="AB900" s="26"/>
    </row>
    <row r="901" spans="8:28" x14ac:dyDescent="0.2">
      <c r="H901" s="26"/>
      <c r="I901" s="26"/>
      <c r="J901" s="26"/>
      <c r="Y901" s="96"/>
      <c r="Z901" s="26"/>
      <c r="AA901" s="96"/>
      <c r="AB901" s="26"/>
    </row>
    <row r="902" spans="8:28" x14ac:dyDescent="0.2">
      <c r="H902" s="26"/>
      <c r="I902" s="26"/>
      <c r="J902" s="26"/>
      <c r="Y902" s="96"/>
      <c r="Z902" s="26"/>
      <c r="AA902" s="96"/>
      <c r="AB902" s="26"/>
    </row>
    <row r="903" spans="8:28" x14ac:dyDescent="0.2">
      <c r="H903" s="26"/>
      <c r="I903" s="26"/>
      <c r="J903" s="26"/>
      <c r="Y903" s="96"/>
      <c r="Z903" s="26"/>
      <c r="AA903" s="96"/>
      <c r="AB903" s="26"/>
    </row>
    <row r="904" spans="8:28" x14ac:dyDescent="0.2">
      <c r="H904" s="26"/>
      <c r="I904" s="26"/>
      <c r="J904" s="26"/>
      <c r="Y904" s="96"/>
      <c r="Z904" s="26"/>
      <c r="AA904" s="96"/>
      <c r="AB904" s="26"/>
    </row>
    <row r="905" spans="8:28" x14ac:dyDescent="0.2">
      <c r="H905" s="26"/>
      <c r="I905" s="26"/>
      <c r="J905" s="26"/>
      <c r="Y905" s="96"/>
      <c r="Z905" s="26"/>
      <c r="AA905" s="96"/>
      <c r="AB905" s="26"/>
    </row>
    <row r="906" spans="8:28" x14ac:dyDescent="0.2">
      <c r="H906" s="26"/>
      <c r="I906" s="26"/>
      <c r="J906" s="26"/>
      <c r="Y906" s="96"/>
      <c r="Z906" s="26"/>
      <c r="AA906" s="96"/>
      <c r="AB906" s="26"/>
    </row>
    <row r="907" spans="8:28" x14ac:dyDescent="0.2">
      <c r="H907" s="26"/>
      <c r="I907" s="26"/>
      <c r="J907" s="26"/>
      <c r="Y907" s="96"/>
      <c r="Z907" s="26"/>
      <c r="AA907" s="96"/>
      <c r="AB907" s="26"/>
    </row>
    <row r="908" spans="8:28" x14ac:dyDescent="0.2">
      <c r="H908" s="26"/>
      <c r="I908" s="26"/>
      <c r="J908" s="26"/>
      <c r="Y908" s="96"/>
      <c r="Z908" s="26"/>
      <c r="AA908" s="96"/>
      <c r="AB908" s="26"/>
    </row>
    <row r="909" spans="8:28" x14ac:dyDescent="0.2">
      <c r="H909" s="26"/>
      <c r="I909" s="26"/>
      <c r="J909" s="26"/>
      <c r="Y909" s="96"/>
      <c r="Z909" s="26"/>
      <c r="AA909" s="96"/>
      <c r="AB909" s="26"/>
    </row>
    <row r="910" spans="8:28" x14ac:dyDescent="0.2">
      <c r="H910" s="26"/>
      <c r="I910" s="26"/>
      <c r="J910" s="26"/>
      <c r="Y910" s="96"/>
      <c r="Z910" s="26"/>
      <c r="AA910" s="96"/>
      <c r="AB910" s="26"/>
    </row>
    <row r="911" spans="8:28" x14ac:dyDescent="0.2">
      <c r="H911" s="26"/>
      <c r="I911" s="26"/>
      <c r="J911" s="26"/>
      <c r="Y911" s="96"/>
      <c r="Z911" s="26"/>
      <c r="AA911" s="96"/>
      <c r="AB911" s="26"/>
    </row>
    <row r="912" spans="8:28" x14ac:dyDescent="0.2">
      <c r="H912" s="26"/>
      <c r="I912" s="26"/>
      <c r="J912" s="26"/>
      <c r="Y912" s="96"/>
      <c r="Z912" s="26"/>
      <c r="AA912" s="96"/>
      <c r="AB912" s="26"/>
    </row>
    <row r="913" spans="8:28" x14ac:dyDescent="0.2">
      <c r="H913" s="26"/>
      <c r="I913" s="26"/>
      <c r="J913" s="26"/>
      <c r="Y913" s="96"/>
      <c r="Z913" s="26"/>
      <c r="AA913" s="96"/>
      <c r="AB913" s="26"/>
    </row>
    <row r="914" spans="8:28" x14ac:dyDescent="0.2">
      <c r="H914" s="26"/>
      <c r="I914" s="26"/>
      <c r="J914" s="26"/>
      <c r="Y914" s="96"/>
      <c r="Z914" s="26"/>
      <c r="AA914" s="96"/>
      <c r="AB914" s="26"/>
    </row>
    <row r="915" spans="8:28" x14ac:dyDescent="0.2">
      <c r="H915" s="26"/>
      <c r="I915" s="26"/>
      <c r="J915" s="26"/>
      <c r="Y915" s="96"/>
      <c r="Z915" s="26"/>
      <c r="AA915" s="96"/>
      <c r="AB915" s="26"/>
    </row>
    <row r="916" spans="8:28" x14ac:dyDescent="0.2">
      <c r="H916" s="26"/>
      <c r="I916" s="26"/>
      <c r="J916" s="26"/>
      <c r="Y916" s="96"/>
      <c r="Z916" s="26"/>
      <c r="AA916" s="96"/>
      <c r="AB916" s="26"/>
    </row>
    <row r="917" spans="8:28" x14ac:dyDescent="0.2">
      <c r="H917" s="26"/>
      <c r="I917" s="26"/>
      <c r="J917" s="26"/>
      <c r="Y917" s="96"/>
      <c r="Z917" s="26"/>
      <c r="AA917" s="96"/>
      <c r="AB917" s="26"/>
    </row>
    <row r="918" spans="8:28" x14ac:dyDescent="0.2">
      <c r="H918" s="26"/>
      <c r="I918" s="26"/>
      <c r="J918" s="26"/>
      <c r="Y918" s="96"/>
      <c r="Z918" s="26"/>
      <c r="AA918" s="96"/>
      <c r="AB918" s="26"/>
    </row>
    <row r="919" spans="8:28" x14ac:dyDescent="0.2">
      <c r="H919" s="26"/>
      <c r="I919" s="26"/>
      <c r="J919" s="26"/>
      <c r="Y919" s="96"/>
      <c r="Z919" s="26"/>
      <c r="AA919" s="96"/>
      <c r="AB919" s="26"/>
    </row>
    <row r="920" spans="8:28" x14ac:dyDescent="0.2">
      <c r="H920" s="26"/>
      <c r="I920" s="26"/>
      <c r="J920" s="26"/>
      <c r="Y920" s="96"/>
      <c r="Z920" s="26"/>
      <c r="AA920" s="96"/>
      <c r="AB920" s="26"/>
    </row>
    <row r="921" spans="8:28" x14ac:dyDescent="0.2">
      <c r="H921" s="26"/>
      <c r="I921" s="26"/>
      <c r="J921" s="26"/>
      <c r="Y921" s="96"/>
      <c r="Z921" s="26"/>
      <c r="AA921" s="96"/>
      <c r="AB921" s="26"/>
    </row>
    <row r="922" spans="8:28" x14ac:dyDescent="0.2">
      <c r="H922" s="26"/>
      <c r="I922" s="26"/>
      <c r="J922" s="26"/>
      <c r="Y922" s="96"/>
      <c r="Z922" s="26"/>
      <c r="AA922" s="96"/>
      <c r="AB922" s="26"/>
    </row>
    <row r="923" spans="8:28" x14ac:dyDescent="0.2">
      <c r="H923" s="26"/>
      <c r="I923" s="26"/>
      <c r="J923" s="26"/>
      <c r="Y923" s="96"/>
      <c r="Z923" s="26"/>
      <c r="AA923" s="96"/>
      <c r="AB923" s="26"/>
    </row>
    <row r="924" spans="8:28" x14ac:dyDescent="0.2">
      <c r="H924" s="26"/>
      <c r="I924" s="26"/>
      <c r="J924" s="26"/>
      <c r="Y924" s="96"/>
      <c r="Z924" s="26"/>
      <c r="AA924" s="96"/>
      <c r="AB924" s="26"/>
    </row>
    <row r="925" spans="8:28" x14ac:dyDescent="0.2">
      <c r="H925" s="26"/>
      <c r="I925" s="26"/>
      <c r="J925" s="26"/>
      <c r="Y925" s="96"/>
      <c r="Z925" s="26"/>
      <c r="AA925" s="96"/>
      <c r="AB925" s="26"/>
    </row>
    <row r="926" spans="8:28" x14ac:dyDescent="0.2">
      <c r="H926" s="26"/>
      <c r="I926" s="26"/>
      <c r="J926" s="26"/>
      <c r="Y926" s="96"/>
      <c r="Z926" s="26"/>
      <c r="AA926" s="96"/>
      <c r="AB926" s="26"/>
    </row>
    <row r="927" spans="8:28" x14ac:dyDescent="0.2">
      <c r="H927" s="26"/>
      <c r="I927" s="26"/>
      <c r="J927" s="26"/>
      <c r="Y927" s="96"/>
      <c r="Z927" s="26"/>
      <c r="AA927" s="96"/>
      <c r="AB927" s="26"/>
    </row>
    <row r="928" spans="8:28" x14ac:dyDescent="0.2">
      <c r="H928" s="26"/>
      <c r="I928" s="26"/>
      <c r="J928" s="26"/>
      <c r="Y928" s="96"/>
      <c r="Z928" s="26"/>
      <c r="AA928" s="96"/>
      <c r="AB928" s="26"/>
    </row>
    <row r="929" spans="8:28" x14ac:dyDescent="0.2">
      <c r="H929" s="26"/>
      <c r="I929" s="26"/>
      <c r="J929" s="26"/>
      <c r="Y929" s="96"/>
      <c r="Z929" s="26"/>
      <c r="AA929" s="96"/>
      <c r="AB929" s="26"/>
    </row>
    <row r="930" spans="8:28" x14ac:dyDescent="0.2">
      <c r="H930" s="26"/>
      <c r="I930" s="26"/>
      <c r="J930" s="26"/>
      <c r="Y930" s="96"/>
      <c r="Z930" s="26"/>
      <c r="AA930" s="96"/>
      <c r="AB930" s="26"/>
    </row>
    <row r="931" spans="8:28" x14ac:dyDescent="0.2">
      <c r="H931" s="26"/>
      <c r="I931" s="26"/>
      <c r="J931" s="26"/>
      <c r="Y931" s="96"/>
      <c r="Z931" s="26"/>
      <c r="AA931" s="96"/>
      <c r="AB931" s="26"/>
    </row>
    <row r="932" spans="8:28" x14ac:dyDescent="0.2">
      <c r="H932" s="26"/>
      <c r="I932" s="26"/>
      <c r="J932" s="26"/>
      <c r="Y932" s="96"/>
      <c r="Z932" s="26"/>
      <c r="AA932" s="96"/>
      <c r="AB932" s="26"/>
    </row>
    <row r="933" spans="8:28" x14ac:dyDescent="0.2">
      <c r="H933" s="26"/>
      <c r="I933" s="26"/>
      <c r="J933" s="26"/>
      <c r="Y933" s="96"/>
      <c r="Z933" s="26"/>
      <c r="AA933" s="96"/>
      <c r="AB933" s="26"/>
    </row>
    <row r="934" spans="8:28" x14ac:dyDescent="0.2">
      <c r="H934" s="26"/>
      <c r="I934" s="26"/>
      <c r="J934" s="26"/>
      <c r="Y934" s="96"/>
      <c r="Z934" s="26"/>
      <c r="AA934" s="96"/>
      <c r="AB934" s="26"/>
    </row>
    <row r="935" spans="8:28" x14ac:dyDescent="0.2">
      <c r="H935" s="26"/>
      <c r="I935" s="26"/>
      <c r="J935" s="26"/>
      <c r="Y935" s="96"/>
      <c r="Z935" s="26"/>
      <c r="AA935" s="96"/>
      <c r="AB935" s="26"/>
    </row>
    <row r="936" spans="8:28" x14ac:dyDescent="0.2">
      <c r="H936" s="26"/>
      <c r="I936" s="26"/>
      <c r="J936" s="26"/>
      <c r="Y936" s="96"/>
      <c r="Z936" s="26"/>
      <c r="AA936" s="96"/>
      <c r="AB936" s="26"/>
    </row>
    <row r="937" spans="8:28" x14ac:dyDescent="0.2">
      <c r="H937" s="26"/>
      <c r="I937" s="26"/>
      <c r="J937" s="26"/>
      <c r="Y937" s="96"/>
      <c r="Z937" s="26"/>
      <c r="AA937" s="96"/>
      <c r="AB937" s="26"/>
    </row>
    <row r="938" spans="8:28" x14ac:dyDescent="0.2">
      <c r="H938" s="26"/>
      <c r="I938" s="26"/>
      <c r="J938" s="26"/>
      <c r="Y938" s="96"/>
      <c r="Z938" s="26"/>
      <c r="AA938" s="96"/>
      <c r="AB938" s="26"/>
    </row>
    <row r="939" spans="8:28" x14ac:dyDescent="0.2">
      <c r="H939" s="26"/>
      <c r="I939" s="26"/>
      <c r="J939" s="26"/>
      <c r="Y939" s="96"/>
      <c r="Z939" s="26"/>
      <c r="AA939" s="96"/>
      <c r="AB939" s="26"/>
    </row>
    <row r="940" spans="8:28" x14ac:dyDescent="0.2">
      <c r="H940" s="26"/>
      <c r="I940" s="26"/>
      <c r="J940" s="26"/>
      <c r="Y940" s="96"/>
      <c r="Z940" s="26"/>
      <c r="AA940" s="96"/>
      <c r="AB940" s="26"/>
    </row>
    <row r="941" spans="8:28" x14ac:dyDescent="0.2">
      <c r="H941" s="26"/>
      <c r="I941" s="26"/>
      <c r="J941" s="26"/>
      <c r="Y941" s="96"/>
      <c r="Z941" s="26"/>
      <c r="AA941" s="96"/>
      <c r="AB941" s="26"/>
    </row>
    <row r="942" spans="8:28" x14ac:dyDescent="0.2">
      <c r="H942" s="26"/>
      <c r="I942" s="26"/>
      <c r="J942" s="26"/>
      <c r="Y942" s="96"/>
      <c r="Z942" s="26"/>
      <c r="AA942" s="96"/>
      <c r="AB942" s="26"/>
    </row>
    <row r="943" spans="8:28" x14ac:dyDescent="0.2">
      <c r="H943" s="26"/>
      <c r="I943" s="26"/>
      <c r="J943" s="26"/>
      <c r="Y943" s="96"/>
      <c r="Z943" s="26"/>
      <c r="AA943" s="96"/>
      <c r="AB943" s="26"/>
    </row>
    <row r="944" spans="8:28" x14ac:dyDescent="0.2">
      <c r="H944" s="26"/>
      <c r="I944" s="26"/>
      <c r="J944" s="26"/>
      <c r="Y944" s="96"/>
      <c r="Z944" s="26"/>
      <c r="AA944" s="96"/>
      <c r="AB944" s="26"/>
    </row>
    <row r="945" spans="8:28" x14ac:dyDescent="0.2">
      <c r="H945" s="26"/>
      <c r="I945" s="26"/>
      <c r="J945" s="26"/>
      <c r="Y945" s="96"/>
      <c r="Z945" s="26"/>
      <c r="AA945" s="96"/>
      <c r="AB945" s="26"/>
    </row>
    <row r="946" spans="8:28" x14ac:dyDescent="0.2">
      <c r="H946" s="26"/>
      <c r="I946" s="26"/>
      <c r="J946" s="26"/>
      <c r="Y946" s="96"/>
      <c r="Z946" s="26"/>
      <c r="AA946" s="96"/>
      <c r="AB946" s="26"/>
    </row>
    <row r="947" spans="8:28" x14ac:dyDescent="0.2">
      <c r="H947" s="26"/>
      <c r="I947" s="26"/>
      <c r="J947" s="26"/>
      <c r="Y947" s="96"/>
      <c r="Z947" s="26"/>
      <c r="AA947" s="96"/>
      <c r="AB947" s="26"/>
    </row>
    <row r="948" spans="8:28" x14ac:dyDescent="0.2">
      <c r="H948" s="26"/>
      <c r="I948" s="26"/>
      <c r="J948" s="26"/>
      <c r="Y948" s="96"/>
      <c r="Z948" s="26"/>
      <c r="AA948" s="96"/>
      <c r="AB948" s="26"/>
    </row>
    <row r="949" spans="8:28" x14ac:dyDescent="0.2">
      <c r="H949" s="26"/>
      <c r="I949" s="26"/>
      <c r="J949" s="26"/>
      <c r="Y949" s="96"/>
      <c r="Z949" s="26"/>
      <c r="AA949" s="96"/>
      <c r="AB949" s="26"/>
    </row>
    <row r="950" spans="8:28" x14ac:dyDescent="0.2">
      <c r="H950" s="26"/>
      <c r="I950" s="26"/>
      <c r="J950" s="26"/>
      <c r="Y950" s="96"/>
      <c r="Z950" s="26"/>
      <c r="AA950" s="96"/>
      <c r="AB950" s="26"/>
    </row>
    <row r="951" spans="8:28" x14ac:dyDescent="0.2">
      <c r="H951" s="26"/>
      <c r="I951" s="26"/>
      <c r="J951" s="26"/>
      <c r="Y951" s="96"/>
      <c r="Z951" s="26"/>
      <c r="AA951" s="96"/>
      <c r="AB951" s="26"/>
    </row>
    <row r="952" spans="8:28" x14ac:dyDescent="0.2">
      <c r="H952" s="26"/>
      <c r="I952" s="26"/>
      <c r="J952" s="26"/>
      <c r="Y952" s="96"/>
      <c r="Z952" s="26"/>
      <c r="AA952" s="96"/>
      <c r="AB952" s="26"/>
    </row>
    <row r="953" spans="8:28" x14ac:dyDescent="0.2">
      <c r="H953" s="26"/>
      <c r="I953" s="26"/>
      <c r="J953" s="26"/>
      <c r="Y953" s="96"/>
      <c r="Z953" s="26"/>
      <c r="AA953" s="96"/>
      <c r="AB953" s="26"/>
    </row>
    <row r="954" spans="8:28" x14ac:dyDescent="0.2">
      <c r="H954" s="26"/>
      <c r="I954" s="26"/>
      <c r="J954" s="26"/>
      <c r="Y954" s="96"/>
      <c r="Z954" s="26"/>
      <c r="AA954" s="96"/>
      <c r="AB954" s="26"/>
    </row>
    <row r="955" spans="8:28" x14ac:dyDescent="0.2">
      <c r="H955" s="26"/>
      <c r="I955" s="26"/>
      <c r="J955" s="26"/>
      <c r="Y955" s="96"/>
      <c r="Z955" s="26"/>
      <c r="AA955" s="96"/>
      <c r="AB955" s="26"/>
    </row>
    <row r="956" spans="8:28" x14ac:dyDescent="0.2">
      <c r="H956" s="26"/>
      <c r="I956" s="26"/>
      <c r="J956" s="26"/>
      <c r="Y956" s="96"/>
      <c r="Z956" s="26"/>
      <c r="AA956" s="96"/>
      <c r="AB956" s="26"/>
    </row>
    <row r="957" spans="8:28" x14ac:dyDescent="0.2">
      <c r="H957" s="26"/>
      <c r="I957" s="26"/>
      <c r="J957" s="26"/>
      <c r="Y957" s="96"/>
      <c r="Z957" s="26"/>
      <c r="AA957" s="96"/>
      <c r="AB957" s="26"/>
    </row>
    <row r="958" spans="8:28" x14ac:dyDescent="0.2">
      <c r="H958" s="26"/>
      <c r="I958" s="26"/>
      <c r="J958" s="26"/>
      <c r="Y958" s="96"/>
      <c r="Z958" s="26"/>
      <c r="AA958" s="96"/>
      <c r="AB958" s="26"/>
    </row>
    <row r="959" spans="8:28" x14ac:dyDescent="0.2">
      <c r="H959" s="26"/>
      <c r="I959" s="26"/>
      <c r="J959" s="26"/>
      <c r="Y959" s="96"/>
      <c r="Z959" s="26"/>
      <c r="AA959" s="96"/>
      <c r="AB959" s="26"/>
    </row>
    <row r="960" spans="8:28" x14ac:dyDescent="0.2">
      <c r="H960" s="26"/>
      <c r="I960" s="26"/>
      <c r="J960" s="26"/>
      <c r="Y960" s="96"/>
      <c r="Z960" s="26"/>
      <c r="AA960" s="96"/>
      <c r="AB960" s="26"/>
    </row>
    <row r="961" spans="8:28" x14ac:dyDescent="0.2">
      <c r="H961" s="26"/>
      <c r="I961" s="26"/>
      <c r="J961" s="26"/>
      <c r="Y961" s="96"/>
      <c r="Z961" s="26"/>
      <c r="AA961" s="96"/>
      <c r="AB961" s="26"/>
    </row>
    <row r="962" spans="8:28" x14ac:dyDescent="0.2">
      <c r="H962" s="26"/>
      <c r="I962" s="26"/>
      <c r="J962" s="26"/>
      <c r="Y962" s="96"/>
      <c r="Z962" s="26"/>
      <c r="AA962" s="96"/>
      <c r="AB962" s="26"/>
    </row>
    <row r="963" spans="8:28" x14ac:dyDescent="0.2">
      <c r="H963" s="26"/>
      <c r="I963" s="26"/>
      <c r="J963" s="26"/>
      <c r="Y963" s="96"/>
      <c r="Z963" s="26"/>
      <c r="AA963" s="96"/>
      <c r="AB963" s="26"/>
    </row>
    <row r="964" spans="8:28" x14ac:dyDescent="0.2">
      <c r="H964" s="26"/>
      <c r="I964" s="26"/>
      <c r="J964" s="26"/>
      <c r="Y964" s="96"/>
      <c r="Z964" s="26"/>
      <c r="AA964" s="96"/>
      <c r="AB964" s="26"/>
    </row>
    <row r="965" spans="8:28" x14ac:dyDescent="0.2">
      <c r="H965" s="26"/>
      <c r="I965" s="26"/>
      <c r="J965" s="26"/>
      <c r="Y965" s="96"/>
      <c r="Z965" s="26"/>
      <c r="AA965" s="96"/>
      <c r="AB965" s="26"/>
    </row>
    <row r="966" spans="8:28" x14ac:dyDescent="0.2">
      <c r="H966" s="26"/>
      <c r="I966" s="26"/>
      <c r="J966" s="26"/>
      <c r="Y966" s="96"/>
      <c r="Z966" s="26"/>
      <c r="AA966" s="96"/>
      <c r="AB966" s="26"/>
    </row>
    <row r="967" spans="8:28" x14ac:dyDescent="0.2">
      <c r="H967" s="26"/>
      <c r="I967" s="26"/>
      <c r="J967" s="26"/>
      <c r="Y967" s="96"/>
      <c r="Z967" s="26"/>
      <c r="AA967" s="96"/>
      <c r="AB967" s="26"/>
    </row>
    <row r="968" spans="8:28" x14ac:dyDescent="0.2">
      <c r="H968" s="26"/>
      <c r="I968" s="26"/>
      <c r="J968" s="26"/>
      <c r="Y968" s="96"/>
      <c r="Z968" s="26"/>
      <c r="AA968" s="96"/>
      <c r="AB968" s="26"/>
    </row>
    <row r="969" spans="8:28" x14ac:dyDescent="0.2">
      <c r="H969" s="26"/>
      <c r="I969" s="26"/>
      <c r="J969" s="26"/>
      <c r="Y969" s="96"/>
      <c r="Z969" s="26"/>
      <c r="AA969" s="96"/>
      <c r="AB969" s="26"/>
    </row>
    <row r="970" spans="8:28" x14ac:dyDescent="0.2">
      <c r="H970" s="26"/>
      <c r="I970" s="26"/>
      <c r="J970" s="26"/>
      <c r="Y970" s="96"/>
      <c r="Z970" s="26"/>
      <c r="AA970" s="96"/>
      <c r="AB970" s="26"/>
    </row>
    <row r="971" spans="8:28" x14ac:dyDescent="0.2">
      <c r="H971" s="26"/>
      <c r="I971" s="26"/>
      <c r="J971" s="26"/>
      <c r="Y971" s="96"/>
      <c r="Z971" s="26"/>
      <c r="AA971" s="96"/>
      <c r="AB971" s="26"/>
    </row>
    <row r="972" spans="8:28" x14ac:dyDescent="0.2">
      <c r="H972" s="26"/>
      <c r="I972" s="26"/>
      <c r="J972" s="26"/>
      <c r="Y972" s="96"/>
      <c r="Z972" s="26"/>
      <c r="AA972" s="96"/>
      <c r="AB972" s="26"/>
    </row>
    <row r="973" spans="8:28" x14ac:dyDescent="0.2">
      <c r="H973" s="26"/>
      <c r="I973" s="26"/>
      <c r="J973" s="26"/>
      <c r="Y973" s="96"/>
      <c r="Z973" s="26"/>
      <c r="AA973" s="96"/>
      <c r="AB973" s="26"/>
    </row>
    <row r="974" spans="8:28" x14ac:dyDescent="0.2">
      <c r="H974" s="26"/>
      <c r="I974" s="26"/>
      <c r="J974" s="26"/>
      <c r="Y974" s="96"/>
      <c r="Z974" s="26"/>
      <c r="AA974" s="96"/>
      <c r="AB974" s="26"/>
    </row>
    <row r="975" spans="8:28" x14ac:dyDescent="0.2">
      <c r="H975" s="26"/>
      <c r="I975" s="26"/>
      <c r="J975" s="26"/>
      <c r="Y975" s="96"/>
      <c r="Z975" s="26"/>
      <c r="AA975" s="96"/>
      <c r="AB975" s="26"/>
    </row>
    <row r="976" spans="8:28" x14ac:dyDescent="0.2">
      <c r="H976" s="26"/>
      <c r="I976" s="26"/>
      <c r="J976" s="26"/>
      <c r="Y976" s="96"/>
      <c r="Z976" s="26"/>
      <c r="AA976" s="96"/>
      <c r="AB976" s="26"/>
    </row>
    <row r="977" spans="8:28" x14ac:dyDescent="0.2">
      <c r="H977" s="26"/>
      <c r="I977" s="26"/>
      <c r="J977" s="26"/>
      <c r="Y977" s="96"/>
      <c r="Z977" s="26"/>
      <c r="AA977" s="96"/>
      <c r="AB977" s="26"/>
    </row>
    <row r="978" spans="8:28" x14ac:dyDescent="0.2">
      <c r="H978" s="26"/>
      <c r="I978" s="26"/>
      <c r="J978" s="26"/>
      <c r="Y978" s="96"/>
      <c r="Z978" s="26"/>
      <c r="AA978" s="96"/>
      <c r="AB978" s="26"/>
    </row>
    <row r="979" spans="8:28" x14ac:dyDescent="0.2">
      <c r="H979" s="26"/>
      <c r="I979" s="26"/>
      <c r="J979" s="26"/>
      <c r="Y979" s="96"/>
      <c r="Z979" s="26"/>
      <c r="AA979" s="96"/>
      <c r="AB979" s="26"/>
    </row>
    <row r="980" spans="8:28" x14ac:dyDescent="0.2">
      <c r="H980" s="26"/>
      <c r="I980" s="26"/>
      <c r="J980" s="26"/>
      <c r="Y980" s="96"/>
      <c r="Z980" s="26"/>
      <c r="AA980" s="96"/>
      <c r="AB980" s="26"/>
    </row>
    <row r="981" spans="8:28" x14ac:dyDescent="0.2">
      <c r="H981" s="26"/>
      <c r="I981" s="26"/>
      <c r="J981" s="26"/>
      <c r="Y981" s="96"/>
      <c r="Z981" s="26"/>
      <c r="AA981" s="96"/>
      <c r="AB981" s="26"/>
    </row>
    <row r="982" spans="8:28" x14ac:dyDescent="0.2">
      <c r="H982" s="26"/>
      <c r="I982" s="26"/>
      <c r="J982" s="26"/>
      <c r="Y982" s="96"/>
      <c r="Z982" s="26"/>
      <c r="AA982" s="96"/>
      <c r="AB982" s="26"/>
    </row>
    <row r="983" spans="8:28" x14ac:dyDescent="0.2">
      <c r="H983" s="26"/>
      <c r="I983" s="26"/>
      <c r="J983" s="26"/>
      <c r="Y983" s="96"/>
      <c r="Z983" s="26"/>
      <c r="AA983" s="96"/>
      <c r="AB983" s="26"/>
    </row>
    <row r="984" spans="8:28" x14ac:dyDescent="0.2">
      <c r="H984" s="26"/>
      <c r="I984" s="26"/>
      <c r="J984" s="26"/>
      <c r="Y984" s="96"/>
      <c r="Z984" s="26"/>
      <c r="AA984" s="96"/>
      <c r="AB984" s="26"/>
    </row>
    <row r="985" spans="8:28" x14ac:dyDescent="0.2">
      <c r="H985" s="26"/>
      <c r="I985" s="26"/>
      <c r="J985" s="26"/>
      <c r="Y985" s="96"/>
      <c r="Z985" s="26"/>
      <c r="AA985" s="96"/>
      <c r="AB985" s="26"/>
    </row>
    <row r="986" spans="8:28" x14ac:dyDescent="0.2">
      <c r="H986" s="26"/>
      <c r="I986" s="26"/>
      <c r="J986" s="26"/>
      <c r="Y986" s="96"/>
      <c r="Z986" s="26"/>
      <c r="AA986" s="96"/>
      <c r="AB986" s="26"/>
    </row>
    <row r="987" spans="8:28" x14ac:dyDescent="0.2">
      <c r="H987" s="26"/>
      <c r="I987" s="26"/>
      <c r="J987" s="26"/>
      <c r="Y987" s="96"/>
      <c r="Z987" s="26"/>
      <c r="AA987" s="96"/>
      <c r="AB987" s="26"/>
    </row>
    <row r="988" spans="8:28" x14ac:dyDescent="0.2">
      <c r="H988" s="26"/>
      <c r="I988" s="26"/>
      <c r="J988" s="26"/>
      <c r="Y988" s="96"/>
      <c r="Z988" s="26"/>
      <c r="AA988" s="96"/>
      <c r="AB988" s="26"/>
    </row>
    <row r="989" spans="8:28" x14ac:dyDescent="0.2">
      <c r="H989" s="26"/>
      <c r="I989" s="26"/>
      <c r="J989" s="26"/>
      <c r="Y989" s="96"/>
      <c r="Z989" s="26"/>
      <c r="AA989" s="96"/>
      <c r="AB989" s="26"/>
    </row>
    <row r="990" spans="8:28" x14ac:dyDescent="0.2">
      <c r="H990" s="26"/>
      <c r="I990" s="26"/>
      <c r="J990" s="26"/>
      <c r="Y990" s="96"/>
      <c r="Z990" s="26"/>
      <c r="AA990" s="96"/>
      <c r="AB990" s="26"/>
    </row>
    <row r="991" spans="8:28" x14ac:dyDescent="0.2">
      <c r="H991" s="26"/>
      <c r="I991" s="26"/>
      <c r="J991" s="26"/>
      <c r="Y991" s="96"/>
      <c r="Z991" s="26"/>
      <c r="AA991" s="96"/>
      <c r="AB991" s="26"/>
    </row>
    <row r="992" spans="8:28" x14ac:dyDescent="0.2">
      <c r="H992" s="26"/>
      <c r="I992" s="26"/>
      <c r="J992" s="26"/>
      <c r="Y992" s="96"/>
      <c r="Z992" s="26"/>
      <c r="AA992" s="96"/>
      <c r="AB992" s="26"/>
    </row>
    <row r="993" spans="8:28" x14ac:dyDescent="0.2">
      <c r="H993" s="26"/>
      <c r="I993" s="26"/>
      <c r="J993" s="26"/>
      <c r="Y993" s="96"/>
      <c r="Z993" s="26"/>
      <c r="AA993" s="96"/>
      <c r="AB993" s="26"/>
    </row>
    <row r="994" spans="8:28" x14ac:dyDescent="0.2">
      <c r="H994" s="26"/>
      <c r="I994" s="26"/>
      <c r="J994" s="26"/>
      <c r="Y994" s="96"/>
      <c r="Z994" s="26"/>
      <c r="AA994" s="96"/>
      <c r="AB994" s="26"/>
    </row>
    <row r="995" spans="8:28" x14ac:dyDescent="0.2">
      <c r="H995" s="26"/>
      <c r="I995" s="26"/>
      <c r="J995" s="26"/>
      <c r="Y995" s="96"/>
      <c r="Z995" s="26"/>
      <c r="AA995" s="96"/>
      <c r="AB995" s="26"/>
    </row>
    <row r="996" spans="8:28" x14ac:dyDescent="0.2">
      <c r="H996" s="26"/>
      <c r="I996" s="26"/>
      <c r="J996" s="26"/>
      <c r="Y996" s="96"/>
      <c r="Z996" s="26"/>
      <c r="AA996" s="96"/>
      <c r="AB996" s="26"/>
    </row>
    <row r="997" spans="8:28" x14ac:dyDescent="0.2">
      <c r="H997" s="26"/>
      <c r="I997" s="26"/>
      <c r="J997" s="26"/>
      <c r="Y997" s="96"/>
      <c r="Z997" s="26"/>
      <c r="AA997" s="96"/>
      <c r="AB997" s="26"/>
    </row>
    <row r="998" spans="8:28" x14ac:dyDescent="0.2">
      <c r="H998" s="26"/>
      <c r="I998" s="26"/>
      <c r="J998" s="26"/>
      <c r="Y998" s="96"/>
      <c r="Z998" s="26"/>
      <c r="AA998" s="96"/>
      <c r="AB998" s="26"/>
    </row>
    <row r="999" spans="8:28" x14ac:dyDescent="0.2">
      <c r="H999" s="26"/>
      <c r="I999" s="26"/>
      <c r="J999" s="26"/>
      <c r="Y999" s="96"/>
      <c r="Z999" s="26"/>
      <c r="AA999" s="96"/>
      <c r="AB999" s="26"/>
    </row>
    <row r="1000" spans="8:28" x14ac:dyDescent="0.2">
      <c r="H1000" s="26"/>
      <c r="I1000" s="26"/>
      <c r="J1000" s="26"/>
      <c r="Y1000" s="96"/>
      <c r="Z1000" s="26"/>
      <c r="AA1000" s="96"/>
      <c r="AB1000" s="26"/>
    </row>
    <row r="1001" spans="8:28" x14ac:dyDescent="0.2">
      <c r="H1001" s="26"/>
      <c r="I1001" s="26"/>
      <c r="J1001" s="26"/>
      <c r="Y1001" s="96"/>
      <c r="Z1001" s="26"/>
      <c r="AA1001" s="96"/>
      <c r="AB1001" s="2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V62"/>
  <sheetViews>
    <sheetView workbookViewId="0"/>
  </sheetViews>
  <sheetFormatPr baseColWidth="10" defaultColWidth="12.5703125" defaultRowHeight="15.75" customHeight="1" x14ac:dyDescent="0.2"/>
  <sheetData>
    <row r="1" spans="1:22" x14ac:dyDescent="0.2">
      <c r="A1" s="83" t="s">
        <v>202</v>
      </c>
      <c r="B1" s="83" t="s">
        <v>203</v>
      </c>
      <c r="C1" s="83" t="s">
        <v>204</v>
      </c>
      <c r="D1" s="83" t="s">
        <v>205</v>
      </c>
      <c r="E1" s="83" t="s">
        <v>206</v>
      </c>
      <c r="F1" s="83" t="s">
        <v>5</v>
      </c>
      <c r="G1" s="83" t="s">
        <v>7</v>
      </c>
      <c r="H1" s="83" t="s">
        <v>6</v>
      </c>
      <c r="I1" s="83" t="s">
        <v>207</v>
      </c>
      <c r="J1" s="83" t="s">
        <v>8</v>
      </c>
      <c r="K1" s="83" t="s">
        <v>9</v>
      </c>
      <c r="L1" s="83" t="s">
        <v>208</v>
      </c>
      <c r="M1" s="83" t="s">
        <v>209</v>
      </c>
      <c r="N1" s="83" t="s">
        <v>210</v>
      </c>
      <c r="O1" s="83" t="s">
        <v>211</v>
      </c>
      <c r="P1" s="83" t="s">
        <v>228</v>
      </c>
      <c r="Q1" s="83" t="s">
        <v>229</v>
      </c>
      <c r="R1" s="83" t="s">
        <v>214</v>
      </c>
      <c r="S1" s="83" t="s">
        <v>215</v>
      </c>
      <c r="T1" s="83" t="s">
        <v>216</v>
      </c>
      <c r="U1" s="83" t="s">
        <v>217</v>
      </c>
      <c r="V1" s="83" t="s">
        <v>218</v>
      </c>
    </row>
    <row r="2" spans="1:22" ht="15.75" customHeight="1" x14ac:dyDescent="0.25">
      <c r="A2" s="59">
        <v>47005</v>
      </c>
      <c r="B2" s="59" t="s">
        <v>68</v>
      </c>
      <c r="C2" s="60"/>
      <c r="D2" s="61">
        <v>24</v>
      </c>
      <c r="E2" s="59" t="s">
        <v>219</v>
      </c>
      <c r="F2" s="59" t="s">
        <v>64</v>
      </c>
      <c r="G2" s="59" t="s">
        <v>64</v>
      </c>
      <c r="H2" s="59" t="s">
        <v>66</v>
      </c>
      <c r="I2" s="59" t="s">
        <v>220</v>
      </c>
      <c r="J2" s="63">
        <v>20.53</v>
      </c>
      <c r="K2" s="63">
        <v>492.72</v>
      </c>
      <c r="L2" s="61">
        <v>77</v>
      </c>
      <c r="M2" s="60"/>
      <c r="N2" s="61">
        <v>3.21</v>
      </c>
      <c r="O2" s="63">
        <v>1580.81</v>
      </c>
      <c r="P2" s="61">
        <v>121</v>
      </c>
      <c r="Q2" s="63">
        <v>2484.13</v>
      </c>
      <c r="R2" s="60"/>
      <c r="S2" s="61">
        <v>5</v>
      </c>
      <c r="T2" s="61">
        <v>10</v>
      </c>
      <c r="U2" s="61">
        <v>88</v>
      </c>
      <c r="V2" s="84">
        <v>0.375</v>
      </c>
    </row>
    <row r="3" spans="1:22" ht="15.75" customHeight="1" x14ac:dyDescent="0.25">
      <c r="A3" s="66">
        <v>48067</v>
      </c>
      <c r="B3" s="66" t="s">
        <v>106</v>
      </c>
      <c r="C3" s="68">
        <v>8</v>
      </c>
      <c r="D3" s="68">
        <v>96</v>
      </c>
      <c r="E3" s="66" t="s">
        <v>219</v>
      </c>
      <c r="F3" s="66" t="s">
        <v>64</v>
      </c>
      <c r="G3" s="66" t="s">
        <v>64</v>
      </c>
      <c r="H3" s="66" t="s">
        <v>101</v>
      </c>
      <c r="I3" s="66" t="s">
        <v>222</v>
      </c>
      <c r="J3" s="69">
        <v>4.5599999999999996</v>
      </c>
      <c r="K3" s="69">
        <v>54.72</v>
      </c>
      <c r="L3" s="68">
        <v>228</v>
      </c>
      <c r="M3" s="68">
        <v>28.5</v>
      </c>
      <c r="N3" s="68">
        <v>2.38</v>
      </c>
      <c r="O3" s="69">
        <v>1039.68</v>
      </c>
      <c r="P3" s="68">
        <v>111</v>
      </c>
      <c r="Q3" s="69">
        <v>506.16</v>
      </c>
      <c r="R3" s="68">
        <v>13.9</v>
      </c>
      <c r="S3" s="68">
        <v>1.2</v>
      </c>
      <c r="T3" s="68">
        <v>33</v>
      </c>
      <c r="U3" s="68">
        <v>0</v>
      </c>
      <c r="V3" s="71"/>
    </row>
    <row r="4" spans="1:22" ht="15.75" customHeight="1" x14ac:dyDescent="0.25">
      <c r="A4" s="59">
        <v>48091</v>
      </c>
      <c r="B4" s="59" t="s">
        <v>103</v>
      </c>
      <c r="C4" s="61">
        <v>8</v>
      </c>
      <c r="D4" s="61">
        <v>96</v>
      </c>
      <c r="E4" s="59" t="s">
        <v>219</v>
      </c>
      <c r="F4" s="59" t="s">
        <v>64</v>
      </c>
      <c r="G4" s="59" t="s">
        <v>64</v>
      </c>
      <c r="H4" s="59" t="s">
        <v>101</v>
      </c>
      <c r="I4" s="59" t="s">
        <v>222</v>
      </c>
      <c r="J4" s="63">
        <v>4.5599999999999996</v>
      </c>
      <c r="K4" s="63">
        <v>54.72</v>
      </c>
      <c r="L4" s="61">
        <v>8</v>
      </c>
      <c r="M4" s="61">
        <v>1</v>
      </c>
      <c r="N4" s="61">
        <v>0.08</v>
      </c>
      <c r="O4" s="63">
        <v>36.479999999999997</v>
      </c>
      <c r="P4" s="61">
        <v>109</v>
      </c>
      <c r="Q4" s="63">
        <v>497.04</v>
      </c>
      <c r="R4" s="61">
        <v>13.6</v>
      </c>
      <c r="S4" s="61">
        <v>1.1000000000000001</v>
      </c>
      <c r="T4" s="64">
        <v>1</v>
      </c>
      <c r="U4" s="61">
        <v>0</v>
      </c>
      <c r="V4" s="65"/>
    </row>
    <row r="5" spans="1:22" ht="15.75" customHeight="1" x14ac:dyDescent="0.25">
      <c r="A5" s="66">
        <v>48058</v>
      </c>
      <c r="B5" s="66" t="s">
        <v>116</v>
      </c>
      <c r="C5" s="68">
        <v>8</v>
      </c>
      <c r="D5" s="68">
        <v>96</v>
      </c>
      <c r="E5" s="66" t="s">
        <v>219</v>
      </c>
      <c r="F5" s="66" t="s">
        <v>64</v>
      </c>
      <c r="G5" s="66" t="s">
        <v>64</v>
      </c>
      <c r="H5" s="66" t="s">
        <v>101</v>
      </c>
      <c r="I5" s="66" t="s">
        <v>222</v>
      </c>
      <c r="J5" s="69">
        <v>4.5599999999999996</v>
      </c>
      <c r="K5" s="69">
        <v>54.75</v>
      </c>
      <c r="L5" s="68">
        <v>0</v>
      </c>
      <c r="M5" s="68">
        <v>0</v>
      </c>
      <c r="N5" s="68">
        <v>0</v>
      </c>
      <c r="O5" s="69">
        <v>0</v>
      </c>
      <c r="P5" s="68">
        <v>96</v>
      </c>
      <c r="Q5" s="69">
        <v>438.02</v>
      </c>
      <c r="R5" s="68">
        <v>12</v>
      </c>
      <c r="S5" s="68">
        <v>1</v>
      </c>
      <c r="T5" s="70">
        <v>0</v>
      </c>
      <c r="U5" s="68">
        <v>0</v>
      </c>
      <c r="V5" s="71"/>
    </row>
    <row r="6" spans="1:22" ht="15.75" customHeight="1" x14ac:dyDescent="0.25">
      <c r="A6" s="59">
        <v>47004</v>
      </c>
      <c r="B6" s="59" t="s">
        <v>86</v>
      </c>
      <c r="C6" s="60"/>
      <c r="D6" s="61">
        <v>24</v>
      </c>
      <c r="E6" s="59" t="s">
        <v>219</v>
      </c>
      <c r="F6" s="59" t="s">
        <v>64</v>
      </c>
      <c r="G6" s="59" t="s">
        <v>64</v>
      </c>
      <c r="H6" s="59" t="s">
        <v>66</v>
      </c>
      <c r="I6" s="59" t="s">
        <v>220</v>
      </c>
      <c r="J6" s="63">
        <v>20.53</v>
      </c>
      <c r="K6" s="63">
        <v>492.72</v>
      </c>
      <c r="L6" s="61">
        <v>80</v>
      </c>
      <c r="M6" s="60"/>
      <c r="N6" s="61">
        <v>3.33</v>
      </c>
      <c r="O6" s="63">
        <v>1642.4</v>
      </c>
      <c r="P6" s="61">
        <v>70</v>
      </c>
      <c r="Q6" s="63">
        <v>1437.1</v>
      </c>
      <c r="R6" s="60"/>
      <c r="S6" s="61">
        <v>2.9</v>
      </c>
      <c r="T6" s="61">
        <v>18</v>
      </c>
      <c r="U6" s="61">
        <v>20</v>
      </c>
      <c r="V6" s="84">
        <v>2.5</v>
      </c>
    </row>
    <row r="7" spans="1:22" ht="15.75" customHeight="1" x14ac:dyDescent="0.25">
      <c r="A7" s="66">
        <v>48084</v>
      </c>
      <c r="B7" s="66" t="s">
        <v>100</v>
      </c>
      <c r="C7" s="68">
        <v>8</v>
      </c>
      <c r="D7" s="68">
        <v>96</v>
      </c>
      <c r="E7" s="66" t="s">
        <v>219</v>
      </c>
      <c r="F7" s="66" t="s">
        <v>64</v>
      </c>
      <c r="G7" s="66" t="s">
        <v>64</v>
      </c>
      <c r="H7" s="66" t="s">
        <v>101</v>
      </c>
      <c r="I7" s="66" t="s">
        <v>222</v>
      </c>
      <c r="J7" s="69">
        <v>4.5599999999999996</v>
      </c>
      <c r="K7" s="69">
        <v>54.72</v>
      </c>
      <c r="L7" s="68">
        <v>53</v>
      </c>
      <c r="M7" s="68">
        <v>6.63</v>
      </c>
      <c r="N7" s="68">
        <v>0.55000000000000004</v>
      </c>
      <c r="O7" s="69">
        <v>241.68</v>
      </c>
      <c r="P7" s="68">
        <v>69</v>
      </c>
      <c r="Q7" s="69">
        <v>314.64</v>
      </c>
      <c r="R7" s="68">
        <v>8.6</v>
      </c>
      <c r="S7" s="68">
        <v>0.7</v>
      </c>
      <c r="T7" s="68">
        <v>12</v>
      </c>
      <c r="U7" s="68">
        <v>0</v>
      </c>
      <c r="V7" s="71"/>
    </row>
    <row r="8" spans="1:22" ht="15.75" customHeight="1" x14ac:dyDescent="0.25">
      <c r="A8" s="59">
        <v>47003</v>
      </c>
      <c r="B8" s="59" t="s">
        <v>91</v>
      </c>
      <c r="C8" s="60"/>
      <c r="D8" s="61">
        <v>24</v>
      </c>
      <c r="E8" s="59" t="s">
        <v>219</v>
      </c>
      <c r="F8" s="59" t="s">
        <v>64</v>
      </c>
      <c r="G8" s="59" t="s">
        <v>64</v>
      </c>
      <c r="H8" s="59" t="s">
        <v>66</v>
      </c>
      <c r="I8" s="59" t="s">
        <v>220</v>
      </c>
      <c r="J8" s="63">
        <v>20.53</v>
      </c>
      <c r="K8" s="63">
        <v>492.72</v>
      </c>
      <c r="L8" s="61">
        <v>26</v>
      </c>
      <c r="M8" s="60"/>
      <c r="N8" s="61">
        <v>1.08</v>
      </c>
      <c r="O8" s="63">
        <v>533.78</v>
      </c>
      <c r="P8" s="61">
        <v>61</v>
      </c>
      <c r="Q8" s="63">
        <v>1252.33</v>
      </c>
      <c r="R8" s="60"/>
      <c r="S8" s="61">
        <v>2.5</v>
      </c>
      <c r="T8" s="64">
        <v>7</v>
      </c>
      <c r="U8" s="61">
        <v>52</v>
      </c>
      <c r="V8" s="84">
        <v>0.17299999999999999</v>
      </c>
    </row>
    <row r="9" spans="1:22" ht="15.75" customHeight="1" x14ac:dyDescent="0.25">
      <c r="A9" s="66">
        <v>48081</v>
      </c>
      <c r="B9" s="66" t="s">
        <v>104</v>
      </c>
      <c r="C9" s="68">
        <v>8</v>
      </c>
      <c r="D9" s="68">
        <v>96</v>
      </c>
      <c r="E9" s="66" t="s">
        <v>219</v>
      </c>
      <c r="F9" s="66" t="s">
        <v>64</v>
      </c>
      <c r="G9" s="66" t="s">
        <v>64</v>
      </c>
      <c r="H9" s="66" t="s">
        <v>101</v>
      </c>
      <c r="I9" s="66" t="s">
        <v>222</v>
      </c>
      <c r="J9" s="69">
        <v>4.5599999999999996</v>
      </c>
      <c r="K9" s="69">
        <v>54.75</v>
      </c>
      <c r="L9" s="68">
        <v>30</v>
      </c>
      <c r="M9" s="68">
        <v>3.75</v>
      </c>
      <c r="N9" s="68">
        <v>0.31</v>
      </c>
      <c r="O9" s="69">
        <v>136.88</v>
      </c>
      <c r="P9" s="68">
        <v>59</v>
      </c>
      <c r="Q9" s="69">
        <v>269.2</v>
      </c>
      <c r="R9" s="68">
        <v>7.4</v>
      </c>
      <c r="S9" s="68">
        <v>0.6</v>
      </c>
      <c r="T9" s="68">
        <v>8</v>
      </c>
      <c r="U9" s="68">
        <v>0</v>
      </c>
      <c r="V9" s="71"/>
    </row>
    <row r="10" spans="1:22" ht="15.75" customHeight="1" x14ac:dyDescent="0.25">
      <c r="A10" s="59">
        <v>47001</v>
      </c>
      <c r="B10" s="59" t="s">
        <v>65</v>
      </c>
      <c r="C10" s="60"/>
      <c r="D10" s="61">
        <v>16</v>
      </c>
      <c r="E10" s="59" t="s">
        <v>219</v>
      </c>
      <c r="F10" s="59" t="s">
        <v>64</v>
      </c>
      <c r="G10" s="59" t="s">
        <v>64</v>
      </c>
      <c r="H10" s="59" t="s">
        <v>66</v>
      </c>
      <c r="I10" s="59" t="s">
        <v>220</v>
      </c>
      <c r="J10" s="63">
        <v>52.4</v>
      </c>
      <c r="K10" s="63">
        <v>838.4</v>
      </c>
      <c r="L10" s="61">
        <v>529</v>
      </c>
      <c r="M10" s="60"/>
      <c r="N10" s="61">
        <v>33.06</v>
      </c>
      <c r="O10" s="63">
        <v>27719.599999999999</v>
      </c>
      <c r="P10" s="61">
        <v>51</v>
      </c>
      <c r="Q10" s="63">
        <v>2672.4</v>
      </c>
      <c r="R10" s="60"/>
      <c r="S10" s="61">
        <v>3.2</v>
      </c>
      <c r="T10" s="73">
        <v>166</v>
      </c>
      <c r="U10" s="61">
        <v>101</v>
      </c>
      <c r="V10" s="85">
        <v>-0.495</v>
      </c>
    </row>
    <row r="11" spans="1:22" ht="15.75" customHeight="1" x14ac:dyDescent="0.25">
      <c r="A11" s="66">
        <v>47002</v>
      </c>
      <c r="B11" s="66" t="s">
        <v>89</v>
      </c>
      <c r="C11" s="67"/>
      <c r="D11" s="68">
        <v>24</v>
      </c>
      <c r="E11" s="66" t="s">
        <v>219</v>
      </c>
      <c r="F11" s="66" t="s">
        <v>64</v>
      </c>
      <c r="G11" s="66" t="s">
        <v>64</v>
      </c>
      <c r="H11" s="66" t="s">
        <v>66</v>
      </c>
      <c r="I11" s="66" t="s">
        <v>220</v>
      </c>
      <c r="J11" s="69">
        <v>20.53</v>
      </c>
      <c r="K11" s="69">
        <v>492.72</v>
      </c>
      <c r="L11" s="68">
        <v>2</v>
      </c>
      <c r="M11" s="67"/>
      <c r="N11" s="68">
        <v>0.08</v>
      </c>
      <c r="O11" s="69">
        <v>41.06</v>
      </c>
      <c r="P11" s="68">
        <v>50</v>
      </c>
      <c r="Q11" s="69">
        <v>1026.5</v>
      </c>
      <c r="R11" s="67"/>
      <c r="S11" s="68">
        <v>2.1</v>
      </c>
      <c r="T11" s="70">
        <v>1</v>
      </c>
      <c r="U11" s="68">
        <v>53</v>
      </c>
      <c r="V11" s="86">
        <v>-5.7000000000000002E-2</v>
      </c>
    </row>
    <row r="12" spans="1:22" ht="15.75" customHeight="1" x14ac:dyDescent="0.25">
      <c r="A12" s="59">
        <v>47000</v>
      </c>
      <c r="B12" s="59" t="s">
        <v>85</v>
      </c>
      <c r="C12" s="60"/>
      <c r="D12" s="61">
        <v>16</v>
      </c>
      <c r="E12" s="59" t="s">
        <v>219</v>
      </c>
      <c r="F12" s="59" t="s">
        <v>64</v>
      </c>
      <c r="G12" s="59" t="s">
        <v>64</v>
      </c>
      <c r="H12" s="59" t="s">
        <v>66</v>
      </c>
      <c r="I12" s="59" t="s">
        <v>220</v>
      </c>
      <c r="J12" s="63">
        <v>52.4</v>
      </c>
      <c r="K12" s="63">
        <v>838.4</v>
      </c>
      <c r="L12" s="61">
        <v>60</v>
      </c>
      <c r="M12" s="60"/>
      <c r="N12" s="61">
        <v>3.75</v>
      </c>
      <c r="O12" s="63">
        <v>3144</v>
      </c>
      <c r="P12" s="61">
        <v>42</v>
      </c>
      <c r="Q12" s="63">
        <v>2200.8000000000002</v>
      </c>
      <c r="R12" s="60"/>
      <c r="S12" s="61">
        <v>2.6</v>
      </c>
      <c r="T12" s="61">
        <v>23</v>
      </c>
      <c r="U12" s="61">
        <v>32</v>
      </c>
      <c r="V12" s="84">
        <v>0.313</v>
      </c>
    </row>
    <row r="13" spans="1:22" ht="15.75" customHeight="1" x14ac:dyDescent="0.25">
      <c r="A13" s="66">
        <v>47023</v>
      </c>
      <c r="B13" s="66" t="s">
        <v>76</v>
      </c>
      <c r="C13" s="67"/>
      <c r="D13" s="68">
        <v>8</v>
      </c>
      <c r="E13" s="66" t="s">
        <v>219</v>
      </c>
      <c r="F13" s="66" t="s">
        <v>64</v>
      </c>
      <c r="G13" s="66" t="s">
        <v>64</v>
      </c>
      <c r="H13" s="66" t="s">
        <v>66</v>
      </c>
      <c r="I13" s="66" t="s">
        <v>220</v>
      </c>
      <c r="J13" s="69">
        <v>97.73</v>
      </c>
      <c r="K13" s="69">
        <v>781.85</v>
      </c>
      <c r="L13" s="68">
        <v>80</v>
      </c>
      <c r="M13" s="67"/>
      <c r="N13" s="68">
        <v>10</v>
      </c>
      <c r="O13" s="69">
        <v>7818.52</v>
      </c>
      <c r="P13" s="68">
        <v>40</v>
      </c>
      <c r="Q13" s="69">
        <v>3909.26</v>
      </c>
      <c r="R13" s="67"/>
      <c r="S13" s="68">
        <v>5</v>
      </c>
      <c r="T13" s="68">
        <v>32</v>
      </c>
      <c r="U13" s="68">
        <v>15</v>
      </c>
      <c r="V13" s="87">
        <v>1.667</v>
      </c>
    </row>
    <row r="14" spans="1:22" ht="15.75" customHeight="1" x14ac:dyDescent="0.25">
      <c r="A14" s="59">
        <v>48068</v>
      </c>
      <c r="B14" s="59" t="s">
        <v>109</v>
      </c>
      <c r="C14" s="61">
        <v>8</v>
      </c>
      <c r="D14" s="61">
        <v>96</v>
      </c>
      <c r="E14" s="59" t="s">
        <v>219</v>
      </c>
      <c r="F14" s="59" t="s">
        <v>64</v>
      </c>
      <c r="G14" s="59" t="s">
        <v>64</v>
      </c>
      <c r="H14" s="59" t="s">
        <v>101</v>
      </c>
      <c r="I14" s="59" t="s">
        <v>222</v>
      </c>
      <c r="J14" s="63">
        <v>4.5599999999999996</v>
      </c>
      <c r="K14" s="63">
        <v>54.72</v>
      </c>
      <c r="L14" s="61">
        <v>32</v>
      </c>
      <c r="M14" s="61">
        <v>4</v>
      </c>
      <c r="N14" s="61">
        <v>0.33</v>
      </c>
      <c r="O14" s="63">
        <v>145.91999999999999</v>
      </c>
      <c r="P14" s="61">
        <v>40</v>
      </c>
      <c r="Q14" s="63">
        <v>182.4</v>
      </c>
      <c r="R14" s="61">
        <v>5</v>
      </c>
      <c r="S14" s="61">
        <v>0.4</v>
      </c>
      <c r="T14" s="61">
        <v>13</v>
      </c>
      <c r="U14" s="61">
        <v>0</v>
      </c>
      <c r="V14" s="65"/>
    </row>
    <row r="15" spans="1:22" ht="15.75" customHeight="1" x14ac:dyDescent="0.25">
      <c r="A15" s="66">
        <v>48085</v>
      </c>
      <c r="B15" s="66" t="s">
        <v>105</v>
      </c>
      <c r="C15" s="68">
        <v>8</v>
      </c>
      <c r="D15" s="68">
        <v>96</v>
      </c>
      <c r="E15" s="66" t="s">
        <v>219</v>
      </c>
      <c r="F15" s="66" t="s">
        <v>64</v>
      </c>
      <c r="G15" s="66" t="s">
        <v>64</v>
      </c>
      <c r="H15" s="66" t="s">
        <v>101</v>
      </c>
      <c r="I15" s="66" t="s">
        <v>222</v>
      </c>
      <c r="J15" s="69">
        <v>4.5599999999999996</v>
      </c>
      <c r="K15" s="69">
        <v>54.72</v>
      </c>
      <c r="L15" s="68">
        <v>0</v>
      </c>
      <c r="M15" s="68">
        <v>0</v>
      </c>
      <c r="N15" s="68">
        <v>0</v>
      </c>
      <c r="O15" s="69">
        <v>0</v>
      </c>
      <c r="P15" s="68">
        <v>40</v>
      </c>
      <c r="Q15" s="69">
        <v>182.4</v>
      </c>
      <c r="R15" s="68">
        <v>5</v>
      </c>
      <c r="S15" s="68">
        <v>0.4</v>
      </c>
      <c r="T15" s="70">
        <v>0</v>
      </c>
      <c r="U15" s="68">
        <v>0</v>
      </c>
      <c r="V15" s="71"/>
    </row>
    <row r="16" spans="1:22" ht="15.75" customHeight="1" x14ac:dyDescent="0.25">
      <c r="A16" s="59">
        <v>48063</v>
      </c>
      <c r="B16" s="59" t="s">
        <v>118</v>
      </c>
      <c r="C16" s="61">
        <v>8</v>
      </c>
      <c r="D16" s="61">
        <v>96</v>
      </c>
      <c r="E16" s="59" t="s">
        <v>219</v>
      </c>
      <c r="F16" s="59" t="s">
        <v>64</v>
      </c>
      <c r="G16" s="59" t="s">
        <v>64</v>
      </c>
      <c r="H16" s="59" t="s">
        <v>101</v>
      </c>
      <c r="I16" s="59" t="s">
        <v>222</v>
      </c>
      <c r="J16" s="63">
        <v>4.5599999999999996</v>
      </c>
      <c r="K16" s="63">
        <v>54.72</v>
      </c>
      <c r="L16" s="61">
        <v>44</v>
      </c>
      <c r="M16" s="61">
        <v>5.5</v>
      </c>
      <c r="N16" s="61">
        <v>0.46</v>
      </c>
      <c r="O16" s="63">
        <v>200.64</v>
      </c>
      <c r="P16" s="61">
        <v>36</v>
      </c>
      <c r="Q16" s="63">
        <v>164.16</v>
      </c>
      <c r="R16" s="61">
        <v>4.5</v>
      </c>
      <c r="S16" s="61">
        <v>0.4</v>
      </c>
      <c r="T16" s="61">
        <v>20</v>
      </c>
      <c r="U16" s="61">
        <v>0</v>
      </c>
      <c r="V16" s="65"/>
    </row>
    <row r="17" spans="1:22" ht="15.75" customHeight="1" x14ac:dyDescent="0.25">
      <c r="A17" s="66">
        <v>47012</v>
      </c>
      <c r="B17" s="66" t="s">
        <v>74</v>
      </c>
      <c r="C17" s="67"/>
      <c r="D17" s="68">
        <v>18</v>
      </c>
      <c r="E17" s="66" t="s">
        <v>219</v>
      </c>
      <c r="F17" s="66" t="s">
        <v>64</v>
      </c>
      <c r="G17" s="66" t="s">
        <v>64</v>
      </c>
      <c r="H17" s="66" t="s">
        <v>66</v>
      </c>
      <c r="I17" s="66" t="s">
        <v>220</v>
      </c>
      <c r="J17" s="69">
        <v>54.48</v>
      </c>
      <c r="K17" s="69">
        <v>980.64</v>
      </c>
      <c r="L17" s="68">
        <v>265</v>
      </c>
      <c r="M17" s="67"/>
      <c r="N17" s="68">
        <v>14.72</v>
      </c>
      <c r="O17" s="69">
        <v>14437.2</v>
      </c>
      <c r="P17" s="68">
        <v>36</v>
      </c>
      <c r="Q17" s="69">
        <v>1961.28</v>
      </c>
      <c r="R17" s="67"/>
      <c r="S17" s="68">
        <v>2</v>
      </c>
      <c r="T17" s="68">
        <v>118</v>
      </c>
      <c r="U17" s="68">
        <v>44</v>
      </c>
      <c r="V17" s="86">
        <v>-0.182</v>
      </c>
    </row>
    <row r="18" spans="1:22" ht="15.75" customHeight="1" x14ac:dyDescent="0.25">
      <c r="A18" s="59">
        <v>47008</v>
      </c>
      <c r="B18" s="59" t="s">
        <v>93</v>
      </c>
      <c r="C18" s="60"/>
      <c r="D18" s="61">
        <v>24</v>
      </c>
      <c r="E18" s="59" t="s">
        <v>219</v>
      </c>
      <c r="F18" s="59" t="s">
        <v>64</v>
      </c>
      <c r="G18" s="59" t="s">
        <v>64</v>
      </c>
      <c r="H18" s="59" t="s">
        <v>66</v>
      </c>
      <c r="I18" s="59" t="s">
        <v>220</v>
      </c>
      <c r="J18" s="63">
        <v>35.74</v>
      </c>
      <c r="K18" s="63">
        <v>857.76</v>
      </c>
      <c r="L18" s="61">
        <v>287</v>
      </c>
      <c r="M18" s="60"/>
      <c r="N18" s="61">
        <v>11.96</v>
      </c>
      <c r="O18" s="63">
        <v>10257.379999999999</v>
      </c>
      <c r="P18" s="61">
        <v>35</v>
      </c>
      <c r="Q18" s="63">
        <v>1250.9000000000001</v>
      </c>
      <c r="R18" s="60"/>
      <c r="S18" s="61">
        <v>1.5</v>
      </c>
      <c r="T18" s="73">
        <v>131</v>
      </c>
      <c r="U18" s="61">
        <v>32</v>
      </c>
      <c r="V18" s="84">
        <v>9.4E-2</v>
      </c>
    </row>
    <row r="19" spans="1:22" ht="15.75" customHeight="1" x14ac:dyDescent="0.25">
      <c r="A19" s="66">
        <v>47010</v>
      </c>
      <c r="B19" s="66" t="s">
        <v>71</v>
      </c>
      <c r="C19" s="67"/>
      <c r="D19" s="68">
        <v>24</v>
      </c>
      <c r="E19" s="66" t="s">
        <v>219</v>
      </c>
      <c r="F19" s="66" t="s">
        <v>64</v>
      </c>
      <c r="G19" s="66" t="s">
        <v>64</v>
      </c>
      <c r="H19" s="66" t="s">
        <v>66</v>
      </c>
      <c r="I19" s="66" t="s">
        <v>220</v>
      </c>
      <c r="J19" s="69">
        <v>44.96</v>
      </c>
      <c r="K19" s="69">
        <v>1079.04</v>
      </c>
      <c r="L19" s="68">
        <v>565</v>
      </c>
      <c r="M19" s="67"/>
      <c r="N19" s="68">
        <v>23.54</v>
      </c>
      <c r="O19" s="69">
        <v>25402.400000000001</v>
      </c>
      <c r="P19" s="68">
        <v>28</v>
      </c>
      <c r="Q19" s="69">
        <v>1258.8800000000001</v>
      </c>
      <c r="R19" s="67"/>
      <c r="S19" s="68">
        <v>1.2</v>
      </c>
      <c r="T19" s="72">
        <v>323</v>
      </c>
      <c r="U19" s="68">
        <v>58</v>
      </c>
      <c r="V19" s="86">
        <v>-0.51700000000000002</v>
      </c>
    </row>
    <row r="20" spans="1:22" ht="15.75" customHeight="1" x14ac:dyDescent="0.25">
      <c r="A20" s="59">
        <v>47038</v>
      </c>
      <c r="B20" s="59" t="s">
        <v>90</v>
      </c>
      <c r="C20" s="60"/>
      <c r="D20" s="61">
        <v>28</v>
      </c>
      <c r="E20" s="59" t="s">
        <v>219</v>
      </c>
      <c r="F20" s="59" t="s">
        <v>64</v>
      </c>
      <c r="G20" s="59" t="s">
        <v>64</v>
      </c>
      <c r="H20" s="59" t="s">
        <v>66</v>
      </c>
      <c r="I20" s="59" t="s">
        <v>220</v>
      </c>
      <c r="J20" s="63">
        <v>24.62</v>
      </c>
      <c r="K20" s="63">
        <v>689.36</v>
      </c>
      <c r="L20" s="61">
        <v>277</v>
      </c>
      <c r="M20" s="60"/>
      <c r="N20" s="61">
        <v>9.89</v>
      </c>
      <c r="O20" s="63">
        <v>6819.74</v>
      </c>
      <c r="P20" s="61">
        <v>26</v>
      </c>
      <c r="Q20" s="63">
        <v>640.12</v>
      </c>
      <c r="R20" s="60"/>
      <c r="S20" s="61">
        <v>0.9</v>
      </c>
      <c r="T20" s="73">
        <v>170</v>
      </c>
      <c r="U20" s="61">
        <v>12</v>
      </c>
      <c r="V20" s="84">
        <v>1.167</v>
      </c>
    </row>
    <row r="21" spans="1:22" ht="15.75" customHeight="1" x14ac:dyDescent="0.25">
      <c r="A21" s="66">
        <v>47039</v>
      </c>
      <c r="B21" s="66" t="s">
        <v>79</v>
      </c>
      <c r="C21" s="67"/>
      <c r="D21" s="68">
        <v>24</v>
      </c>
      <c r="E21" s="66" t="s">
        <v>219</v>
      </c>
      <c r="F21" s="66" t="s">
        <v>64</v>
      </c>
      <c r="G21" s="66" t="s">
        <v>64</v>
      </c>
      <c r="H21" s="66" t="s">
        <v>66</v>
      </c>
      <c r="I21" s="66" t="s">
        <v>220</v>
      </c>
      <c r="J21" s="69">
        <v>52.26</v>
      </c>
      <c r="K21" s="69">
        <v>1254.22</v>
      </c>
      <c r="L21" s="68">
        <v>326</v>
      </c>
      <c r="M21" s="67"/>
      <c r="N21" s="68">
        <v>13.58</v>
      </c>
      <c r="O21" s="69">
        <v>17036.5</v>
      </c>
      <c r="P21" s="68">
        <v>22</v>
      </c>
      <c r="Q21" s="69">
        <v>1149.7</v>
      </c>
      <c r="R21" s="67"/>
      <c r="S21" s="68">
        <v>0.9</v>
      </c>
      <c r="T21" s="72">
        <v>237</v>
      </c>
      <c r="U21" s="68">
        <v>26</v>
      </c>
      <c r="V21" s="86">
        <v>-0.154</v>
      </c>
    </row>
    <row r="22" spans="1:22" ht="15.75" customHeight="1" x14ac:dyDescent="0.25">
      <c r="A22" s="59">
        <v>47046</v>
      </c>
      <c r="B22" s="59" t="s">
        <v>78</v>
      </c>
      <c r="C22" s="60"/>
      <c r="D22" s="61">
        <v>24</v>
      </c>
      <c r="E22" s="59" t="s">
        <v>219</v>
      </c>
      <c r="F22" s="59" t="s">
        <v>64</v>
      </c>
      <c r="G22" s="59" t="s">
        <v>64</v>
      </c>
      <c r="H22" s="59" t="s">
        <v>66</v>
      </c>
      <c r="I22" s="59" t="s">
        <v>220</v>
      </c>
      <c r="J22" s="63">
        <v>36.21</v>
      </c>
      <c r="K22" s="63">
        <v>869.04</v>
      </c>
      <c r="L22" s="61">
        <v>109</v>
      </c>
      <c r="M22" s="60"/>
      <c r="N22" s="61">
        <v>4.54</v>
      </c>
      <c r="O22" s="63">
        <v>3946.89</v>
      </c>
      <c r="P22" s="61">
        <v>20</v>
      </c>
      <c r="Q22" s="63">
        <v>724.2</v>
      </c>
      <c r="R22" s="60"/>
      <c r="S22" s="61">
        <v>0.8</v>
      </c>
      <c r="T22" s="61">
        <v>87</v>
      </c>
      <c r="U22" s="61">
        <v>32</v>
      </c>
      <c r="V22" s="85">
        <v>-0.375</v>
      </c>
    </row>
    <row r="23" spans="1:22" ht="15.75" customHeight="1" x14ac:dyDescent="0.25">
      <c r="A23" s="66">
        <v>47054</v>
      </c>
      <c r="B23" s="66" t="s">
        <v>230</v>
      </c>
      <c r="C23" s="67"/>
      <c r="D23" s="68">
        <v>1</v>
      </c>
      <c r="E23" s="66" t="s">
        <v>197</v>
      </c>
      <c r="F23" s="66" t="s">
        <v>64</v>
      </c>
      <c r="G23" s="66" t="s">
        <v>64</v>
      </c>
      <c r="H23" s="67"/>
      <c r="I23" s="66" t="s">
        <v>223</v>
      </c>
      <c r="J23" s="69">
        <v>30.25</v>
      </c>
      <c r="K23" s="69">
        <v>30.25</v>
      </c>
      <c r="L23" s="68">
        <v>41</v>
      </c>
      <c r="M23" s="68">
        <v>41</v>
      </c>
      <c r="N23" s="67"/>
      <c r="O23" s="69">
        <v>1240.0899999999999</v>
      </c>
      <c r="P23" s="68">
        <v>13</v>
      </c>
      <c r="Q23" s="69">
        <v>393.2</v>
      </c>
      <c r="R23" s="68">
        <v>13</v>
      </c>
      <c r="S23" s="67"/>
      <c r="T23" s="68">
        <v>50</v>
      </c>
      <c r="U23" s="68">
        <v>0</v>
      </c>
      <c r="V23" s="71"/>
    </row>
    <row r="24" spans="1:22" ht="15.75" customHeight="1" x14ac:dyDescent="0.25">
      <c r="A24" s="59">
        <v>47055</v>
      </c>
      <c r="B24" s="59" t="s">
        <v>231</v>
      </c>
      <c r="C24" s="60"/>
      <c r="D24" s="61">
        <v>1</v>
      </c>
      <c r="E24" s="59" t="s">
        <v>197</v>
      </c>
      <c r="F24" s="59" t="s">
        <v>64</v>
      </c>
      <c r="G24" s="59" t="s">
        <v>64</v>
      </c>
      <c r="H24" s="60"/>
      <c r="I24" s="59" t="s">
        <v>223</v>
      </c>
      <c r="J24" s="63">
        <v>30.25</v>
      </c>
      <c r="K24" s="63">
        <v>30.25</v>
      </c>
      <c r="L24" s="61">
        <v>64</v>
      </c>
      <c r="M24" s="61">
        <v>64</v>
      </c>
      <c r="N24" s="60"/>
      <c r="O24" s="63">
        <v>1935.75</v>
      </c>
      <c r="P24" s="61">
        <v>8</v>
      </c>
      <c r="Q24" s="63">
        <v>241.97</v>
      </c>
      <c r="R24" s="61">
        <v>8</v>
      </c>
      <c r="S24" s="60"/>
      <c r="T24" s="73">
        <v>128</v>
      </c>
      <c r="U24" s="61">
        <v>0</v>
      </c>
      <c r="V24" s="65"/>
    </row>
    <row r="25" spans="1:22" ht="15.75" customHeight="1" x14ac:dyDescent="0.25">
      <c r="A25" s="66">
        <v>48082</v>
      </c>
      <c r="B25" s="66" t="s">
        <v>114</v>
      </c>
      <c r="C25" s="68">
        <v>8</v>
      </c>
      <c r="D25" s="68">
        <v>96</v>
      </c>
      <c r="E25" s="66" t="s">
        <v>219</v>
      </c>
      <c r="F25" s="66" t="s">
        <v>64</v>
      </c>
      <c r="G25" s="66" t="s">
        <v>64</v>
      </c>
      <c r="H25" s="66" t="s">
        <v>101</v>
      </c>
      <c r="I25" s="66" t="s">
        <v>222</v>
      </c>
      <c r="J25" s="69">
        <v>47.95</v>
      </c>
      <c r="K25" s="69">
        <v>575.35</v>
      </c>
      <c r="L25" s="68">
        <v>0</v>
      </c>
      <c r="M25" s="68">
        <v>0</v>
      </c>
      <c r="N25" s="68">
        <v>0</v>
      </c>
      <c r="O25" s="69">
        <v>0</v>
      </c>
      <c r="P25" s="68">
        <v>8</v>
      </c>
      <c r="Q25" s="69">
        <v>383.57</v>
      </c>
      <c r="R25" s="68">
        <v>1</v>
      </c>
      <c r="S25" s="68">
        <v>0.1</v>
      </c>
      <c r="T25" s="70">
        <v>0</v>
      </c>
      <c r="U25" s="68">
        <v>0</v>
      </c>
      <c r="V25" s="71"/>
    </row>
    <row r="26" spans="1:22" ht="15.75" customHeight="1" x14ac:dyDescent="0.25">
      <c r="A26" s="59">
        <v>47024</v>
      </c>
      <c r="B26" s="59" t="s">
        <v>88</v>
      </c>
      <c r="C26" s="60"/>
      <c r="D26" s="61">
        <v>12</v>
      </c>
      <c r="E26" s="59" t="s">
        <v>219</v>
      </c>
      <c r="F26" s="59" t="s">
        <v>64</v>
      </c>
      <c r="G26" s="59" t="s">
        <v>64</v>
      </c>
      <c r="H26" s="59" t="s">
        <v>66</v>
      </c>
      <c r="I26" s="59" t="s">
        <v>222</v>
      </c>
      <c r="J26" s="63">
        <v>125.36</v>
      </c>
      <c r="K26" s="63">
        <v>1504.32</v>
      </c>
      <c r="L26" s="61">
        <v>42</v>
      </c>
      <c r="M26" s="60"/>
      <c r="N26" s="61">
        <v>3.5</v>
      </c>
      <c r="O26" s="63">
        <v>5265.12</v>
      </c>
      <c r="P26" s="61">
        <v>5</v>
      </c>
      <c r="Q26" s="63">
        <v>626.79999999999995</v>
      </c>
      <c r="R26" s="60"/>
      <c r="S26" s="61">
        <v>0.4</v>
      </c>
      <c r="T26" s="73">
        <v>134</v>
      </c>
      <c r="U26" s="61">
        <v>3</v>
      </c>
      <c r="V26" s="84">
        <v>0.66700000000000004</v>
      </c>
    </row>
    <row r="27" spans="1:22" ht="15.75" customHeight="1" x14ac:dyDescent="0.25">
      <c r="A27" s="66">
        <v>47053</v>
      </c>
      <c r="B27" s="66" t="s">
        <v>200</v>
      </c>
      <c r="C27" s="67"/>
      <c r="D27" s="68">
        <v>18</v>
      </c>
      <c r="E27" s="66" t="s">
        <v>197</v>
      </c>
      <c r="F27" s="66" t="s">
        <v>64</v>
      </c>
      <c r="G27" s="66" t="s">
        <v>64</v>
      </c>
      <c r="H27" s="67"/>
      <c r="I27" s="66" t="s">
        <v>223</v>
      </c>
      <c r="J27" s="69">
        <v>34.659999999999997</v>
      </c>
      <c r="K27" s="69">
        <v>34.659999999999997</v>
      </c>
      <c r="L27" s="68">
        <v>20</v>
      </c>
      <c r="M27" s="68">
        <v>20</v>
      </c>
      <c r="N27" s="67"/>
      <c r="O27" s="69">
        <v>693.2</v>
      </c>
      <c r="P27" s="68">
        <v>4</v>
      </c>
      <c r="Q27" s="69">
        <v>138.63999999999999</v>
      </c>
      <c r="R27" s="68">
        <v>4</v>
      </c>
      <c r="S27" s="67"/>
      <c r="T27" s="68">
        <v>80</v>
      </c>
      <c r="U27" s="68">
        <v>3</v>
      </c>
      <c r="V27" s="87">
        <v>0.33300000000000002</v>
      </c>
    </row>
    <row r="28" spans="1:22" ht="15.75" customHeight="1" x14ac:dyDescent="0.25">
      <c r="A28" s="59">
        <v>47029</v>
      </c>
      <c r="B28" s="59" t="s">
        <v>94</v>
      </c>
      <c r="C28" s="60"/>
      <c r="D28" s="61">
        <v>24</v>
      </c>
      <c r="E28" s="59" t="s">
        <v>219</v>
      </c>
      <c r="F28" s="59" t="s">
        <v>64</v>
      </c>
      <c r="G28" s="59" t="s">
        <v>64</v>
      </c>
      <c r="H28" s="59" t="s">
        <v>66</v>
      </c>
      <c r="I28" s="59" t="s">
        <v>220</v>
      </c>
      <c r="J28" s="63">
        <v>41.26</v>
      </c>
      <c r="K28" s="63">
        <v>990.24</v>
      </c>
      <c r="L28" s="61">
        <v>123</v>
      </c>
      <c r="M28" s="60"/>
      <c r="N28" s="61">
        <v>5.13</v>
      </c>
      <c r="O28" s="63">
        <v>5074.9799999999996</v>
      </c>
      <c r="P28" s="61">
        <v>3</v>
      </c>
      <c r="Q28" s="63">
        <v>123.78</v>
      </c>
      <c r="R28" s="60"/>
      <c r="S28" s="61">
        <v>0.1</v>
      </c>
      <c r="T28" s="73">
        <v>656</v>
      </c>
      <c r="U28" s="61">
        <v>18</v>
      </c>
      <c r="V28" s="85">
        <v>-0.83299999999999996</v>
      </c>
    </row>
    <row r="29" spans="1:22" ht="15.75" customHeight="1" x14ac:dyDescent="0.25">
      <c r="A29" s="66">
        <v>47017</v>
      </c>
      <c r="B29" s="66" t="s">
        <v>175</v>
      </c>
      <c r="C29" s="67"/>
      <c r="D29" s="68">
        <v>24</v>
      </c>
      <c r="E29" s="66" t="s">
        <v>219</v>
      </c>
      <c r="F29" s="66" t="s">
        <v>64</v>
      </c>
      <c r="G29" s="66" t="s">
        <v>64</v>
      </c>
      <c r="H29" s="66" t="s">
        <v>66</v>
      </c>
      <c r="I29" s="66" t="s">
        <v>222</v>
      </c>
      <c r="J29" s="69">
        <v>48.83</v>
      </c>
      <c r="K29" s="69">
        <v>1171.92</v>
      </c>
      <c r="L29" s="68">
        <v>32</v>
      </c>
      <c r="M29" s="67"/>
      <c r="N29" s="68">
        <v>1.33</v>
      </c>
      <c r="O29" s="69">
        <v>1562.56</v>
      </c>
      <c r="P29" s="68">
        <v>3</v>
      </c>
      <c r="Q29" s="69">
        <v>146.49</v>
      </c>
      <c r="R29" s="67"/>
      <c r="S29" s="68">
        <v>0.1</v>
      </c>
      <c r="T29" s="72">
        <v>171</v>
      </c>
      <c r="U29" s="68">
        <v>12</v>
      </c>
      <c r="V29" s="86">
        <v>-0.75</v>
      </c>
    </row>
    <row r="30" spans="1:22" ht="15.75" customHeight="1" x14ac:dyDescent="0.25">
      <c r="A30" s="59">
        <v>47027</v>
      </c>
      <c r="B30" s="59" t="s">
        <v>95</v>
      </c>
      <c r="C30" s="60"/>
      <c r="D30" s="61">
        <v>16</v>
      </c>
      <c r="E30" s="59" t="s">
        <v>219</v>
      </c>
      <c r="F30" s="59" t="s">
        <v>64</v>
      </c>
      <c r="G30" s="59" t="s">
        <v>64</v>
      </c>
      <c r="H30" s="59" t="s">
        <v>67</v>
      </c>
      <c r="I30" s="59" t="s">
        <v>222</v>
      </c>
      <c r="J30" s="63">
        <v>54.5</v>
      </c>
      <c r="K30" s="63">
        <v>871.92</v>
      </c>
      <c r="L30" s="61">
        <v>0</v>
      </c>
      <c r="M30" s="60"/>
      <c r="N30" s="61">
        <v>0</v>
      </c>
      <c r="O30" s="63">
        <v>0</v>
      </c>
      <c r="P30" s="61">
        <v>3</v>
      </c>
      <c r="Q30" s="63">
        <v>163.47999999999999</v>
      </c>
      <c r="R30" s="60"/>
      <c r="S30" s="61">
        <v>0.2</v>
      </c>
      <c r="T30" s="64">
        <v>0</v>
      </c>
      <c r="U30" s="61">
        <v>12</v>
      </c>
      <c r="V30" s="85">
        <v>-0.75</v>
      </c>
    </row>
    <row r="31" spans="1:22" ht="15.75" customHeight="1" x14ac:dyDescent="0.25">
      <c r="A31" s="66">
        <v>47051</v>
      </c>
      <c r="B31" s="66" t="s">
        <v>199</v>
      </c>
      <c r="C31" s="67"/>
      <c r="D31" s="68">
        <v>18</v>
      </c>
      <c r="E31" s="66" t="s">
        <v>197</v>
      </c>
      <c r="F31" s="66" t="s">
        <v>64</v>
      </c>
      <c r="G31" s="66" t="s">
        <v>64</v>
      </c>
      <c r="H31" s="67"/>
      <c r="I31" s="66" t="s">
        <v>222</v>
      </c>
      <c r="J31" s="69">
        <v>34.659999999999997</v>
      </c>
      <c r="K31" s="69">
        <v>34.659999999999997</v>
      </c>
      <c r="L31" s="68">
        <v>15</v>
      </c>
      <c r="M31" s="68">
        <v>15</v>
      </c>
      <c r="N31" s="67"/>
      <c r="O31" s="69">
        <v>519.9</v>
      </c>
      <c r="P31" s="68">
        <v>3</v>
      </c>
      <c r="Q31" s="69">
        <v>103.98</v>
      </c>
      <c r="R31" s="68">
        <v>3</v>
      </c>
      <c r="S31" s="67"/>
      <c r="T31" s="68">
        <v>80</v>
      </c>
      <c r="U31" s="68">
        <v>2</v>
      </c>
      <c r="V31" s="87">
        <v>0.5</v>
      </c>
    </row>
    <row r="32" spans="1:22" ht="15.75" customHeight="1" x14ac:dyDescent="0.25">
      <c r="A32" s="59">
        <v>47019</v>
      </c>
      <c r="B32" s="59" t="s">
        <v>123</v>
      </c>
      <c r="C32" s="60"/>
      <c r="D32" s="61">
        <v>8</v>
      </c>
      <c r="E32" s="59" t="s">
        <v>219</v>
      </c>
      <c r="F32" s="59" t="s">
        <v>64</v>
      </c>
      <c r="G32" s="59" t="s">
        <v>64</v>
      </c>
      <c r="H32" s="59" t="s">
        <v>66</v>
      </c>
      <c r="I32" s="59" t="s">
        <v>223</v>
      </c>
      <c r="J32" s="63">
        <v>152.41</v>
      </c>
      <c r="K32" s="63">
        <v>1219.27</v>
      </c>
      <c r="L32" s="61">
        <v>20</v>
      </c>
      <c r="M32" s="60"/>
      <c r="N32" s="61">
        <v>2.5</v>
      </c>
      <c r="O32" s="63">
        <v>3048.18</v>
      </c>
      <c r="P32" s="61">
        <v>1</v>
      </c>
      <c r="Q32" s="63">
        <v>152.41</v>
      </c>
      <c r="R32" s="60"/>
      <c r="S32" s="61">
        <v>0.1</v>
      </c>
      <c r="T32" s="73">
        <v>320</v>
      </c>
      <c r="U32" s="61">
        <v>0</v>
      </c>
      <c r="V32" s="65"/>
    </row>
    <row r="33" spans="1:22" ht="15.75" customHeight="1" x14ac:dyDescent="0.25">
      <c r="A33" s="66">
        <v>515</v>
      </c>
      <c r="B33" s="66" t="s">
        <v>152</v>
      </c>
      <c r="C33" s="67"/>
      <c r="D33" s="68">
        <v>96</v>
      </c>
      <c r="E33" s="66" t="s">
        <v>219</v>
      </c>
      <c r="F33" s="67"/>
      <c r="G33" s="66" t="s">
        <v>64</v>
      </c>
      <c r="H33" s="66" t="s">
        <v>101</v>
      </c>
      <c r="I33" s="67"/>
      <c r="J33" s="69">
        <v>6.87</v>
      </c>
      <c r="K33" s="69">
        <v>659.04</v>
      </c>
      <c r="L33" s="68">
        <v>0</v>
      </c>
      <c r="M33" s="67"/>
      <c r="N33" s="68">
        <v>0</v>
      </c>
      <c r="O33" s="69">
        <v>0</v>
      </c>
      <c r="P33" s="68">
        <v>0</v>
      </c>
      <c r="Q33" s="69">
        <v>0</v>
      </c>
      <c r="R33" s="67"/>
      <c r="S33" s="68">
        <v>0</v>
      </c>
      <c r="T33" s="88"/>
      <c r="U33" s="68">
        <v>0</v>
      </c>
      <c r="V33" s="71"/>
    </row>
    <row r="34" spans="1:22" ht="15.75" customHeight="1" x14ac:dyDescent="0.25">
      <c r="A34" s="59">
        <v>48029</v>
      </c>
      <c r="B34" s="59" t="s">
        <v>111</v>
      </c>
      <c r="C34" s="61">
        <v>8</v>
      </c>
      <c r="D34" s="61">
        <v>96</v>
      </c>
      <c r="E34" s="59" t="s">
        <v>219</v>
      </c>
      <c r="F34" s="59" t="s">
        <v>64</v>
      </c>
      <c r="G34" s="59" t="s">
        <v>64</v>
      </c>
      <c r="H34" s="59" t="s">
        <v>101</v>
      </c>
      <c r="I34" s="59" t="s">
        <v>222</v>
      </c>
      <c r="J34" s="63">
        <v>5.45</v>
      </c>
      <c r="K34" s="63">
        <v>65.400000000000006</v>
      </c>
      <c r="L34" s="61">
        <v>0</v>
      </c>
      <c r="M34" s="61">
        <v>0</v>
      </c>
      <c r="N34" s="61">
        <v>0</v>
      </c>
      <c r="O34" s="63">
        <v>0</v>
      </c>
      <c r="P34" s="61">
        <v>0</v>
      </c>
      <c r="Q34" s="63">
        <v>0</v>
      </c>
      <c r="R34" s="61">
        <v>0</v>
      </c>
      <c r="S34" s="61">
        <v>0</v>
      </c>
      <c r="T34" s="89"/>
      <c r="U34" s="61">
        <v>0</v>
      </c>
      <c r="V34" s="65"/>
    </row>
    <row r="35" spans="1:22" ht="15.75" customHeight="1" x14ac:dyDescent="0.25">
      <c r="A35" s="66">
        <v>48066</v>
      </c>
      <c r="B35" s="66" t="s">
        <v>129</v>
      </c>
      <c r="C35" s="68">
        <v>8</v>
      </c>
      <c r="D35" s="68">
        <v>96</v>
      </c>
      <c r="E35" s="66" t="s">
        <v>219</v>
      </c>
      <c r="F35" s="66" t="s">
        <v>64</v>
      </c>
      <c r="G35" s="66" t="s">
        <v>64</v>
      </c>
      <c r="H35" s="66" t="s">
        <v>101</v>
      </c>
      <c r="I35" s="66" t="s">
        <v>223</v>
      </c>
      <c r="J35" s="69">
        <v>4.58</v>
      </c>
      <c r="K35" s="69">
        <v>54.96</v>
      </c>
      <c r="L35" s="68">
        <v>0</v>
      </c>
      <c r="M35" s="68">
        <v>0</v>
      </c>
      <c r="N35" s="68">
        <v>0</v>
      </c>
      <c r="O35" s="69">
        <v>0</v>
      </c>
      <c r="P35" s="68">
        <v>0</v>
      </c>
      <c r="Q35" s="69">
        <v>0</v>
      </c>
      <c r="R35" s="68">
        <v>0</v>
      </c>
      <c r="S35" s="68">
        <v>0</v>
      </c>
      <c r="T35" s="88"/>
      <c r="U35" s="68">
        <v>0</v>
      </c>
      <c r="V35" s="71"/>
    </row>
    <row r="36" spans="1:22" ht="15.75" customHeight="1" x14ac:dyDescent="0.25">
      <c r="A36" s="59">
        <v>48069</v>
      </c>
      <c r="B36" s="59" t="s">
        <v>110</v>
      </c>
      <c r="C36" s="61">
        <v>8</v>
      </c>
      <c r="D36" s="61">
        <v>96</v>
      </c>
      <c r="E36" s="59" t="s">
        <v>219</v>
      </c>
      <c r="F36" s="59" t="s">
        <v>64</v>
      </c>
      <c r="G36" s="59" t="s">
        <v>64</v>
      </c>
      <c r="H36" s="59" t="s">
        <v>101</v>
      </c>
      <c r="I36" s="59" t="s">
        <v>222</v>
      </c>
      <c r="J36" s="63">
        <v>6.04</v>
      </c>
      <c r="K36" s="63">
        <v>72.430000000000007</v>
      </c>
      <c r="L36" s="61">
        <v>0</v>
      </c>
      <c r="M36" s="61">
        <v>0</v>
      </c>
      <c r="N36" s="61">
        <v>0</v>
      </c>
      <c r="O36" s="63">
        <v>0</v>
      </c>
      <c r="P36" s="61">
        <v>0</v>
      </c>
      <c r="Q36" s="63">
        <v>0</v>
      </c>
      <c r="R36" s="61">
        <v>0</v>
      </c>
      <c r="S36" s="61">
        <v>0</v>
      </c>
      <c r="T36" s="89"/>
      <c r="U36" s="61">
        <v>0</v>
      </c>
      <c r="V36" s="65"/>
    </row>
    <row r="37" spans="1:22" ht="15.75" customHeight="1" x14ac:dyDescent="0.25">
      <c r="A37" s="66">
        <v>47210</v>
      </c>
      <c r="B37" s="66" t="s">
        <v>127</v>
      </c>
      <c r="C37" s="67"/>
      <c r="D37" s="68">
        <v>12</v>
      </c>
      <c r="E37" s="66" t="s">
        <v>219</v>
      </c>
      <c r="F37" s="66" t="s">
        <v>64</v>
      </c>
      <c r="G37" s="66" t="s">
        <v>64</v>
      </c>
      <c r="H37" s="66" t="s">
        <v>66</v>
      </c>
      <c r="I37" s="66" t="s">
        <v>223</v>
      </c>
      <c r="J37" s="69">
        <v>49.12</v>
      </c>
      <c r="K37" s="69">
        <v>589.44000000000005</v>
      </c>
      <c r="L37" s="68">
        <v>0</v>
      </c>
      <c r="M37" s="67"/>
      <c r="N37" s="68">
        <v>0</v>
      </c>
      <c r="O37" s="69">
        <v>0</v>
      </c>
      <c r="P37" s="68">
        <v>0</v>
      </c>
      <c r="Q37" s="69">
        <v>0</v>
      </c>
      <c r="R37" s="67"/>
      <c r="S37" s="68">
        <v>0</v>
      </c>
      <c r="T37" s="88"/>
      <c r="U37" s="68">
        <v>0</v>
      </c>
      <c r="V37" s="71"/>
    </row>
    <row r="38" spans="1:22" ht="15" x14ac:dyDescent="0.25">
      <c r="A38" s="59">
        <v>501</v>
      </c>
      <c r="B38" s="59" t="s">
        <v>145</v>
      </c>
      <c r="C38" s="60"/>
      <c r="D38" s="61">
        <v>96</v>
      </c>
      <c r="E38" s="59" t="s">
        <v>219</v>
      </c>
      <c r="F38" s="60"/>
      <c r="G38" s="59" t="s">
        <v>64</v>
      </c>
      <c r="H38" s="59" t="s">
        <v>101</v>
      </c>
      <c r="I38" s="60"/>
      <c r="J38" s="63">
        <v>6.87</v>
      </c>
      <c r="K38" s="63">
        <v>659.04</v>
      </c>
      <c r="L38" s="61">
        <v>0</v>
      </c>
      <c r="M38" s="60"/>
      <c r="N38" s="61">
        <v>0</v>
      </c>
      <c r="O38" s="63">
        <v>0</v>
      </c>
      <c r="P38" s="61">
        <v>0</v>
      </c>
      <c r="Q38" s="63">
        <v>0</v>
      </c>
      <c r="R38" s="60"/>
      <c r="S38" s="61">
        <v>0</v>
      </c>
      <c r="T38" s="89"/>
      <c r="U38" s="61">
        <v>0</v>
      </c>
      <c r="V38" s="65"/>
    </row>
    <row r="39" spans="1:22" ht="15" x14ac:dyDescent="0.25">
      <c r="A39" s="66">
        <v>47026</v>
      </c>
      <c r="B39" s="66" t="s">
        <v>120</v>
      </c>
      <c r="C39" s="67"/>
      <c r="D39" s="68">
        <v>12</v>
      </c>
      <c r="E39" s="66" t="s">
        <v>219</v>
      </c>
      <c r="F39" s="66" t="s">
        <v>64</v>
      </c>
      <c r="G39" s="66" t="s">
        <v>64</v>
      </c>
      <c r="H39" s="66" t="s">
        <v>67</v>
      </c>
      <c r="I39" s="66" t="s">
        <v>223</v>
      </c>
      <c r="J39" s="69">
        <v>49.53</v>
      </c>
      <c r="K39" s="69">
        <v>594.37</v>
      </c>
      <c r="L39" s="68">
        <v>0</v>
      </c>
      <c r="M39" s="67"/>
      <c r="N39" s="68">
        <v>0</v>
      </c>
      <c r="O39" s="69">
        <v>0</v>
      </c>
      <c r="P39" s="68">
        <v>0</v>
      </c>
      <c r="Q39" s="69">
        <v>0</v>
      </c>
      <c r="R39" s="67"/>
      <c r="S39" s="68">
        <v>0</v>
      </c>
      <c r="T39" s="88"/>
      <c r="U39" s="68">
        <v>0</v>
      </c>
      <c r="V39" s="71"/>
    </row>
    <row r="40" spans="1:22" ht="15" x14ac:dyDescent="0.25">
      <c r="A40" s="59">
        <v>48049</v>
      </c>
      <c r="B40" s="59" t="s">
        <v>124</v>
      </c>
      <c r="C40" s="61">
        <v>8</v>
      </c>
      <c r="D40" s="61">
        <v>96</v>
      </c>
      <c r="E40" s="59" t="s">
        <v>219</v>
      </c>
      <c r="F40" s="59" t="s">
        <v>64</v>
      </c>
      <c r="G40" s="59" t="s">
        <v>64</v>
      </c>
      <c r="H40" s="59" t="s">
        <v>101</v>
      </c>
      <c r="I40" s="59" t="s">
        <v>223</v>
      </c>
      <c r="J40" s="63">
        <v>3.25</v>
      </c>
      <c r="K40" s="63">
        <v>39</v>
      </c>
      <c r="L40" s="61">
        <v>0</v>
      </c>
      <c r="M40" s="61">
        <v>0</v>
      </c>
      <c r="N40" s="61">
        <v>0</v>
      </c>
      <c r="O40" s="63">
        <v>0</v>
      </c>
      <c r="P40" s="61">
        <v>0</v>
      </c>
      <c r="Q40" s="63">
        <v>0</v>
      </c>
      <c r="R40" s="61">
        <v>0</v>
      </c>
      <c r="S40" s="61">
        <v>0</v>
      </c>
      <c r="T40" s="89"/>
      <c r="U40" s="61">
        <v>0</v>
      </c>
      <c r="V40" s="65"/>
    </row>
    <row r="41" spans="1:22" ht="15" x14ac:dyDescent="0.25">
      <c r="A41" s="66">
        <v>48080</v>
      </c>
      <c r="B41" s="66" t="s">
        <v>122</v>
      </c>
      <c r="C41" s="68">
        <v>8</v>
      </c>
      <c r="D41" s="68">
        <v>96</v>
      </c>
      <c r="E41" s="66" t="s">
        <v>219</v>
      </c>
      <c r="F41" s="66" t="s">
        <v>64</v>
      </c>
      <c r="G41" s="66" t="s">
        <v>64</v>
      </c>
      <c r="H41" s="66" t="s">
        <v>101</v>
      </c>
      <c r="I41" s="66" t="s">
        <v>223</v>
      </c>
      <c r="J41" s="69">
        <v>4.59</v>
      </c>
      <c r="K41" s="69">
        <v>55.02</v>
      </c>
      <c r="L41" s="68">
        <v>0</v>
      </c>
      <c r="M41" s="68">
        <v>0</v>
      </c>
      <c r="N41" s="68">
        <v>0</v>
      </c>
      <c r="O41" s="69">
        <v>0</v>
      </c>
      <c r="P41" s="68">
        <v>0</v>
      </c>
      <c r="Q41" s="69">
        <v>0</v>
      </c>
      <c r="R41" s="68">
        <v>0</v>
      </c>
      <c r="S41" s="68">
        <v>0</v>
      </c>
      <c r="T41" s="88"/>
      <c r="U41" s="68">
        <v>0</v>
      </c>
      <c r="V41" s="71"/>
    </row>
    <row r="42" spans="1:22" ht="15" x14ac:dyDescent="0.25">
      <c r="A42" s="59">
        <v>48044</v>
      </c>
      <c r="B42" s="59" t="s">
        <v>121</v>
      </c>
      <c r="C42" s="61">
        <v>8</v>
      </c>
      <c r="D42" s="61">
        <v>96</v>
      </c>
      <c r="E42" s="59" t="s">
        <v>219</v>
      </c>
      <c r="F42" s="59" t="s">
        <v>64</v>
      </c>
      <c r="G42" s="59" t="s">
        <v>64</v>
      </c>
      <c r="H42" s="59" t="s">
        <v>101</v>
      </c>
      <c r="I42" s="59" t="s">
        <v>222</v>
      </c>
      <c r="J42" s="63">
        <v>5.92</v>
      </c>
      <c r="K42" s="63">
        <v>71.040000000000006</v>
      </c>
      <c r="L42" s="61">
        <v>0</v>
      </c>
      <c r="M42" s="61">
        <v>0</v>
      </c>
      <c r="N42" s="61">
        <v>0</v>
      </c>
      <c r="O42" s="63">
        <v>0</v>
      </c>
      <c r="P42" s="61">
        <v>0</v>
      </c>
      <c r="Q42" s="63">
        <v>0</v>
      </c>
      <c r="R42" s="61">
        <v>0</v>
      </c>
      <c r="S42" s="61">
        <v>0</v>
      </c>
      <c r="T42" s="89"/>
      <c r="U42" s="61">
        <v>0</v>
      </c>
      <c r="V42" s="65"/>
    </row>
    <row r="43" spans="1:22" ht="15" x14ac:dyDescent="0.25">
      <c r="A43" s="66">
        <v>564</v>
      </c>
      <c r="B43" s="66" t="s">
        <v>136</v>
      </c>
      <c r="C43" s="67"/>
      <c r="D43" s="68">
        <v>96</v>
      </c>
      <c r="E43" s="66" t="s">
        <v>219</v>
      </c>
      <c r="F43" s="67"/>
      <c r="G43" s="66" t="s">
        <v>64</v>
      </c>
      <c r="H43" s="66" t="s">
        <v>101</v>
      </c>
      <c r="I43" s="67"/>
      <c r="J43" s="69">
        <v>6.87</v>
      </c>
      <c r="K43" s="69">
        <v>659.04</v>
      </c>
      <c r="L43" s="68">
        <v>0</v>
      </c>
      <c r="M43" s="67"/>
      <c r="N43" s="68">
        <v>0</v>
      </c>
      <c r="O43" s="69">
        <v>0</v>
      </c>
      <c r="P43" s="68">
        <v>0</v>
      </c>
      <c r="Q43" s="69">
        <v>0</v>
      </c>
      <c r="R43" s="67"/>
      <c r="S43" s="68">
        <v>0</v>
      </c>
      <c r="T43" s="88"/>
      <c r="U43" s="68">
        <v>0</v>
      </c>
      <c r="V43" s="71"/>
    </row>
    <row r="44" spans="1:22" ht="15" x14ac:dyDescent="0.25">
      <c r="A44" s="59">
        <v>48056</v>
      </c>
      <c r="B44" s="59" t="s">
        <v>134</v>
      </c>
      <c r="C44" s="61">
        <v>8</v>
      </c>
      <c r="D44" s="61">
        <v>96</v>
      </c>
      <c r="E44" s="59" t="s">
        <v>219</v>
      </c>
      <c r="F44" s="59" t="s">
        <v>64</v>
      </c>
      <c r="G44" s="59" t="s">
        <v>64</v>
      </c>
      <c r="H44" s="59" t="s">
        <v>101</v>
      </c>
      <c r="I44" s="60"/>
      <c r="J44" s="63">
        <v>3.92</v>
      </c>
      <c r="K44" s="63">
        <v>46.98</v>
      </c>
      <c r="L44" s="61">
        <v>0</v>
      </c>
      <c r="M44" s="61">
        <v>0</v>
      </c>
      <c r="N44" s="61">
        <v>0</v>
      </c>
      <c r="O44" s="63">
        <v>0</v>
      </c>
      <c r="P44" s="61">
        <v>0</v>
      </c>
      <c r="Q44" s="63">
        <v>0</v>
      </c>
      <c r="R44" s="61">
        <v>0</v>
      </c>
      <c r="S44" s="61">
        <v>0</v>
      </c>
      <c r="T44" s="89"/>
      <c r="U44" s="61">
        <v>0</v>
      </c>
      <c r="V44" s="65"/>
    </row>
    <row r="45" spans="1:22" ht="15" x14ac:dyDescent="0.25">
      <c r="A45" s="66">
        <v>567</v>
      </c>
      <c r="B45" s="66" t="s">
        <v>135</v>
      </c>
      <c r="C45" s="67"/>
      <c r="D45" s="68">
        <v>96</v>
      </c>
      <c r="E45" s="66" t="s">
        <v>219</v>
      </c>
      <c r="F45" s="67"/>
      <c r="G45" s="66" t="s">
        <v>64</v>
      </c>
      <c r="H45" s="66" t="s">
        <v>101</v>
      </c>
      <c r="I45" s="67"/>
      <c r="J45" s="69">
        <v>6.87</v>
      </c>
      <c r="K45" s="69">
        <v>659.04</v>
      </c>
      <c r="L45" s="68">
        <v>0</v>
      </c>
      <c r="M45" s="67"/>
      <c r="N45" s="68">
        <v>0</v>
      </c>
      <c r="O45" s="69">
        <v>0</v>
      </c>
      <c r="P45" s="68">
        <v>0</v>
      </c>
      <c r="Q45" s="69">
        <v>0</v>
      </c>
      <c r="R45" s="67"/>
      <c r="S45" s="68">
        <v>0</v>
      </c>
      <c r="T45" s="88"/>
      <c r="U45" s="68">
        <v>0</v>
      </c>
      <c r="V45" s="71"/>
    </row>
    <row r="46" spans="1:22" ht="15" x14ac:dyDescent="0.25">
      <c r="A46" s="59">
        <v>526</v>
      </c>
      <c r="B46" s="59" t="s">
        <v>144</v>
      </c>
      <c r="C46" s="60"/>
      <c r="D46" s="61">
        <v>96</v>
      </c>
      <c r="E46" s="59" t="s">
        <v>219</v>
      </c>
      <c r="F46" s="60"/>
      <c r="G46" s="59" t="s">
        <v>64</v>
      </c>
      <c r="H46" s="59" t="s">
        <v>101</v>
      </c>
      <c r="I46" s="60"/>
      <c r="J46" s="63">
        <v>6.87</v>
      </c>
      <c r="K46" s="63">
        <v>659.04</v>
      </c>
      <c r="L46" s="61">
        <v>0</v>
      </c>
      <c r="M46" s="60"/>
      <c r="N46" s="61">
        <v>0</v>
      </c>
      <c r="O46" s="63">
        <v>0</v>
      </c>
      <c r="P46" s="61">
        <v>0</v>
      </c>
      <c r="Q46" s="63">
        <v>0</v>
      </c>
      <c r="R46" s="60"/>
      <c r="S46" s="61">
        <v>0</v>
      </c>
      <c r="T46" s="89"/>
      <c r="U46" s="61">
        <v>0</v>
      </c>
      <c r="V46" s="65"/>
    </row>
    <row r="47" spans="1:22" ht="15" x14ac:dyDescent="0.25">
      <c r="A47" s="66">
        <v>47036</v>
      </c>
      <c r="B47" s="66" t="s">
        <v>117</v>
      </c>
      <c r="C47" s="67"/>
      <c r="D47" s="68">
        <v>24</v>
      </c>
      <c r="E47" s="66" t="s">
        <v>219</v>
      </c>
      <c r="F47" s="66" t="s">
        <v>64</v>
      </c>
      <c r="G47" s="66" t="s">
        <v>64</v>
      </c>
      <c r="H47" s="66" t="s">
        <v>66</v>
      </c>
      <c r="I47" s="66" t="s">
        <v>223</v>
      </c>
      <c r="J47" s="69">
        <v>37.619999999999997</v>
      </c>
      <c r="K47" s="69">
        <v>902.88</v>
      </c>
      <c r="L47" s="68">
        <v>0</v>
      </c>
      <c r="M47" s="67"/>
      <c r="N47" s="68">
        <v>0</v>
      </c>
      <c r="O47" s="69">
        <v>0</v>
      </c>
      <c r="P47" s="68">
        <v>0</v>
      </c>
      <c r="Q47" s="69">
        <v>0</v>
      </c>
      <c r="R47" s="67"/>
      <c r="S47" s="68">
        <v>0</v>
      </c>
      <c r="T47" s="88"/>
      <c r="U47" s="68">
        <v>0</v>
      </c>
      <c r="V47" s="71"/>
    </row>
    <row r="48" spans="1:22" ht="15" x14ac:dyDescent="0.25">
      <c r="A48" s="59">
        <v>48055</v>
      </c>
      <c r="B48" s="59" t="s">
        <v>119</v>
      </c>
      <c r="C48" s="61">
        <v>8</v>
      </c>
      <c r="D48" s="61">
        <v>96</v>
      </c>
      <c r="E48" s="59" t="s">
        <v>219</v>
      </c>
      <c r="F48" s="59" t="s">
        <v>64</v>
      </c>
      <c r="G48" s="59" t="s">
        <v>64</v>
      </c>
      <c r="H48" s="59" t="s">
        <v>101</v>
      </c>
      <c r="I48" s="59" t="s">
        <v>222</v>
      </c>
      <c r="J48" s="63">
        <v>5.92</v>
      </c>
      <c r="K48" s="63">
        <v>71.040000000000006</v>
      </c>
      <c r="L48" s="61">
        <v>0</v>
      </c>
      <c r="M48" s="61">
        <v>0</v>
      </c>
      <c r="N48" s="61">
        <v>0</v>
      </c>
      <c r="O48" s="63">
        <v>0</v>
      </c>
      <c r="P48" s="61">
        <v>0</v>
      </c>
      <c r="Q48" s="63">
        <v>0</v>
      </c>
      <c r="R48" s="61">
        <v>0</v>
      </c>
      <c r="S48" s="61">
        <v>0</v>
      </c>
      <c r="T48" s="89"/>
      <c r="U48" s="61">
        <v>0</v>
      </c>
      <c r="V48" s="65"/>
    </row>
    <row r="49" spans="1:22" ht="15" x14ac:dyDescent="0.25">
      <c r="A49" s="66">
        <v>10703</v>
      </c>
      <c r="B49" s="66" t="s">
        <v>82</v>
      </c>
      <c r="C49" s="67"/>
      <c r="D49" s="68">
        <v>12</v>
      </c>
      <c r="E49" s="66" t="s">
        <v>219</v>
      </c>
      <c r="F49" s="66" t="s">
        <v>64</v>
      </c>
      <c r="G49" s="66" t="s">
        <v>64</v>
      </c>
      <c r="H49" s="66" t="s">
        <v>84</v>
      </c>
      <c r="I49" s="66" t="s">
        <v>222</v>
      </c>
      <c r="J49" s="69">
        <v>133.74</v>
      </c>
      <c r="K49" s="69">
        <v>1604.93</v>
      </c>
      <c r="L49" s="68">
        <v>36</v>
      </c>
      <c r="M49" s="67"/>
      <c r="N49" s="68">
        <v>3</v>
      </c>
      <c r="O49" s="69">
        <v>4814.79</v>
      </c>
      <c r="P49" s="68">
        <v>0</v>
      </c>
      <c r="Q49" s="69">
        <v>0</v>
      </c>
      <c r="R49" s="67"/>
      <c r="S49" s="68">
        <v>0</v>
      </c>
      <c r="T49" s="88"/>
      <c r="U49" s="68">
        <v>0</v>
      </c>
      <c r="V49" s="71"/>
    </row>
    <row r="50" spans="1:22" ht="15" x14ac:dyDescent="0.25">
      <c r="A50" s="59">
        <v>519</v>
      </c>
      <c r="B50" s="59" t="s">
        <v>143</v>
      </c>
      <c r="C50" s="60"/>
      <c r="D50" s="61">
        <v>96</v>
      </c>
      <c r="E50" s="59" t="s">
        <v>219</v>
      </c>
      <c r="F50" s="60"/>
      <c r="G50" s="59" t="s">
        <v>64</v>
      </c>
      <c r="H50" s="59" t="s">
        <v>101</v>
      </c>
      <c r="I50" s="60"/>
      <c r="J50" s="63">
        <v>6.87</v>
      </c>
      <c r="K50" s="63">
        <v>659.04</v>
      </c>
      <c r="L50" s="61">
        <v>0</v>
      </c>
      <c r="M50" s="60"/>
      <c r="N50" s="61">
        <v>0</v>
      </c>
      <c r="O50" s="63">
        <v>0</v>
      </c>
      <c r="P50" s="61">
        <v>0</v>
      </c>
      <c r="Q50" s="63">
        <v>0</v>
      </c>
      <c r="R50" s="60"/>
      <c r="S50" s="61">
        <v>0</v>
      </c>
      <c r="T50" s="89"/>
      <c r="U50" s="61">
        <v>0</v>
      </c>
      <c r="V50" s="65"/>
    </row>
    <row r="51" spans="1:22" ht="15" x14ac:dyDescent="0.25">
      <c r="A51" s="66">
        <v>514</v>
      </c>
      <c r="B51" s="66" t="s">
        <v>147</v>
      </c>
      <c r="C51" s="67"/>
      <c r="D51" s="68">
        <v>96</v>
      </c>
      <c r="E51" s="66" t="s">
        <v>219</v>
      </c>
      <c r="F51" s="67"/>
      <c r="G51" s="66" t="s">
        <v>64</v>
      </c>
      <c r="H51" s="66" t="s">
        <v>101</v>
      </c>
      <c r="I51" s="67"/>
      <c r="J51" s="69">
        <v>6.87</v>
      </c>
      <c r="K51" s="69">
        <v>659.04</v>
      </c>
      <c r="L51" s="68">
        <v>0</v>
      </c>
      <c r="M51" s="67"/>
      <c r="N51" s="68">
        <v>0</v>
      </c>
      <c r="O51" s="69">
        <v>0</v>
      </c>
      <c r="P51" s="68">
        <v>0</v>
      </c>
      <c r="Q51" s="69">
        <v>0</v>
      </c>
      <c r="R51" s="67"/>
      <c r="S51" s="68">
        <v>0</v>
      </c>
      <c r="T51" s="88"/>
      <c r="U51" s="68">
        <v>0</v>
      </c>
      <c r="V51" s="71"/>
    </row>
    <row r="52" spans="1:22" ht="15" x14ac:dyDescent="0.25">
      <c r="A52" s="59">
        <v>565</v>
      </c>
      <c r="B52" s="59" t="s">
        <v>137</v>
      </c>
      <c r="C52" s="60"/>
      <c r="D52" s="61">
        <v>96</v>
      </c>
      <c r="E52" s="59" t="s">
        <v>219</v>
      </c>
      <c r="F52" s="60"/>
      <c r="G52" s="59" t="s">
        <v>64</v>
      </c>
      <c r="H52" s="59" t="s">
        <v>101</v>
      </c>
      <c r="I52" s="60"/>
      <c r="J52" s="63">
        <v>6.87</v>
      </c>
      <c r="K52" s="63">
        <v>659.04</v>
      </c>
      <c r="L52" s="61">
        <v>0</v>
      </c>
      <c r="M52" s="60"/>
      <c r="N52" s="61">
        <v>0</v>
      </c>
      <c r="O52" s="63">
        <v>0</v>
      </c>
      <c r="P52" s="61">
        <v>0</v>
      </c>
      <c r="Q52" s="63">
        <v>0</v>
      </c>
      <c r="R52" s="60"/>
      <c r="S52" s="61">
        <v>0</v>
      </c>
      <c r="T52" s="89"/>
      <c r="U52" s="61">
        <v>0</v>
      </c>
      <c r="V52" s="65"/>
    </row>
    <row r="53" spans="1:22" ht="15" x14ac:dyDescent="0.25">
      <c r="A53" s="66">
        <v>47014</v>
      </c>
      <c r="B53" s="66" t="s">
        <v>97</v>
      </c>
      <c r="C53" s="67"/>
      <c r="D53" s="68">
        <v>24</v>
      </c>
      <c r="E53" s="66" t="s">
        <v>219</v>
      </c>
      <c r="F53" s="66" t="s">
        <v>64</v>
      </c>
      <c r="G53" s="66" t="s">
        <v>64</v>
      </c>
      <c r="H53" s="66" t="s">
        <v>66</v>
      </c>
      <c r="I53" s="66" t="s">
        <v>222</v>
      </c>
      <c r="J53" s="69">
        <v>44.19</v>
      </c>
      <c r="K53" s="69">
        <v>1060.45</v>
      </c>
      <c r="L53" s="68">
        <v>0</v>
      </c>
      <c r="M53" s="67"/>
      <c r="N53" s="68">
        <v>0</v>
      </c>
      <c r="O53" s="69">
        <v>0</v>
      </c>
      <c r="P53" s="68">
        <v>0</v>
      </c>
      <c r="Q53" s="69">
        <v>0</v>
      </c>
      <c r="R53" s="67"/>
      <c r="S53" s="68">
        <v>0</v>
      </c>
      <c r="T53" s="88"/>
      <c r="U53" s="68">
        <v>0</v>
      </c>
      <c r="V53" s="71"/>
    </row>
    <row r="54" spans="1:22" ht="15" x14ac:dyDescent="0.25">
      <c r="A54" s="59">
        <v>506</v>
      </c>
      <c r="B54" s="59" t="s">
        <v>139</v>
      </c>
      <c r="C54" s="60"/>
      <c r="D54" s="61">
        <v>96</v>
      </c>
      <c r="E54" s="59" t="s">
        <v>219</v>
      </c>
      <c r="F54" s="60"/>
      <c r="G54" s="59" t="s">
        <v>64</v>
      </c>
      <c r="H54" s="59" t="s">
        <v>101</v>
      </c>
      <c r="I54" s="60"/>
      <c r="J54" s="63">
        <v>6.87</v>
      </c>
      <c r="K54" s="63">
        <v>659.04</v>
      </c>
      <c r="L54" s="61">
        <v>0</v>
      </c>
      <c r="M54" s="60"/>
      <c r="N54" s="61">
        <v>0</v>
      </c>
      <c r="O54" s="63">
        <v>0</v>
      </c>
      <c r="P54" s="61">
        <v>0</v>
      </c>
      <c r="Q54" s="63">
        <v>0</v>
      </c>
      <c r="R54" s="60"/>
      <c r="S54" s="61">
        <v>0</v>
      </c>
      <c r="T54" s="89"/>
      <c r="U54" s="61">
        <v>0</v>
      </c>
      <c r="V54" s="65"/>
    </row>
    <row r="55" spans="1:22" ht="15" x14ac:dyDescent="0.25">
      <c r="A55" s="66">
        <v>504</v>
      </c>
      <c r="B55" s="66" t="s">
        <v>138</v>
      </c>
      <c r="C55" s="67"/>
      <c r="D55" s="68">
        <v>96</v>
      </c>
      <c r="E55" s="66" t="s">
        <v>219</v>
      </c>
      <c r="F55" s="67"/>
      <c r="G55" s="66" t="s">
        <v>64</v>
      </c>
      <c r="H55" s="66" t="s">
        <v>101</v>
      </c>
      <c r="I55" s="67"/>
      <c r="J55" s="69">
        <v>6.87</v>
      </c>
      <c r="K55" s="69">
        <v>659.04</v>
      </c>
      <c r="L55" s="68">
        <v>0</v>
      </c>
      <c r="M55" s="67"/>
      <c r="N55" s="68">
        <v>0</v>
      </c>
      <c r="O55" s="69">
        <v>0</v>
      </c>
      <c r="P55" s="68">
        <v>0</v>
      </c>
      <c r="Q55" s="69">
        <v>0</v>
      </c>
      <c r="R55" s="67"/>
      <c r="S55" s="68">
        <v>0</v>
      </c>
      <c r="T55" s="88"/>
      <c r="U55" s="68">
        <v>0</v>
      </c>
      <c r="V55" s="71"/>
    </row>
    <row r="56" spans="1:22" ht="15" x14ac:dyDescent="0.25">
      <c r="A56" s="59">
        <v>562</v>
      </c>
      <c r="B56" s="59" t="s">
        <v>131</v>
      </c>
      <c r="C56" s="60"/>
      <c r="D56" s="61">
        <v>96</v>
      </c>
      <c r="E56" s="59" t="s">
        <v>219</v>
      </c>
      <c r="F56" s="60"/>
      <c r="G56" s="59" t="s">
        <v>64</v>
      </c>
      <c r="H56" s="59" t="s">
        <v>101</v>
      </c>
      <c r="I56" s="60"/>
      <c r="J56" s="63">
        <v>6.87</v>
      </c>
      <c r="K56" s="63">
        <v>659.04</v>
      </c>
      <c r="L56" s="61">
        <v>0</v>
      </c>
      <c r="M56" s="60"/>
      <c r="N56" s="61">
        <v>0</v>
      </c>
      <c r="O56" s="63">
        <v>0</v>
      </c>
      <c r="P56" s="61">
        <v>0</v>
      </c>
      <c r="Q56" s="63">
        <v>0</v>
      </c>
      <c r="R56" s="60"/>
      <c r="S56" s="61">
        <v>0</v>
      </c>
      <c r="T56" s="89"/>
      <c r="U56" s="61">
        <v>0</v>
      </c>
      <c r="V56" s="65"/>
    </row>
    <row r="57" spans="1:22" ht="15" x14ac:dyDescent="0.25">
      <c r="A57" s="66">
        <v>566</v>
      </c>
      <c r="B57" s="66" t="s">
        <v>140</v>
      </c>
      <c r="C57" s="67"/>
      <c r="D57" s="68">
        <v>96</v>
      </c>
      <c r="E57" s="66" t="s">
        <v>219</v>
      </c>
      <c r="F57" s="67"/>
      <c r="G57" s="66" t="s">
        <v>64</v>
      </c>
      <c r="H57" s="66" t="s">
        <v>101</v>
      </c>
      <c r="I57" s="67"/>
      <c r="J57" s="69">
        <v>6.87</v>
      </c>
      <c r="K57" s="69">
        <v>659.04</v>
      </c>
      <c r="L57" s="68">
        <v>0</v>
      </c>
      <c r="M57" s="67"/>
      <c r="N57" s="68">
        <v>0</v>
      </c>
      <c r="O57" s="69">
        <v>0</v>
      </c>
      <c r="P57" s="68">
        <v>0</v>
      </c>
      <c r="Q57" s="69">
        <v>0</v>
      </c>
      <c r="R57" s="67"/>
      <c r="S57" s="68">
        <v>0</v>
      </c>
      <c r="T57" s="88"/>
      <c r="U57" s="68">
        <v>0</v>
      </c>
      <c r="V57" s="71"/>
    </row>
    <row r="58" spans="1:22" ht="15" x14ac:dyDescent="0.25">
      <c r="A58" s="59">
        <v>561</v>
      </c>
      <c r="B58" s="59" t="s">
        <v>132</v>
      </c>
      <c r="C58" s="60"/>
      <c r="D58" s="61">
        <v>96</v>
      </c>
      <c r="E58" s="59" t="s">
        <v>219</v>
      </c>
      <c r="F58" s="60"/>
      <c r="G58" s="59" t="s">
        <v>64</v>
      </c>
      <c r="H58" s="59" t="s">
        <v>101</v>
      </c>
      <c r="I58" s="60"/>
      <c r="J58" s="63">
        <v>6.87</v>
      </c>
      <c r="K58" s="63">
        <v>659.04</v>
      </c>
      <c r="L58" s="61">
        <v>0</v>
      </c>
      <c r="M58" s="60"/>
      <c r="N58" s="61">
        <v>0</v>
      </c>
      <c r="O58" s="63">
        <v>0</v>
      </c>
      <c r="P58" s="61">
        <v>0</v>
      </c>
      <c r="Q58" s="63">
        <v>0</v>
      </c>
      <c r="R58" s="60"/>
      <c r="S58" s="61">
        <v>0</v>
      </c>
      <c r="T58" s="89"/>
      <c r="U58" s="61">
        <v>0</v>
      </c>
      <c r="V58" s="65"/>
    </row>
    <row r="59" spans="1:22" ht="15" x14ac:dyDescent="0.25">
      <c r="A59" s="66">
        <v>510</v>
      </c>
      <c r="B59" s="66" t="s">
        <v>146</v>
      </c>
      <c r="C59" s="67"/>
      <c r="D59" s="68">
        <v>96</v>
      </c>
      <c r="E59" s="66" t="s">
        <v>219</v>
      </c>
      <c r="F59" s="67"/>
      <c r="G59" s="66" t="s">
        <v>64</v>
      </c>
      <c r="H59" s="66" t="s">
        <v>101</v>
      </c>
      <c r="I59" s="67"/>
      <c r="J59" s="69">
        <v>6.87</v>
      </c>
      <c r="K59" s="69">
        <v>659.04</v>
      </c>
      <c r="L59" s="68">
        <v>0</v>
      </c>
      <c r="M59" s="67"/>
      <c r="N59" s="68">
        <v>0</v>
      </c>
      <c r="O59" s="69">
        <v>0</v>
      </c>
      <c r="P59" s="68">
        <v>0</v>
      </c>
      <c r="Q59" s="69">
        <v>0</v>
      </c>
      <c r="R59" s="67"/>
      <c r="S59" s="68">
        <v>0</v>
      </c>
      <c r="T59" s="88"/>
      <c r="U59" s="68">
        <v>0</v>
      </c>
      <c r="V59" s="71"/>
    </row>
    <row r="60" spans="1:22" ht="15" x14ac:dyDescent="0.25">
      <c r="A60" s="59">
        <v>560</v>
      </c>
      <c r="B60" s="59" t="s">
        <v>133</v>
      </c>
      <c r="C60" s="60"/>
      <c r="D60" s="61">
        <v>96</v>
      </c>
      <c r="E60" s="59" t="s">
        <v>219</v>
      </c>
      <c r="F60" s="60"/>
      <c r="G60" s="59" t="s">
        <v>64</v>
      </c>
      <c r="H60" s="59" t="s">
        <v>101</v>
      </c>
      <c r="I60" s="60"/>
      <c r="J60" s="63">
        <v>6.87</v>
      </c>
      <c r="K60" s="63">
        <v>659.04</v>
      </c>
      <c r="L60" s="61">
        <v>0</v>
      </c>
      <c r="M60" s="60"/>
      <c r="N60" s="61">
        <v>0</v>
      </c>
      <c r="O60" s="63">
        <v>0</v>
      </c>
      <c r="P60" s="61">
        <v>0</v>
      </c>
      <c r="Q60" s="63">
        <v>0</v>
      </c>
      <c r="R60" s="60"/>
      <c r="S60" s="61">
        <v>0</v>
      </c>
      <c r="T60" s="89"/>
      <c r="U60" s="61">
        <v>0</v>
      </c>
      <c r="V60" s="65"/>
    </row>
    <row r="61" spans="1:22" ht="15" x14ac:dyDescent="0.25">
      <c r="A61" s="66">
        <v>509</v>
      </c>
      <c r="B61" s="66" t="s">
        <v>141</v>
      </c>
      <c r="C61" s="67"/>
      <c r="D61" s="68">
        <v>96</v>
      </c>
      <c r="E61" s="66" t="s">
        <v>219</v>
      </c>
      <c r="F61" s="67"/>
      <c r="G61" s="66" t="s">
        <v>64</v>
      </c>
      <c r="H61" s="66" t="s">
        <v>101</v>
      </c>
      <c r="I61" s="67"/>
      <c r="J61" s="69">
        <v>6.87</v>
      </c>
      <c r="K61" s="69">
        <v>659.04</v>
      </c>
      <c r="L61" s="68">
        <v>0</v>
      </c>
      <c r="M61" s="67"/>
      <c r="N61" s="68">
        <v>0</v>
      </c>
      <c r="O61" s="69">
        <v>0</v>
      </c>
      <c r="P61" s="68">
        <v>0</v>
      </c>
      <c r="Q61" s="69">
        <v>0</v>
      </c>
      <c r="R61" s="67"/>
      <c r="S61" s="68">
        <v>0</v>
      </c>
      <c r="T61" s="88"/>
      <c r="U61" s="68">
        <v>0</v>
      </c>
      <c r="V61" s="71"/>
    </row>
    <row r="62" spans="1:22" ht="15" x14ac:dyDescent="0.25">
      <c r="A62" s="90"/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1">
        <v>3471</v>
      </c>
      <c r="M62" s="92">
        <v>189.38</v>
      </c>
      <c r="N62" s="92">
        <v>152.31</v>
      </c>
      <c r="O62" s="93">
        <v>146336.13</v>
      </c>
      <c r="P62" s="91">
        <v>1213</v>
      </c>
      <c r="Q62" s="94" t="s">
        <v>232</v>
      </c>
      <c r="R62" s="92">
        <v>99</v>
      </c>
      <c r="S62" s="92">
        <v>37.6</v>
      </c>
      <c r="T62" s="90"/>
      <c r="U62" s="92">
        <v>615</v>
      </c>
      <c r="V62" s="9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230126</vt:lpstr>
      <vt:lpstr>120226</vt:lpstr>
      <vt:lpstr>120326</vt:lpstr>
      <vt:lpstr>250326</vt:lpstr>
      <vt:lpstr>240426</vt:lpstr>
      <vt:lpstr>190526</vt:lpstr>
      <vt:lpstr>120526</vt:lpstr>
      <vt:lpstr>120626</vt:lpstr>
      <vt:lpstr>180626</vt:lpstr>
      <vt:lpstr>140726</vt:lpstr>
      <vt:lpstr>140726 ph k.</vt:lpstr>
      <vt:lpstr>280726</vt:lpstr>
      <vt:lpstr>280726 ph.k.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2026-07-28T21:47:11Z</dcterms:created>
  <dcterms:modified xsi:type="dcterms:W3CDTF">2026-07-28T21:47:11Z</dcterms:modified>
</cp:coreProperties>
</file>